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arametros" sheetId="2" state="visible" r:id="rId4"/>
    <sheet name="Carga" sheetId="3" state="visible" r:id="rId5"/>
    <sheet name="Lotes" sheetId="4" state="visible" r:id="rId6"/>
    <sheet name="Rueda" sheetId="5" state="visible" r:id="rId7"/>
    <sheet name="Pulmones" sheetId="6" state="visible" r:id="rId8"/>
    <sheet name="Datos" sheetId="7" state="visible" r:id="rId9"/>
  </sheets>
  <definedNames>
    <definedName function="false" hidden="false" name="ALIST_G" vbProcedure="false">Parametros!$B$27</definedName>
    <definedName function="false" hidden="false" name="ANIO" vbProcedure="false">Resumen!$C$3</definedName>
    <definedName function="false" hidden="false" name="BASE" vbProcedure="false">Parametros!$B$16</definedName>
    <definedName function="false" hidden="false" name="CAJ_MOD" vbProcedure="false">Parametros!$B$69</definedName>
    <definedName function="false" hidden="false" name="CARGA_PLAT" vbProcedure="false">Parametros!$B$40</definedName>
    <definedName function="false" hidden="false" name="CARROS_CRIT" vbProcedure="false">Parametros!$B$100</definedName>
    <definedName function="false" hidden="false" name="CARROS_TRAMO" vbProcedure="false">Parametros!$B$85</definedName>
    <definedName function="false" hidden="false" name="CARRO_BAND" vbProcedure="false">Parametros!$B$86</definedName>
    <definedName function="false" hidden="false" name="CONT_RET" vbProcedure="false">Parametros!$B$39</definedName>
    <definedName function="false" hidden="false" name="DESALIST_G" vbProcedure="false">Parametros!$B$28</definedName>
    <definedName function="false" hidden="false" name="DIAS" vbProcedure="false">Parametros!$B$7</definedName>
    <definedName function="false" hidden="false" name="DIAS_ESPERA" vbProcedure="false">Parametros!$B$96</definedName>
    <definedName function="false" hidden="false" name="DIAS_PINTADOS" vbProcedure="false">Parametros!$B$98</definedName>
    <definedName function="false" hidden="false" name="DIAS_PINTOR" vbProcedure="false">Parametros!$B$97</definedName>
    <definedName function="false" hidden="false" name="DIAS_PT_CARROS" vbProcedure="false">Parametros!$B$47</definedName>
    <definedName function="false" hidden="false" name="DIAS_REC_DESP" vbProcedure="false">Parametros!$B$55</definedName>
    <definedName function="false" hidden="false" name="DIAS_REC_RECEP" vbProcedure="false">Parametros!$B$54</definedName>
    <definedName function="false" hidden="false" name="DIAS_RET" vbProcedure="false">Parametros!$B$99</definedName>
    <definedName function="false" hidden="false" name="ESPERA_REC_H" vbProcedure="false">Parametros!$B$56</definedName>
    <definedName function="false" hidden="false" name="F_CIRC" vbProcedure="false">Parametros!$B$95</definedName>
    <definedName function="false" hidden="false" name="HORAS_MES" vbProcedure="false">Parametros!$B$11</definedName>
    <definedName function="false" hidden="false" name="H_PROT" vbProcedure="false">Parametros!$B$35</definedName>
    <definedName function="false" hidden="false" name="H_PROT_MARC" vbProcedure="false">Parametros!$B$36</definedName>
    <definedName function="false" hidden="false" name="H_TURNO" vbProcedure="false">Parametros!$B$8</definedName>
    <definedName function="false" hidden="false" name="H_VIAJE_CUP" vbProcedure="false">Parametros!$B$88</definedName>
    <definedName function="false" hidden="false" name="K_MAX" vbProcedure="false">Parametros!$B$18</definedName>
    <definedName function="false" hidden="false" name="M2_CARRO" vbProcedure="false">Parametros!$B$87</definedName>
    <definedName function="false" hidden="false" name="M2_CARRO_PT" vbProcedure="false">Parametros!$B$48</definedName>
    <definedName function="false" hidden="false" name="M2_JAULA" vbProcedure="false">Parametros!$B$53</definedName>
    <definedName function="false" hidden="false" name="M2_MOD" vbProcedure="false">Parametros!$F$69</definedName>
    <definedName function="false" hidden="false" name="MES" vbProcedure="false">Resumen!$C$5</definedName>
    <definedName function="false" hidden="false" name="MIN_TURNO" vbProcedure="false">Parametros!$B$10</definedName>
    <definedName function="false" hidden="false" name="N_HOJAS_FRANJA" vbProcedure="false">Parametros!$B$38</definedName>
    <definedName function="false" hidden="false" name="PAL_CAJ" vbProcedure="false">Parametros!$B$89</definedName>
    <definedName function="false" hidden="false" name="PASILLO_AE" vbProcedure="false">Parametros!$B$94</definedName>
    <definedName function="false" hidden="false" name="PT_M2_POS" vbProcedure="false">Parametros!$B$46</definedName>
    <definedName function="false" hidden="false" name="PT_NIV" vbProcedure="false">Parametros!$B$45</definedName>
    <definedName function="false" hidden="false" name="RACK_FONDO" vbProcedure="false">Parametros!$B$93</definedName>
    <definedName function="false" hidden="false" name="RACK_NIV" vbProcedure="false">Parametros!$B$90</definedName>
    <definedName function="false" hidden="false" name="RACK_PPV" vbProcedure="false">Parametros!$B$91</definedName>
    <definedName function="false" hidden="false" name="RACK_VANO" vbProcedure="false">Parametros!$B$92</definedName>
    <definedName function="false" hidden="false" name="REFRIG" vbProcedure="false">Parametros!$B$9</definedName>
    <definedName function="false" hidden="false" name="REND_CORTE" vbProcedure="false">Parametros!$B$29</definedName>
    <definedName function="false" hidden="false" name="R_CORRIDA" vbProcedure="false">Parametros!$B$17</definedName>
    <definedName function="false" hidden="false" name="SS_PT" vbProcedure="false">Parametros!$B$44</definedName>
    <definedName function="false" hidden="false" name="SS_SUPER" vbProcedure="false">Parametros!$B$37</definedName>
    <definedName function="false" hidden="false" name="S_EMB" vbProcedure="false">Parametros!$B$26</definedName>
    <definedName function="false" hidden="false" name="S_G1" vbProcedure="false">Parametros!$B$24</definedName>
    <definedName function="false" hidden="false" name="S_G1_PAQ" vbProcedure="false">Parametros!$B$23</definedName>
    <definedName function="false" hidden="false" name="S_G1_PROG" vbProcedure="false">Parametros!$B$22</definedName>
    <definedName function="false" hidden="false" name="S_G2" vbProcedure="false">Parametros!$B$25</definedName>
    <definedName function="false" hidden="false" name="TIRAS_CARROS" vbProcedure="false">Parametros!$B$30</definedName>
    <definedName function="false" hidden="false" name="TIRAS_EXTRA" vbProcedure="false">Parametros!$B$31</definedName>
    <definedName function="false" hidden="false" name="UMBRAL" vbProcedure="false">Parametros!$B$12</definedName>
    <definedName function="false" hidden="false" name="U_JAULA" vbProcedure="false">Parametros!$B$52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<sst xmlns="http://schemas.openxmlformats.org/spreadsheetml/2006/main" count="2526" uniqueCount="1014">
  <si>
    <t xml:space="preserve">BALANCEO DE LÍNEA SINCRONIZADO — FLAMA (manuales, carros y recargas)</t>
  </si>
  <si>
    <t xml:space="preserve">Con la mezcla real de modelos del mes elegido: cuánto carga cada puesto, cada cuántos días pasa cada formato por cada máquina, cuánto se hace por vez y cuánto stock queda entre puestos y en los almacenes.</t>
  </si>
  <si>
    <t xml:space="preserve">Año (2026 a 2035)</t>
  </si>
  <si>
    <t xml:space="preserve">Mes (1 a 12; vacío = mes pico de producción de manuales)</t>
  </si>
  <si>
    <t xml:space="preserve">Mes de cálculo</t>
  </si>
  <si>
    <t xml:space="preserve">CÓMO SE LEE (una hoja por paso; solo se tocan las celdas amarillas y verdes)</t>
  </si>
  <si>
    <t xml:space="preserve">Hoja</t>
  </si>
  <si>
    <t xml:space="preserve">Qué pregunta responde</t>
  </si>
  <si>
    <t xml:space="preserve">Qué mirar</t>
  </si>
  <si>
    <t xml:space="preserve">Parametros</t>
  </si>
  <si>
    <t xml:space="preserve">Qué supuestos y criterios se usan y de dónde sale cada número.</t>
  </si>
  <si>
    <t xml:space="preserve">Amarillos (criterios) y columna G (fuente).</t>
  </si>
  <si>
    <t xml:space="preserve">Carga (paso 1)</t>
  </si>
  <si>
    <t xml:space="preserve">¿Cuánto hay que hacer por día y cuánto carga cada puesto con esa mezcla?</t>
  </si>
  <si>
    <t xml:space="preserve">Aprovechamiento y cuello de cada línea.</t>
  </si>
  <si>
    <t xml:space="preserve">Lotes (paso 2)</t>
  </si>
  <si>
    <t xml:space="preserve">¿Cuánto cortar o prensar de cada formato antes de cambiar?</t>
  </si>
  <si>
    <t xml:space="preserve">Frecuencia, tanda y pulmón de cada formato.</t>
  </si>
  <si>
    <t xml:space="preserve">Rueda (paso 3)</t>
  </si>
  <si>
    <t xml:space="preserve">¿Qué formato pasa cada día por cada puesto de la ola?</t>
  </si>
  <si>
    <t xml:space="preserve">Calendario de 20 días: nada arriba de 100 %.</t>
  </si>
  <si>
    <t xml:space="preserve">Pulmones (paso 4)</t>
  </si>
  <si>
    <t xml:space="preserve">¿Cuánto material queda esperando y cuántos m² hay que reservar?</t>
  </si>
  <si>
    <t xml:space="preserve">Sección 1: total a reservar.</t>
  </si>
  <si>
    <t xml:space="preserve">Datos</t>
  </si>
  <si>
    <t xml:space="preserve">Valores pegados de las planillas de aprovechamiento.</t>
  </si>
  <si>
    <t xml:space="preserve">No se lee.</t>
  </si>
  <si>
    <t xml:space="preserve">1) PRODUCCIÓN DEL MES DE CÁLCULO</t>
  </si>
  <si>
    <t xml:space="preserve">Línea</t>
  </si>
  <si>
    <t xml:space="preserve">Unidades por mes</t>
  </si>
  <si>
    <t xml:space="preserve">Unidades por día</t>
  </si>
  <si>
    <t xml:space="preserve">Mes pico de la línea</t>
  </si>
  <si>
    <t xml:space="preserve">Terminados por día</t>
  </si>
  <si>
    <t xml:space="preserve">Cilindros vacíos por día</t>
  </si>
  <si>
    <t xml:space="preserve">Manuales (recipientes, con sobrestock)</t>
  </si>
  <si>
    <t xml:space="preserve">Carros (recipientes)</t>
  </si>
  <si>
    <t xml:space="preserve">Recargas (equipos)</t>
  </si>
  <si>
    <t xml:space="preserve">—</t>
  </si>
  <si>
    <t xml:space="preserve">2) BALANCEO DE CADA LÍNEA</t>
  </si>
  <si>
    <t xml:space="preserve">Cuello de botella</t>
  </si>
  <si>
    <t xml:space="preserve">Aprovech. del cuello (mes de cálculo)</t>
  </si>
  <si>
    <t xml:space="preserve">Eficiencia de balanceo</t>
  </si>
  <si>
    <t xml:space="preserve">Aprovech. máximo con los cambios de la rueda</t>
  </si>
  <si>
    <t xml:space="preserve">Aprovech. del cuello en el mes pico de la línea</t>
  </si>
  <si>
    <t xml:space="preserve">Mes pico</t>
  </si>
  <si>
    <t xml:space="preserve">Estado</t>
  </si>
  <si>
    <t xml:space="preserve">Manuales</t>
  </si>
  <si>
    <t xml:space="preserve">Carros</t>
  </si>
  <si>
    <t xml:space="preserve">Recargas</t>
  </si>
  <si>
    <t xml:space="preserve">3) PLAN SINCRONIZADO: cada cuántos días pasa cada formato por cada máquina y cuánto se hace por vez</t>
  </si>
  <si>
    <t xml:space="preserve">Formato</t>
  </si>
  <si>
    <t xml:space="preserve">Por día</t>
  </si>
  <si>
    <t xml:space="preserve">Ola: cada (días)</t>
  </si>
  <si>
    <t xml:space="preserve">Ola: lote (recipientes)</t>
  </si>
  <si>
    <t xml:space="preserve">Guillotina: cada (días)</t>
  </si>
  <si>
    <t xml:space="preserve">Guillotina: hojas por tanda</t>
  </si>
  <si>
    <t xml:space="preserve">Embutidora: cada (días)</t>
  </si>
  <si>
    <t xml:space="preserve">Embutidora: piezas por tanda (cúpula o fondo)</t>
  </si>
  <si>
    <t xml:space="preserve">Pulmón de desarrollos (cuerpos)</t>
  </si>
  <si>
    <t xml:space="preserve">Supermercado (cúpulas + fondos)</t>
  </si>
  <si>
    <t xml:space="preserve">Manuales 1 kg</t>
  </si>
  <si>
    <t xml:space="preserve">Manuales 2,5 kg</t>
  </si>
  <si>
    <t xml:space="preserve">Manuales 5 kg</t>
  </si>
  <si>
    <t xml:space="preserve">Manuales 10 kg</t>
  </si>
  <si>
    <t xml:space="preserve">Carros 25 kg (hoja 3,2)</t>
  </si>
  <si>
    <t xml:space="preserve">Carros 50 kg (hoja 3,2)</t>
  </si>
  <si>
    <t xml:space="preserve">Carros 70 + 100 kg (hoja mixta 4,75)</t>
  </si>
  <si>
    <t xml:space="preserve">Ola = del cilindrado al embalaje todos los puestos corren el formato el mismo día. Guillotina y embutidora hacen tandas más largas y guardan lo que sobra en el pulmón de desarrollos y en el supermercado.</t>
  </si>
  <si>
    <t xml:space="preserve">4) MÁQUINAS CON CAMBIO DE FORMATO CARO</t>
  </si>
  <si>
    <t xml:space="preserve">Recurso</t>
  </si>
  <si>
    <t xml:space="preserve">Cambios por día</t>
  </si>
  <si>
    <t xml:space="preserve">Min de cambio por día</t>
  </si>
  <si>
    <t xml:space="preserve">Aprovech. con cambios</t>
  </si>
  <si>
    <t xml:space="preserve">Guillotina 1 (manuales + carros)</t>
  </si>
  <si>
    <t xml:space="preserve">Guillotina 2 (manuales + carros)</t>
  </si>
  <si>
    <t xml:space="preserve">Operario de corte (si atiende G1 y G2)</t>
  </si>
  <si>
    <t xml:space="preserve">Embutidora (8 matrices)</t>
  </si>
  <si>
    <t xml:space="preserve">Soldadura longitudinal 2,5 a 10 kg (cuello)</t>
  </si>
  <si>
    <t xml:space="preserve">Soldadura circunferencial (marcapasos)</t>
  </si>
  <si>
    <t xml:space="preserve">5) SUPERFICIE A RESERVAR EN EL LAYOUT</t>
  </si>
  <si>
    <t xml:space="preserve">Concepto</t>
  </si>
  <si>
    <t xml:space="preserve">Módulos / pallets / jaulas</t>
  </si>
  <si>
    <t xml:space="preserve">Unidades</t>
  </si>
  <si>
    <t xml:space="preserve">m²</t>
  </si>
  <si>
    <t xml:space="preserve">Pulmones</t>
  </si>
  <si>
    <t xml:space="preserve">Total a reservar</t>
  </si>
  <si>
    <t xml:space="preserve">6) CONTROLES</t>
  </si>
  <si>
    <t xml:space="preserve">Control</t>
  </si>
  <si>
    <t xml:space="preserve">Valor</t>
  </si>
  <si>
    <t xml:space="preserve">Debe dar</t>
  </si>
  <si>
    <t xml:space="preserve">Aprovechamiento de manuales igual al de la planilla (mayor diferencia; solo con el mes pico; sin el puesto 6, que se cambió por el marcado unificado)</t>
  </si>
  <si>
    <t xml:space="preserve">menos de 0,5 %</t>
  </si>
  <si>
    <t xml:space="preserve">Puestos de la ola por encima del 90 % con la rueda</t>
  </si>
  <si>
    <t xml:space="preserve">0</t>
  </si>
  <si>
    <t xml:space="preserve">Días del calendario con un puesto por encima del 100 %</t>
  </si>
  <si>
    <t xml:space="preserve">Guillotinas y embutidora dentro del 90 %</t>
  </si>
  <si>
    <t xml:space="preserve">≤ 90 %</t>
  </si>
  <si>
    <t xml:space="preserve">Stock de producto terminado nunca negativo</t>
  </si>
  <si>
    <t xml:space="preserve">≥ 0</t>
  </si>
  <si>
    <t xml:space="preserve">Carros y recargas dentro del 90 % en su propio mes pico</t>
  </si>
  <si>
    <t xml:space="preserve">7) EN PALABRAS</t>
  </si>
  <si>
    <t xml:space="preserve">PARÁMETROS — los supuestos y datos que usa todo el libro</t>
  </si>
  <si>
    <t xml:space="preserve">Amarillo = criterio del grupo (se puede cambiar) · Verde = dato de las planillas o de los Words (se puede corregir) · Blanco = fórmula. La columna G dice de dónde sale cada valor.</t>
  </si>
  <si>
    <t xml:space="preserve">▶ Solo se tocan las celdas amarillas y verdes. Los nombres (DIAS, R_CORRIDA, S_G1…) son los que usan las fórmulas de las otras hojas.</t>
  </si>
  <si>
    <t xml:space="preserve">1) JORNADA Y CAPACIDAD</t>
  </si>
  <si>
    <t xml:space="preserve">Parámetro</t>
  </si>
  <si>
    <t xml:space="preserve">Unidad</t>
  </si>
  <si>
    <t xml:space="preserve">Fuente / criterio</t>
  </si>
  <si>
    <t xml:space="preserve">Nombre</t>
  </si>
  <si>
    <t xml:space="preserve">Días hábiles por mes</t>
  </si>
  <si>
    <t xml:space="preserve">días</t>
  </si>
  <si>
    <t xml:space="preserve">Aprovechamiento Manuales / Carros / Recargas, parametros B2</t>
  </si>
  <si>
    <t xml:space="preserve">DIAS</t>
  </si>
  <si>
    <t xml:space="preserve">Horas por turno</t>
  </si>
  <si>
    <t xml:space="preserve">h</t>
  </si>
  <si>
    <t xml:space="preserve">parametros B3 de las planillas de aprovechamiento</t>
  </si>
  <si>
    <t xml:space="preserve">H_TURNO</t>
  </si>
  <si>
    <t xml:space="preserve">Refrigerio y pausas por turno</t>
  </si>
  <si>
    <t xml:space="preserve">min</t>
  </si>
  <si>
    <t xml:space="preserve">parametros B4 de las planillas de aprovechamiento</t>
  </si>
  <si>
    <t xml:space="preserve">REFRIG</t>
  </si>
  <si>
    <t xml:space="preserve">Minutos productivos por turno</t>
  </si>
  <si>
    <t xml:space="preserve">Horas × 60 − refrigerio (= 450 min = 7,5 h productivas)</t>
  </si>
  <si>
    <t xml:space="preserve">MIN_TURNO</t>
  </si>
  <si>
    <t xml:space="preserve">Horas productivas por mes (1 turno)</t>
  </si>
  <si>
    <t xml:space="preserve">Días × horas productivas (= 150 h, igual que las planillas)</t>
  </si>
  <si>
    <t xml:space="preserve">HORAS_MES</t>
  </si>
  <si>
    <t xml:space="preserve">Umbral de aprovechamiento</t>
  </si>
  <si>
    <t xml:space="preserve">%</t>
  </si>
  <si>
    <t xml:space="preserve">Límite duro del grupo (Word de recargas § 8), el mismo de las planillas</t>
  </si>
  <si>
    <t xml:space="preserve">UMBRAL</t>
  </si>
  <si>
    <t xml:space="preserve">2) LOTES: cuánto seguir procesando antes de cambiar de formato</t>
  </si>
  <si>
    <t xml:space="preserve">Base de la rueda (cada cuántos días se repite el ciclo más corto)</t>
  </si>
  <si>
    <t xml:space="preserve">Criterio: rueda diaria; las frecuencias son 1, 2, 4, 8 o 16 días (potencias de 2 para que encajen)</t>
  </si>
  <si>
    <t xml:space="preserve">BASE</t>
  </si>
  <si>
    <t xml:space="preserve">Relación mínima corrida / cambio</t>
  </si>
  <si>
    <t xml:space="preserve">veces</t>
  </si>
  <si>
    <t xml:space="preserve">Criterio del «punto de seguir procesando»: cada tanda tiene que durar al menos 3 veces lo que el cambio. Así el cambio nunca pasa del 25 % del tiempo de la tanda. Subirlo agranda los lotes y los pulmones</t>
  </si>
  <si>
    <t xml:space="preserve">R_CORRIDA</t>
  </si>
  <si>
    <t xml:space="preserve">Frecuencia máxima (cobertura máxima de un lote)</t>
  </si>
  <si>
    <t xml:space="preserve">Criterio: ningún lote cubre más de 16 días hábiles (menos de un mes), para no inmovilizar stock ni perder FIFO</t>
  </si>
  <si>
    <t xml:space="preserve">K_MAX</t>
  </si>
  <si>
    <t xml:space="preserve">3) CAMBIOS DE FORMATO Y GUILLOTINAS</t>
  </si>
  <si>
    <t xml:space="preserve">Guillotina 1: programa del tope y primera pieza por formato</t>
  </si>
  <si>
    <t xml:space="preserve">parametros_manuales C53 (5 min por cambio)</t>
  </si>
  <si>
    <t xml:space="preserve">S_G1_PROG</t>
  </si>
  <si>
    <t xml:space="preserve">Guillotina 1: traer y devolver el paquete de chapa (máquina parada)</t>
  </si>
  <si>
    <t xml:space="preserve">Word de carros, puesto 2: 2 viajes de 5 min por paquete. Es tiempo inoperativo de la G1</t>
  </si>
  <si>
    <t xml:space="preserve">S_G1_PAQ</t>
  </si>
  <si>
    <t xml:space="preserve">Guillotina 1: tiempo total de cambio de formato</t>
  </si>
  <si>
    <t xml:space="preserve">Suma de las dos filas de arriba</t>
  </si>
  <si>
    <t xml:space="preserve">S_G1</t>
  </si>
  <si>
    <t xml:space="preserve">Guillotina 2: cambio de tope por formato</t>
  </si>
  <si>
    <t xml:space="preserve">parametros_manuales C54</t>
  </si>
  <si>
    <t xml:space="preserve">S_G2</t>
  </si>
  <si>
    <t xml:space="preserve">Embutidora: cambio de matriz</t>
  </si>
  <si>
    <t xml:space="preserve">parametros_manuales C55 de la planilla de aprovechamiento (90 min). El Word de manuales dice «unos 120 minutos». Con 120: el 5 kg pasa a prensarse cada 16 días, la prensa queda en 50 % y los pulmones de manuales suben unos 15 m² (ver Guía).</t>
  </si>
  <si>
    <t xml:space="preserve">S_EMB</t>
  </si>
  <si>
    <t xml:space="preserve">Alistamiento de cada guillotina al empezar el turno</t>
  </si>
  <si>
    <t xml:space="preserve">min/turno</t>
  </si>
  <si>
    <t xml:space="preserve">SUPUESTO: encender, verificar barreras fotoeléctricas y tope, calentar el hidráulico y preparar ventosas y EPP. Si el Excel original de PCP tiene el tpr de la guillotina, poner ese.</t>
  </si>
  <si>
    <t xml:space="preserve">ALIST_G</t>
  </si>
  <si>
    <t xml:space="preserve">Desalistamiento de cada guillotina al terminar el turno</t>
  </si>
  <si>
    <t xml:space="preserve">SUPUESTO: limpiar la mesa de bolas, llevar las orillas al contenedor de scrap, ordenar los carros y apagar. Si el Excel original de PCP tiene el tdl, poner ese.</t>
  </si>
  <si>
    <t xml:space="preserve">DESALIST_G</t>
  </si>
  <si>
    <t xml:space="preserve">Rendimiento del operario de corte</t>
  </si>
  <si>
    <t xml:space="preserve">SUPUESTO: el tiempo por corte (0,3 min) y por hoja (2 min) es manual; como en los otros puestos (tiempo tipo = (tpr + tdl + ta) ÷ rendimiento), se divide por el rendimiento (15 % de suplementos por fatiga y necesidades).</t>
  </si>
  <si>
    <t xml:space="preserve">REND_CORTE</t>
  </si>
  <si>
    <t xml:space="preserve">Guillotina 1: tiras y piezas de accesorios de carros</t>
  </si>
  <si>
    <t xml:space="preserve">min/día</t>
  </si>
  <si>
    <t xml:space="preserve">parametros_manuales G53 (W-CAR: placas 1,7 + patas 1,9 + 5,0 min/día en el pico)</t>
  </si>
  <si>
    <t xml:space="preserve">TIRAS_CARROS</t>
  </si>
  <si>
    <t xml:space="preserve">Guillotina 1: resto de los cortes de accesorios de carros</t>
  </si>
  <si>
    <t xml:space="preserve">Word de carros, puesto 2, tabla de tiempo en el pico: tiras de 40 mm 10,1 + tiras para triángulos 8,1 + piezas de accesorios a largo 18,0. La planilla solo tenía las placas y las patas (fila 23).</t>
  </si>
  <si>
    <t xml:space="preserve">TIRAS_EXTRA</t>
  </si>
  <si>
    <t xml:space="preserve">4) PULMONES ENTRE PUESTOS</t>
  </si>
  <si>
    <t xml:space="preserve">Protección antes del cuello de botella (soldadura longitudinal 2,5 a 10 kg)</t>
  </si>
  <si>
    <t xml:space="preserve">Pulmones 2035: la protección de 1 h va solo antes del cuello (virolas de 2,5 a 10 kg). Lotes!W la sigue sumando al pulmón de cada tanda, que queda como referencia por formato (Figura 6)</t>
  </si>
  <si>
    <t xml:space="preserve">H_PROT</t>
  </si>
  <si>
    <t xml:space="preserve">Protección antes del marcapasos (soldadura circunferencial), en las dos ramas</t>
  </si>
  <si>
    <t xml:space="preserve">Medio turno (Word de manuales). Va en las cúpulas con cuello y los cuerpos bordoneados. Si se baja a 1 h, esos dos pulmones bajan a la mitad</t>
  </si>
  <si>
    <t xml:space="preserve">H_PROT_MARC</t>
  </si>
  <si>
    <t xml:space="preserve">Stock de seguridad del supermercado de cúpulas y fondos</t>
  </si>
  <si>
    <t xml:space="preserve">Criterio: 1 día de consumo de cada pieza por si la prensa se demora en volver al formato</t>
  </si>
  <si>
    <t xml:space="preserve">SS_SUPER</t>
  </si>
  <si>
    <t xml:space="preserve">Hojas en el pulmón de franjas (mesa elevadora 2, entre G1 y G2)</t>
  </si>
  <si>
    <t xml:space="preserve">hojas</t>
  </si>
  <si>
    <t xml:space="preserve">Layout rev. 10: mesa elevadora 2 como pulmón de franjas; la G2 empieza con la primera hoja</t>
  </si>
  <si>
    <t xml:space="preserve">N_HOJAS_FRANJA</t>
  </si>
  <si>
    <t xml:space="preserve">Contenedores vacíos en retorno por pulmón</t>
  </si>
  <si>
    <t xml:space="preserve">u</t>
  </si>
  <si>
    <t xml:space="preserve">Ya no se usa: desde Pulmones 2035 los vacíos vuelven en los carros de tránsito (sección 10)</t>
  </si>
  <si>
    <t xml:space="preserve">CONT_RET</t>
  </si>
  <si>
    <t xml:space="preserve">Carga útil del carro de plataforma de desarrollos</t>
  </si>
  <si>
    <t xml:space="preserve">kg</t>
  </si>
  <si>
    <t xml:space="preserve">Ya no se usa: desde Pulmones 2035 los desarrollos van en bandejas (sección 7)</t>
  </si>
  <si>
    <t xml:space="preserve">CARGA_PLAT</t>
  </si>
  <si>
    <t xml:space="preserve">5) PRODUCTO TERMINADO Y ALMACÉN</t>
  </si>
  <si>
    <t xml:space="preserve">Stock de seguridad de producto terminado (manuales)</t>
  </si>
  <si>
    <t xml:space="preserve">días de venta</t>
  </si>
  <si>
    <t xml:space="preserve">Criterio: una semana hábil de venta promedio del modelo</t>
  </si>
  <si>
    <t xml:space="preserve">SS_PT</t>
  </si>
  <si>
    <t xml:space="preserve">Niveles de rack de pallets en el almacén de PT</t>
  </si>
  <si>
    <t xml:space="preserve">niveles</t>
  </si>
  <si>
    <t xml:space="preserve">Criterio: rack selectivo de 3 niveles (el autoelevador Heli CPCD50 tiene torre de 3 a 6 m)</t>
  </si>
  <si>
    <t xml:space="preserve">PT_NIV</t>
  </si>
  <si>
    <t xml:space="preserve">Superficie por columna de rack (pallet 1,2 × 1,0 m + mitad del pasillo de 5 m)</t>
  </si>
  <si>
    <t xml:space="preserve">Pasillo de 5 m del Word de carros (radio de giro 2,93 m + pallet + margen): 1,0 × (1,2 + 2,5)</t>
  </si>
  <si>
    <t xml:space="preserve">PT_M2_POS</t>
  </si>
  <si>
    <t xml:space="preserve">Stock de carros liberados (días de venta)</t>
  </si>
  <si>
    <t xml:space="preserve">Word de carros: lote semanal; se libera y se despacha</t>
  </si>
  <si>
    <t xml:space="preserve">DIAS_PT_CARROS</t>
  </si>
  <si>
    <t xml:space="preserve">Superficie por carro terminado en piso (con circulación)</t>
  </si>
  <si>
    <t xml:space="preserve">Word de carros, depósito 16: 280 carros (180 retenidos + 100 liberados) en ≈200 m²</t>
  </si>
  <si>
    <t xml:space="preserve">M2_CARRO_PT</t>
  </si>
  <si>
    <t xml:space="preserve">6) RECARGAS</t>
  </si>
  <si>
    <t xml:space="preserve">Matafuegos por jaula paletizable (1,2 × 1,0 m)</t>
  </si>
  <si>
    <t xml:space="preserve">Word de recargas (Anotaciones) y Detalle recargas: jaula A = 72 de 1 kg; jaula B = 30 de 2,5 kg, 24 de 5 kg o 16 de 10 kg; rodantes 1 o 2. Con la mezcla de la planta industrial en el pico (552 u/día en 16,96 jaulas/día) y el factor 1,15 de jaulas a medio llenar: 552 ÷ 16,96 ÷ 1,15 ≈ 28 por jaula. (Antes se había supuesto 40.)</t>
  </si>
  <si>
    <t xml:space="preserve">U_JAULA</t>
  </si>
  <si>
    <t xml:space="preserve">Superficie por jaula en piso (con circulación)</t>
  </si>
  <si>
    <t xml:space="preserve">Detalle recargas, Supuestos § 3: 2,4 m² por posición con pasillo compartido por dos filas. (Antes se había supuesto 1,8.)</t>
  </si>
  <si>
    <t xml:space="preserve">M2_JAULA</t>
  </si>
  <si>
    <t xml:space="preserve">Pulmón de recepción (días de recargas que esperan entrar)</t>
  </si>
  <si>
    <t xml:space="preserve">Criterio: el lote retirado por la tarde entra a la mañana siguiente</t>
  </si>
  <si>
    <t xml:space="preserve">DIAS_REC_RECEP</t>
  </si>
  <si>
    <t xml:space="preserve">Pulmón de despacho (días de recargas listas para el recorrido)</t>
  </si>
  <si>
    <t xml:space="preserve">Criterio: el camión sale con el lote del día</t>
  </si>
  <si>
    <t xml:space="preserve">DIAS_REC_DESP</t>
  </si>
  <si>
    <t xml:space="preserve">Espera media frente a cada puesto de recargas</t>
  </si>
  <si>
    <t xml:space="preserve">Criterio para la ley de Little (WIP = ritmo × tiempo en el puesto)</t>
  </si>
  <si>
    <t xml:space="preserve">ESPERA_REC_H</t>
  </si>
  <si>
    <t xml:space="preserve">7) UNIDADES DE CARGA DE LOS PULMONES (piezas por bandeja o cajón, niveles por módulo de estante y m² del módulo)</t>
  </si>
  <si>
    <t xml:space="preserve">Pieza / unidad de carga</t>
  </si>
  <si>
    <t xml:space="preserve">1 kg</t>
  </si>
  <si>
    <t xml:space="preserve">2,5 kg</t>
  </si>
  <si>
    <t xml:space="preserve">5 kg</t>
  </si>
  <si>
    <t xml:space="preserve">10 kg</t>
  </si>
  <si>
    <t xml:space="preserve">m² del módulo</t>
  </si>
  <si>
    <t xml:space="preserve">Fuente</t>
  </si>
  <si>
    <t xml:space="preserve">Desarrollos — por bandeja (pila sobre bandeja de 1.200 × 600, hasta 150 kg)</t>
  </si>
  <si>
    <t xml:space="preserve">Pulmones 2035, Unidades fila 6: pila por peso, 150 kg ÷ peso del desarrollo</t>
  </si>
  <si>
    <t xml:space="preserve">Desarrollos — niveles por módulo de estante</t>
  </si>
  <si>
    <t xml:space="preserve">Unidades fila 9: niveles cuyo piso queda a 1,6 m o menos</t>
  </si>
  <si>
    <t xml:space="preserve">Virolas, cuerpos y cilindros — por bandeja (parados)</t>
  </si>
  <si>
    <t xml:space="preserve">Unidades filas 13 y 20: (1.200 ÷ Ø) × (600 ÷ Ø), sin pasar 150 kg</t>
  </si>
  <si>
    <t xml:space="preserve">Virolas, cuerpos y cilindros — niveles por módulo</t>
  </si>
  <si>
    <t xml:space="preserve">Unidades filas 16 y 23</t>
  </si>
  <si>
    <t xml:space="preserve">Matafuegos — por bandeja (parados, con válvula)</t>
  </si>
  <si>
    <t xml:space="preserve">Unidades fila 27: en el 10 kg manda el peso (9 de 18 lugares)</t>
  </si>
  <si>
    <t xml:space="preserve">Matafuegos — niveles por módulo</t>
  </si>
  <si>
    <t xml:space="preserve">Unidades fila 30</t>
  </si>
  <si>
    <t xml:space="preserve">Fondos — por cajón de 600 × 400 × 300 (anidados)</t>
  </si>
  <si>
    <t xml:space="preserve">Unidades fila 34: columnas anidadas, sin pasar 20 kg con el cajón. Medir pollera y domo en una pieza</t>
  </si>
  <si>
    <t xml:space="preserve">Cúpulas — por cajón (anidadas)</t>
  </si>
  <si>
    <t xml:space="preserve">Unidades fila 41</t>
  </si>
  <si>
    <t xml:space="preserve">Cúpulas con cuello — por cajón</t>
  </si>
  <si>
    <t xml:space="preserve">Unidades fila 48 (Word de manuales)</t>
  </si>
  <si>
    <t xml:space="preserve">Módulo de estante de carga media 1,2 × 0,6 × 2,0 m: cajones por módulo (B, 4 niveles × 3) y m² con medio pasillo de 1,2 m (F)</t>
  </si>
  <si>
    <t xml:space="preserve">Pulmones 2035, Parametros B15 y B24: 1,2 × 0,6 + 1,2 × 0,6 de medio pasillo</t>
  </si>
  <si>
    <t xml:space="preserve">CAJ_MOD · M2_MOD</t>
  </si>
  <si>
    <t xml:space="preserve">8) PESOS POR MODELO (kg)</t>
  </si>
  <si>
    <t xml:space="preserve">Pieza</t>
  </si>
  <si>
    <t xml:space="preserve">Cuerpo cortado (desarrollo)</t>
  </si>
  <si>
    <t xml:space="preserve">Word de manuales, tabla «Pesos de las piezas»</t>
  </si>
  <si>
    <t xml:space="preserve">Cúpula</t>
  </si>
  <si>
    <t xml:space="preserve">Word de manuales, tabla «Pesos de las piezas». Cúpula del 10 kg ajustada a 2,0 mm (0,57 × 2,0 ÷ 1,6 = 0,71 kg), decisión del grupo</t>
  </si>
  <si>
    <t xml:space="preserve">Fondo</t>
  </si>
  <si>
    <t xml:space="preserve">Word de manuales, tabla «Pesos de las piezas». Fondo del 1 kg ajustado a 0,9 mm (0,07 × 0,9 ÷ 1,25 = 0,05 kg), decisión del grupo</t>
  </si>
  <si>
    <t xml:space="preserve">Recipiente vacío</t>
  </si>
  <si>
    <t xml:space="preserve">Word de manuales, ajustado por el cambio de espesor del fondo del 1 kg (−0,02 kg) y de la cúpula del 10 kg (+0,14 kg)</t>
  </si>
  <si>
    <t xml:space="preserve">Matafuego terminado (con agente y válvula)</t>
  </si>
  <si>
    <t xml:space="preserve">Word de manuales, con el mismo ajuste de la fila 68</t>
  </si>
  <si>
    <t xml:space="preserve">9) PALLETS DE PRODUCTO TERMINADO (unidades por pallet de 1.200 × 1.000 mm)</t>
  </si>
  <si>
    <t xml:space="preserve">Producto</t>
  </si>
  <si>
    <t xml:space="preserve">Matafuegos nuevos en caja por pallet (cajas paradas)</t>
  </si>
  <si>
    <t xml:space="preserve">Word de PT (PT+PINTADO-FLAMA2035, Pallets filas 7 a 18): pallet ARLOG 1.200 × 1.000, hasta 1,6 m y 1.100 kg</t>
  </si>
  <si>
    <t xml:space="preserve">Cilindros vacíos por pallet (parados, con cartón entre capas)</t>
  </si>
  <si>
    <t xml:space="preserve">Word de PT (Pallets filas 22 a 33)</t>
  </si>
  <si>
    <t xml:space="preserve">10) PULMONES 2035: CARROS DE TRÁNSITO, RACK DE FONDOS Y CÚPULAS Y LÍNEA DE CARROS</t>
  </si>
  <si>
    <t xml:space="preserve">Carros por tramo</t>
  </si>
  <si>
    <t xml:space="preserve">Uno solo: pasa las bandejas al estante y vuelve; mientras viaja, el que entrega deja la bandeja en un soporte fijo. Sin estante, el carro es el pulmón (Pulmones 2035, Parametros B39)</t>
  </si>
  <si>
    <t xml:space="preserve">CARROS_TRAMO</t>
  </si>
  <si>
    <t xml:space="preserve">Bandejas por carro porta-bandejas</t>
  </si>
  <si>
    <t xml:space="preserve">Tres niveles a la altura de los del estante</t>
  </si>
  <si>
    <t xml:space="preserve">CARRO_BAND</t>
  </si>
  <si>
    <t xml:space="preserve">m² del lugar del carro (1,3 × 0,7 m con maniobra)</t>
  </si>
  <si>
    <t xml:space="preserve">Pulmones 2035, Parametros B42</t>
  </si>
  <si>
    <t xml:space="preserve">M2_CARRO</t>
  </si>
  <si>
    <t xml:space="preserve">Cúpulas con cuello: cada cuánto llega un carro</t>
  </si>
  <si>
    <t xml:space="preserve">La soldadura del cuello repone lo que la circunferencial usó (un viaje por hora)</t>
  </si>
  <si>
    <t xml:space="preserve">H_VIAJE_CUP</t>
  </si>
  <si>
    <t xml:space="preserve">Cajones por pallet (1.200 × 800, un solo modelo)</t>
  </si>
  <si>
    <t xml:space="preserve">4 cajones por capa y 3 capas; 1.045 mm de alto</t>
  </si>
  <si>
    <t xml:space="preserve">PAL_CAJ</t>
  </si>
  <si>
    <t xml:space="preserve">Niveles del rack de fondos y cúpulas</t>
  </si>
  <si>
    <t xml:space="preserve">Primer nivel a 400 mm (picking); los de arriba, reserva</t>
  </si>
  <si>
    <t xml:space="preserve">RACK_NIV</t>
  </si>
  <si>
    <t xml:space="preserve">Pallets por nivel en un vano</t>
  </si>
  <si>
    <t xml:space="preserve">Vano de 2,7 m, pallets de 800 de frente</t>
  </si>
  <si>
    <t xml:space="preserve">RACK_PPV</t>
  </si>
  <si>
    <t xml:space="preserve">Frente del vano</t>
  </si>
  <si>
    <t xml:space="preserve">m</t>
  </si>
  <si>
    <t xml:space="preserve">RACK_VANO</t>
  </si>
  <si>
    <t xml:space="preserve">Fondo del rack</t>
  </si>
  <si>
    <t xml:space="preserve">Pallet de 1.200 de fondo</t>
  </si>
  <si>
    <t xml:space="preserve">RACK_FONDO</t>
  </si>
  <si>
    <t xml:space="preserve">Pasillo del autoelevador (se cuenta la mitad)</t>
  </si>
  <si>
    <t xml:space="preserve">PASILLO_AE</t>
  </si>
  <si>
    <t xml:space="preserve">Factor de circulación para lo que espera en el piso (carros)</t>
  </si>
  <si>
    <t xml:space="preserve">×</t>
  </si>
  <si>
    <t xml:space="preserve">Igual que en PT</t>
  </si>
  <si>
    <t xml:space="preserve">F_CIRC</t>
  </si>
  <si>
    <t xml:space="preserve">Días de espera para la pintura (envío cada 2 días)</t>
  </si>
  <si>
    <t xml:space="preserve">Análisis de PT (Pintura, DIAS_PINT)</t>
  </si>
  <si>
    <t xml:space="preserve">DIAS_ESPERA</t>
  </si>
  <si>
    <t xml:space="preserve">Días en el pintor</t>
  </si>
  <si>
    <t xml:space="preserve">Carga X87 (3 días hábiles)</t>
  </si>
  <si>
    <t xml:space="preserve">DIAS_PINTOR</t>
  </si>
  <si>
    <t xml:space="preserve">Días que espera el pintado (vuelve el envío entero junto)</t>
  </si>
  <si>
    <t xml:space="preserve">La Master trae de una vez los pintados de un envío y la carga de polvo hace 14 por día: el máximo es el envío entero</t>
  </si>
  <si>
    <t xml:space="preserve">DIAS_PINTADOS</t>
  </si>
  <si>
    <t xml:space="preserve">Días de retención de los carros terminados (no se retienen)</t>
  </si>
  <si>
    <t xml:space="preserve">Decisión del grupo: no se retiene 7 días; los terminados pasan al almacén de PT y el operario verifica en el manómetro que cada carro esté presurizado al cargarlo en el camión de despacho</t>
  </si>
  <si>
    <t xml:space="preserve">DIAS_RET</t>
  </si>
  <si>
    <t xml:space="preserve">Carros por tramo donde el que entrega no puede parar (cuello y horno de pintura)</t>
  </si>
  <si>
    <t xml:space="preserve">Pulmones 2035, Parametros B43: mientras un carro viaja, el otro recibe</t>
  </si>
  <si>
    <t xml:space="preserve">CARROS_CRIT</t>
  </si>
  <si>
    <t xml:space="preserve">Recipiente de carro</t>
  </si>
  <si>
    <t xml:space="preserve">25 kg</t>
  </si>
  <si>
    <t xml:space="preserve">50 kg</t>
  </si>
  <si>
    <t xml:space="preserve">70 kg</t>
  </si>
  <si>
    <t xml:space="preserve">100 kg</t>
  </si>
  <si>
    <t xml:space="preserve">Ø del recipiente (mm)</t>
  </si>
  <si>
    <t xml:space="preserve">Word de carros</t>
  </si>
  <si>
    <t xml:space="preserve">m² de piso del carro con accesorios (largo × ancho)</t>
  </si>
  <si>
    <t xml:space="preserve">palletizado_PT: 600 × 550, 700 × 600, 800 × 700 y 800 × 750 mm</t>
  </si>
  <si>
    <t xml:space="preserve">PASO 1 — CUÁNTO HAY QUE HACER Y CUÁNTO CARGA CADA PUESTO (mes de cálculo)</t>
  </si>
  <si>
    <t xml:space="preserve">Producción del mes por modelo (plan con sobrestock) y carga de cada puesto de manuales, carros y recargas. Carga = Σ unidades del modelo × tiempo del modelo. Aprovechamiento = carga ÷ (máquinas × turnos × 450 min).</t>
  </si>
  <si>
    <t xml:space="preserve">▶ Mirá la columna V de manuales, P y Q de carros e H e I de recargas (aprovechamiento) y el cuello marcado. Ninguno debe pasar el 90 %.</t>
  </si>
  <si>
    <t xml:space="preserve">Mes</t>
  </si>
  <si>
    <t xml:space="preserve">1) PRODUCCIÓN DE CADA LÍNEA POR MES (para encontrar el mes pico)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</si>
  <si>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</si>
  <si>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</si>
  <si>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</si>
  <si>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</si>
  <si>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</si>
  <si>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</si>
  <si>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</si>
  <si>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</si>
  <si>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</si>
  <si>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</si>
  <si>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</si>
  <si>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</si>
  <si>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Mes pico (n.°)</t>
  </si>
  <si>
    <t xml:space="preserve">Recargas (equipos recibidos)</t>
  </si>
  <si>
    <t xml:space="preserve">2) MANUALES — QUÉ HAY QUE HACER POR DÍA EN EL MES DE CÁLCULO</t>
  </si>
  <si>
    <t xml:space="preserve">Modelo</t>
  </si>
  <si>
    <t xml:space="preserve">Producción del año (u)</t>
  </si>
  <si>
    <t xml:space="preserve">% del año que se hace este mes</t>
  </si>
  <si>
    <t xml:space="preserve">Recipientes por día</t>
  </si>
  <si>
    <t xml:space="preserve">Mezcla</t>
  </si>
  <si>
    <t xml:space="preserve">Ventas del mes (u)</t>
  </si>
  <si>
    <t xml:space="preserve">Sobrestock del mes (u)</t>
  </si>
  <si>
    <t xml:space="preserve">Total</t>
  </si>
  <si>
    <t xml:space="preserve">Sobrestock del mes: positivo = se fabrica de más para guardar; negativo = sale del stock hecho antes (ver Pulmones, sección 4).</t>
  </si>
  <si>
    <t xml:space="preserve">3) CARROS — QUÉ HAY QUE HACER POR DÍA EN EL MES DE CÁLCULO</t>
  </si>
  <si>
    <t xml:space="preserve">Carros por día</t>
  </si>
  <si>
    <t xml:space="preserve">4) RECARGAS</t>
  </si>
  <si>
    <t xml:space="preserve">Equipos que entran en el mes (recargas y altas de sustitutos)</t>
  </si>
  <si>
    <t xml:space="preserve">por día →</t>
  </si>
  <si>
    <t xml:space="preserve">5) MANUALES — CARGA POR PUESTO Y POR MODELO</t>
  </si>
  <si>
    <t xml:space="preserve">N°</t>
  </si>
  <si>
    <t xml:space="preserve">Puesto</t>
  </si>
  <si>
    <t xml:space="preserve">Rama</t>
  </si>
  <si>
    <t xml:space="preserve">Alcance</t>
  </si>
  <si>
    <t xml:space="preserve">Piezas por recipiente</t>
  </si>
  <si>
    <t xml:space="preserve">% que pasa</t>
  </si>
  <si>
    <t xml:space="preserve">t 1 kg (s/pieza)</t>
  </si>
  <si>
    <t xml:space="preserve">t 2,5 kg</t>
  </si>
  <si>
    <t xml:space="preserve">t 5 kg</t>
  </si>
  <si>
    <t xml:space="preserve">t 10 kg</t>
  </si>
  <si>
    <t xml:space="preserve">Piezas/día 1 kg</t>
  </si>
  <si>
    <t xml:space="preserve">Carga propia (min/día)</t>
  </si>
  <si>
    <t xml:space="preserve">Carga de carros (min/día)</t>
  </si>
  <si>
    <t xml:space="preserve">Carga total (min/día)</t>
  </si>
  <si>
    <t xml:space="preserve">Máq.</t>
  </si>
  <si>
    <t xml:space="preserve">Turnos</t>
  </si>
  <si>
    <t xml:space="preserve">Capacidad (min/día)</t>
  </si>
  <si>
    <t xml:space="preserve">Disponib. (planilla)</t>
  </si>
  <si>
    <t xml:space="preserve">Aprovech.</t>
  </si>
  <si>
    <t xml:space="preserve">Cuello</t>
  </si>
  <si>
    <t xml:space="preserve">Nota</t>
  </si>
  <si>
    <t xml:space="preserve">Recepción de materia prima</t>
  </si>
  <si>
    <t xml:space="preserve">Abastecimiento</t>
  </si>
  <si>
    <t xml:space="preserve">Todos</t>
  </si>
  <si>
    <t xml:space="preserve">Corte de chapa — 1.er corte en franjas (guillotina 1, manuales + carros)</t>
  </si>
  <si>
    <t xml:space="preserve">Cuerpo</t>
  </si>
  <si>
    <t xml:space="preserve">Tiempo por modelo de parametros_manuales (filas 124 a 127). La carga de carros (cuerpos) viene de Lotes; las tiras de accesorios están en la disponibilidad.</t>
  </si>
  <si>
    <t xml:space="preserve">Corte de chapa — 2.º corte en piezas (guillotina 2, manuales + carros)</t>
  </si>
  <si>
    <t xml:space="preserve">Ídem: segundo corte (piezas).</t>
  </si>
  <si>
    <t xml:space="preserve">Corte de disco y embutido (cúpula y fondo)</t>
  </si>
  <si>
    <t xml:space="preserve">Fondo y cúpula</t>
  </si>
  <si>
    <t xml:space="preserve">2 piezas por recipiente (cúpula y fondo). Los cambios de matriz se calculan en Lotes, sección 2.</t>
  </si>
  <si>
    <t xml:space="preserve">Preparación de cuello</t>
  </si>
  <si>
    <t xml:space="preserve">Marcado del cuerpo (manuales + carros)</t>
  </si>
  <si>
    <t xml:space="preserve">Antes: numerado de cúpula. Ahora marca el desarrollo plano de manuales (20 s) y de carros (1,5 a 1,8 min, Carga fila 76) entre la guillotina 2 y el cilindrado, tomando del pulmón de desarrollos. 2 puestos en 1 turno: uno fijo para el 1 kg y otro para 2,5 / 5 / 10 kg y carros (Datos fila 192). Cambio de formato 15 min (Rueda fila 9).</t>
  </si>
  <si>
    <t xml:space="preserve">Soldadura del cuello a la cúpula</t>
  </si>
  <si>
    <t xml:space="preserve">Cilindrado</t>
  </si>
  <si>
    <t xml:space="preserve">Layout rev. 10: roladora propia para el 1 kg; en Rueda se toman 2 máquinas.</t>
  </si>
  <si>
    <t xml:space="preserve">Soldadura longitudinal — 2,5 a 10 kg</t>
  </si>
  <si>
    <t xml:space="preserve">Solo 2,5 a 10 kg (115 s por cuerpo): es el cuello de la línea.</t>
  </si>
  <si>
    <t xml:space="preserve">Soldadura longitudinal TIG — 1 kg</t>
  </si>
  <si>
    <t xml:space="preserve">Exclusivo del 1 kg: no tiene cambios de formato.</t>
  </si>
  <si>
    <t xml:space="preserve">Encastre de fondo</t>
  </si>
  <si>
    <t xml:space="preserve">Unión cuerpo + fondo</t>
  </si>
  <si>
    <t xml:space="preserve">Bordoneado</t>
  </si>
  <si>
    <t xml:space="preserve">Cuerpo con fondo</t>
  </si>
  <si>
    <t xml:space="preserve">Soldadura circunferencial de cúpula y fondo</t>
  </si>
  <si>
    <t xml:space="preserve">Unión (marcapasos)</t>
  </si>
  <si>
    <t xml:space="preserve">Marcapasos: acá se juntan cuerpo con fondo y cúpula con cuello.</t>
  </si>
  <si>
    <t xml:space="preserve">Control de calidad — Espesor</t>
  </si>
  <si>
    <t xml:space="preserve">Terminación</t>
  </si>
  <si>
    <t xml:space="preserve">Muestra del 2 % (control por lote).</t>
  </si>
  <si>
    <t xml:space="preserve">Prueba hidráulica</t>
  </si>
  <si>
    <t xml:space="preserve">Secado</t>
  </si>
  <si>
    <t xml:space="preserve">Granallado</t>
  </si>
  <si>
    <t xml:space="preserve">Detección de defectos</t>
  </si>
  <si>
    <t xml:space="preserve">Corrección de defectos</t>
  </si>
  <si>
    <t xml:space="preserve">Solo el 5 % que tiene defectos.</t>
  </si>
  <si>
    <t xml:space="preserve">Pintura en polvo + horno</t>
  </si>
  <si>
    <t xml:space="preserve">Carga de polvo</t>
  </si>
  <si>
    <t xml:space="preserve">Matafuego</t>
  </si>
  <si>
    <t xml:space="preserve">Terminados</t>
  </si>
  <si>
    <t xml:space="preserve">Ensamblaje</t>
  </si>
  <si>
    <t xml:space="preserve">Presurización</t>
  </si>
  <si>
    <t xml:space="preserve">Control de calidad — Ensayo de pérdidas</t>
  </si>
  <si>
    <t xml:space="preserve">Etiquetado</t>
  </si>
  <si>
    <t xml:space="preserve">Embalaje y paletizado</t>
  </si>
  <si>
    <t xml:space="preserve">Embalaje</t>
  </si>
  <si>
    <t xml:space="preserve">Takt con 1 turno (s por recipiente) = 450 × 60 ÷ recipientes</t>
  </si>
  <si>
    <t xml:space="preserve">Contenido de trabajo por recipiente (s) = carga total × 60 ÷ recipientes</t>
  </si>
  <si>
    <t xml:space="preserve">Recursos-turno instalados (Σ máquinas × turnos)</t>
  </si>
  <si>
    <t xml:space="preserve">Aprovechamiento del cuello</t>
  </si>
  <si>
    <t xml:space="preserve">Aprovechamiento medio (ponderado por recursos-turno)</t>
  </si>
  <si>
    <t xml:space="preserve">Eficiencia de balanceo = medio ÷ cuello</t>
  </si>
  <si>
    <t xml:space="preserve">6) CARROS — CARGA POR PUESTO</t>
  </si>
  <si>
    <t xml:space="preserve">t 25 kg (min/u)</t>
  </si>
  <si>
    <t xml:space="preserve">t 50 kg</t>
  </si>
  <si>
    <t xml:space="preserve">t 70 kg</t>
  </si>
  <si>
    <t xml:space="preserve">t 100 kg</t>
  </si>
  <si>
    <t xml:space="preserve">Carga variable (min/día)</t>
  </si>
  <si>
    <t xml:space="preserve">Cambio (min)</t>
  </si>
  <si>
    <t xml:space="preserve">Tiempos fijos (min/día)</t>
  </si>
  <si>
    <t xml:space="preserve">Aprovech. (mes de cálculo)</t>
  </si>
  <si>
    <t xml:space="preserve">Aprovech. (mes pico de carros)</t>
  </si>
  <si>
    <t xml:space="preserve">1</t>
  </si>
  <si>
    <t xml:space="preserve">2</t>
  </si>
  <si>
    <t xml:space="preserve">Corte de chapa (guillotina)</t>
  </si>
  <si>
    <t xml:space="preserve">Carga del operario de corte para carros. La de las máquinas está en Lotes (guillotinas compartidas).</t>
  </si>
  <si>
    <t xml:space="preserve">2.1</t>
  </si>
  <si>
    <t xml:space="preserve">Marcado del cuerpo</t>
  </si>
  <si>
    <t xml:space="preserve">Absorbido por el marcado unificado (Carga fila 39, puesto 6 de manuales). Se deja con 0 máquinas (Datos fila 218) para no contar la carga dos veces; los tiempos siguen acá porque los usa la fila 39.</t>
  </si>
  <si>
    <t xml:space="preserve">3</t>
  </si>
  <si>
    <t xml:space="preserve">4</t>
  </si>
  <si>
    <t xml:space="preserve">Punteo del cuerpo</t>
  </si>
  <si>
    <t xml:space="preserve">5</t>
  </si>
  <si>
    <t xml:space="preserve">Soldadura longitudinal</t>
  </si>
  <si>
    <t xml:space="preserve">6</t>
  </si>
  <si>
    <t xml:space="preserve">Soldadura de cupla en la cúpula</t>
  </si>
  <si>
    <t xml:space="preserve">7</t>
  </si>
  <si>
    <t xml:space="preserve">Armado y soldadura circunferencial</t>
  </si>
  <si>
    <t xml:space="preserve">8</t>
  </si>
  <si>
    <t xml:space="preserve">Soldadura de accesorios</t>
  </si>
  <si>
    <t xml:space="preserve">8.1</t>
  </si>
  <si>
    <t xml:space="preserve">Fabricación de accesorios</t>
  </si>
  <si>
    <t xml:space="preserve">9</t>
  </si>
  <si>
    <t xml:space="preserve">10</t>
  </si>
  <si>
    <t xml:space="preserve">11</t>
  </si>
  <si>
    <t xml:space="preserve">Pulmón de despacho y carga a pintura</t>
  </si>
  <si>
    <t xml:space="preserve">12</t>
  </si>
  <si>
    <t xml:space="preserve">Recepción de pintados y cambio de juego</t>
  </si>
  <si>
    <t xml:space="preserve">La pintura es tercerizada: 3 días hábiles ida y vuelta.</t>
  </si>
  <si>
    <t xml:space="preserve">13 B</t>
  </si>
  <si>
    <t xml:space="preserve">Carga de polvo y presurización</t>
  </si>
  <si>
    <t xml:space="preserve">13 A-C / 15</t>
  </si>
  <si>
    <t xml:space="preserve">Montaje, manga, precinto y etiquetado</t>
  </si>
  <si>
    <t xml:space="preserve">14-17</t>
  </si>
  <si>
    <t xml:space="preserve">Calidad: pérdidas, inspección final, liberación y ensayos de lote</t>
  </si>
  <si>
    <t xml:space="preserve">Casi todo es fijo por día (actas, ensayos de lote): no depende del volumen.</t>
  </si>
  <si>
    <t xml:space="preserve">16</t>
  </si>
  <si>
    <t xml:space="preserve">Depósito de producto terminado y despacho</t>
  </si>
  <si>
    <t xml:space="preserve">Takt con 1 turno (min por carro)</t>
  </si>
  <si>
    <t xml:space="preserve">Aprovechamiento del cuello (mes de cálculo)</t>
  </si>
  <si>
    <t xml:space="preserve">Aprovechamiento del cuello (mes pico de carros)</t>
  </si>
  <si>
    <t xml:space="preserve">Aprovechamiento medio</t>
  </si>
  <si>
    <t xml:space="preserve">7) RECARGAS — CARGA POR PUESTO Y EQUIPOS EN PLANTA (es un servicio: el lote entra y sale en el día, no se arma en lotes por formato)</t>
  </si>
  <si>
    <t xml:space="preserve">t (s/equipo)</t>
  </si>
  <si>
    <t xml:space="preserve">Equipos/mes</t>
  </si>
  <si>
    <t xml:space="preserve">Equipos/día</t>
  </si>
  <si>
    <t xml:space="preserve">Aprovech. (mes pico de recargas)</t>
  </si>
  <si>
    <t xml:space="preserve">Espera media (h)</t>
  </si>
  <si>
    <t xml:space="preserve">Equipos en el puesto</t>
  </si>
  <si>
    <t xml:space="preserve">Jaulas</t>
  </si>
  <si>
    <t xml:space="preserve">Recepción y registro</t>
  </si>
  <si>
    <t xml:space="preserve">Inspección visual</t>
  </si>
  <si>
    <t xml:space="preserve">Descarga ABC — ruta recuperable</t>
  </si>
  <si>
    <t xml:space="preserve">Descarga a descarte (ABC, BC y Clase D)</t>
  </si>
  <si>
    <t xml:space="preserve">Descarga y carga de agua / AFFF / sales K</t>
  </si>
  <si>
    <t xml:space="preserve">Recuperación y carga de CO₂</t>
  </si>
  <si>
    <t xml:space="preserve">Recuperación y carga de halogenado</t>
  </si>
  <si>
    <t xml:space="preserve">Desarme y limpieza — recinto</t>
  </si>
  <si>
    <t xml:space="preserve">Desarme e inspección interior — zona general</t>
  </si>
  <si>
    <t xml:space="preserve">Laboratorio — Puffer y mufla</t>
  </si>
  <si>
    <t xml:space="preserve">Inspección interior con videoscopio</t>
  </si>
  <si>
    <t xml:space="preserve">Pintura</t>
  </si>
  <si>
    <t xml:space="preserve">Carga de polvo ABC, BC y Clase D</t>
  </si>
  <si>
    <t xml:space="preserve">Ensamblaje y marbete — recinto</t>
  </si>
  <si>
    <t xml:space="preserve">Presurización — recinto</t>
  </si>
  <si>
    <t xml:space="preserve">Ensamblaje y presurización — zona general</t>
  </si>
  <si>
    <t xml:space="preserve">Control de peso (CO₂ y halogenados sin recarga)</t>
  </si>
  <si>
    <t xml:space="preserve">Ensayo de pérdidas</t>
  </si>
  <si>
    <t xml:space="preserve">Precinto, etiqueta y despacho</t>
  </si>
  <si>
    <t xml:space="preserve">Inutilización y disposición final</t>
  </si>
  <si>
    <t xml:space="preserve">PH de mangueras (CO₂ y rodantes)</t>
  </si>
  <si>
    <t xml:space="preserve">Subtotal en los puestos</t>
  </si>
  <si>
    <t xml:space="preserve">Pulmón de recepción (lote retirado que espera entrar)</t>
  </si>
  <si>
    <t xml:space="preserve">días ×</t>
  </si>
  <si>
    <t xml:space="preserve">Pulmón de despacho (recargados listos para el recorrido)</t>
  </si>
  <si>
    <t xml:space="preserve">Total de recargas en planta</t>
  </si>
  <si>
    <t xml:space="preserve">Equipos en el puesto = ritmo por hora × (tiempo de operación + espera media) (ley de Little). 28 equipos por jaula (Word de recargas: jaulas A y B) y 2,4 m² por jaula con pasillo.</t>
  </si>
  <si>
    <t xml:space="preserve">PASO 2 — CUÁNTO HACER POR VEZ EN LAS MÁQUINAS CON CAMBIO CARO (guillotinas y embutidora)</t>
  </si>
  <si>
    <t xml:space="preserve">Regla del «punto de seguir procesando»: una tanda tiene que durar al menos 3 veces lo que lleva el cambio de formato (el cambio nunca pasa del 25 % de la tanda). Si el formato se consume más lento, se corta o se prensa cada varios días y lo que sobra queda en un pulmón.</t>
  </si>
  <si>
    <t xml:space="preserve">▶ Guillotinas: columnas O (cada cuántos días), P (hojas por tanda) y W (pulmón). Embutidora: J (cada cuántos días), K (piezas por tanda) y O (supermercado). Capacidad en las filas 22 a 24 y 42.</t>
  </si>
  <si>
    <t xml:space="preserve">1) GUILLOTINAS G1 (franjas) Y G2 (piezas) — compartidas por manuales y carros</t>
  </si>
  <si>
    <t xml:space="preserve">Hoja (mm)</t>
  </si>
  <si>
    <t xml:space="preserve">Cuerpos por hoja</t>
  </si>
  <si>
    <t xml:space="preserve">Cuerpos por día</t>
  </si>
  <si>
    <t xml:space="preserve">G1 (min/cuerpo)</t>
  </si>
  <si>
    <t xml:space="preserve">G2 (min/cuerpo)</t>
  </si>
  <si>
    <t xml:space="preserve">Corrida G1 (min/día) = E × F</t>
  </si>
  <si>
    <t xml:space="preserve">Corte G2 (min/día) = E × G</t>
  </si>
  <si>
    <t xml:space="preserve">Frec. mínima (días) = 3 × cambio ÷ H</t>
  </si>
  <si>
    <t xml:space="preserve">Frec. del modelo en la ola (días)</t>
  </si>
  <si>
    <t xml:space="preserve">Tope por espacio (días)</t>
  </si>
  <si>
    <t xml:space="preserve">Frec. calculada (días)</t>
  </si>
  <si>
    <t xml:space="preserve">Frec. elegida (vacío = calculada)</t>
  </si>
  <si>
    <t xml:space="preserve">Frec. final (días)</t>
  </si>
  <si>
    <t xml:space="preserve">Hojas por tanda</t>
  </si>
  <si>
    <t xml:space="preserve">Cuerpos por tanda</t>
  </si>
  <si>
    <t xml:space="preserve">Cobertura (días)</t>
  </si>
  <si>
    <t xml:space="preserve">Corrida de la tanda en G1 (min)</t>
  </si>
  <si>
    <t xml:space="preserve">Cambio ÷ tanda</t>
  </si>
  <si>
    <t xml:space="preserve">Fase (día)</t>
  </si>
  <si>
    <t xml:space="preserve">kg por hoja</t>
  </si>
  <si>
    <t xml:space="preserve">Paquete de chapa (kg)</t>
  </si>
  <si>
    <t xml:space="preserve">Lectura</t>
  </si>
  <si>
    <t xml:space="preserve">1.220 × 2.440 × 0,9</t>
  </si>
  <si>
    <t xml:space="preserve">1.220 × 2.440 × 1,25</t>
  </si>
  <si>
    <t xml:space="preserve">1.000 × 2.000 × 1,6</t>
  </si>
  <si>
    <t xml:space="preserve">1.500 × 3.000 × 2,0</t>
  </si>
  <si>
    <t xml:space="preserve">1.500 × 3.000 × 3,2</t>
  </si>
  <si>
    <t xml:space="preserve">1.500 × 3.000 × 4,75</t>
  </si>
  <si>
    <t xml:space="preserve">Carros: tiras y piezas de accesorios (fijo por día)</t>
  </si>
  <si>
    <t xml:space="preserve">Subtotal carros (cuerpos)</t>
  </si>
  <si>
    <t xml:space="preserve">Subtotal manuales</t>
  </si>
  <si>
    <t xml:space="preserve">Capacidad de las guillotinas con cambios, alistamiento y rendimiento del operario</t>
  </si>
  <si>
    <t xml:space="preserve">Corte manuales (min/día)</t>
  </si>
  <si>
    <t xml:space="preserve">Corte carros + accesorios (min/día)</t>
  </si>
  <si>
    <t xml:space="preserve">Corte ÷ rendimiento (min/día)</t>
  </si>
  <si>
    <t xml:space="preserve">Alistamiento + desalistamiento (min/día)</t>
  </si>
  <si>
    <t xml:space="preserve">Guillotina 1 — franjas (Ermaksan HGS 2600-6)</t>
  </si>
  <si>
    <t xml:space="preserve">Guillotina 2 — piezas (QC12Y 6 × 2500)</t>
  </si>
  <si>
    <t xml:space="preserve">Operario de corte, si una persona atiende G1 y G2</t>
  </si>
  <si>
    <t xml:space="preserve">Carga = (cortes + manipulación por hoja) ÷ rendimiento del operario (85 %) + cambios de formato (15 min G1: programa 5 + traer y devolver el paquete 10; 5 min G2) + 20 min por turno de alistamiento y desalistamiento.</t>
  </si>
  <si>
    <t xml:space="preserve">2) EMBUTIDORA — 8 matrices (cúpula y fondo de cada modelo), cambio de 90 min: trabaja contra un supermercado</t>
  </si>
  <si>
    <t xml:space="preserve">Matriz</t>
  </si>
  <si>
    <t xml:space="preserve">Piezas por día</t>
  </si>
  <si>
    <t xml:space="preserve">s por golpe</t>
  </si>
  <si>
    <t xml:space="preserve">Corrida (min/día) = D × E ÷ 60</t>
  </si>
  <si>
    <t xml:space="preserve">Frec. mínima (días) = 3 × cambio ÷ F</t>
  </si>
  <si>
    <t xml:space="preserve">Piezas por tanda = D × J</t>
  </si>
  <si>
    <t xml:space="preserve">Prensa por tanda (min)</t>
  </si>
  <si>
    <t xml:space="preserve">Supermercado máximo (piezas)</t>
  </si>
  <si>
    <t xml:space="preserve">Cajones como máximo (plan, Pulmones filas 22–23)</t>
  </si>
  <si>
    <t xml:space="preserve">Pallets en el rack (12 cajones, un modelo)</t>
  </si>
  <si>
    <t xml:space="preserve">kg de fleje por pieza</t>
  </si>
  <si>
    <t xml:space="preserve">Rollo de fleje = tanda (kg)</t>
  </si>
  <si>
    <t xml:space="preserve">C1</t>
  </si>
  <si>
    <t xml:space="preserve">F1</t>
  </si>
  <si>
    <t xml:space="preserve">C2,5</t>
  </si>
  <si>
    <t xml:space="preserve">F2,5</t>
  </si>
  <si>
    <t xml:space="preserve">C5</t>
  </si>
  <si>
    <t xml:space="preserve">F5</t>
  </si>
  <si>
    <t xml:space="preserve">C10</t>
  </si>
  <si>
    <t xml:space="preserve">F10</t>
  </si>
  <si>
    <t xml:space="preserve">Supermercado = tanda × (1 − consumo ÷ ritmo de la prensa) + 1 día de seguridad. Cúpula y fondo de un mismo modelo se prensan en días seguidos (fases) para que lleguen juntos y ningún día pase la capacidad.</t>
  </si>
  <si>
    <t xml:space="preserve">Golpes (min/día)</t>
  </si>
  <si>
    <t xml:space="preserve">Aprovech. de la planilla</t>
  </si>
  <si>
    <t xml:space="preserve">Cambios por mes</t>
  </si>
  <si>
    <t xml:space="preserve">Prensa Sangiacomo</t>
  </si>
  <si>
    <t xml:space="preserve">La planilla de aprovechamiento supone 32 cambios por mes (4 cúpulas y 4 fondos por semana). Con la regla de la corrida mínima quedan menos cambios y la disponibilidad sube.</t>
  </si>
  <si>
    <t xml:space="preserve">PASO 3 — LA RUEDA: qué formato pasa cada día por cada puesto (ola del cilindrado al embalaje)</t>
  </si>
  <si>
    <t xml:space="preserve">Marcapasos: soldadura circunferencial, donde se juntan el cuerpo con fondo y la cúpula con cuello. Todos los puestos de la ola corren el mismo formato el mismo día, uno detrás del otro: así los pulmones entre ellos quedan chicos.</t>
  </si>
  <si>
    <t xml:space="preserve">▶ Sección 2: cada cuántos días pasa cada modelo (columna H). Sección 3: el calendario de 20 días; ninguna celda de carga debe pasar el 100 %.</t>
  </si>
  <si>
    <t xml:space="preserve">1) PUESTOS DE LA OLA: cambios de formato y aprovechamiento con la rueda</t>
  </si>
  <si>
    <t xml:space="preserve">¿Cambia por formato?</t>
  </si>
  <si>
    <t xml:space="preserve">1 kg en máquina propia</t>
  </si>
  <si>
    <t xml:space="preserve">Carga (min/día)</t>
  </si>
  <si>
    <t xml:space="preserve">Carga del 1 kg (min/día)</t>
  </si>
  <si>
    <t xml:space="preserve">Corrida 1 kg (min/día)</t>
  </si>
  <si>
    <t xml:space="preserve">Corrida 2,5 kg</t>
  </si>
  <si>
    <t xml:space="preserve">Corrida 5 kg</t>
  </si>
  <si>
    <t xml:space="preserve">Corrida 10 kg</t>
  </si>
  <si>
    <t xml:space="preserve">Frec. mín. 1 kg (días)</t>
  </si>
  <si>
    <t xml:space="preserve">Frec. mín. 2,5 kg</t>
  </si>
  <si>
    <t xml:space="preserve">Frec. mín. 5 kg</t>
  </si>
  <si>
    <t xml:space="preserve">Frec. mín. 10 kg</t>
  </si>
  <si>
    <t xml:space="preserve">Frec. máx. 1 kg (días)</t>
  </si>
  <si>
    <t xml:space="preserve">Frec. máx. 2,5 kg</t>
  </si>
  <si>
    <t xml:space="preserve">Frec. máx. 5 kg</t>
  </si>
  <si>
    <t xml:space="preserve">Frec. máx. 10 kg</t>
  </si>
  <si>
    <t xml:space="preserve">Aprovech. con la rueda</t>
  </si>
  <si>
    <t xml:space="preserve">No</t>
  </si>
  <si>
    <t xml:space="preserve">Sí</t>
  </si>
  <si>
    <t xml:space="preserve">Marcado unificado: trabaja desde el pulmón de desarrollos, así que no limita la frecuencia de la ola (O a V fijos). Cambia cuando cambia la tanda de la guillotina: cambios por día = Lotes columna U (manuales 2,5 a 10 kg y carros; el 1 kg tiene puesto propio). Aprovechamiento como un solo puesto: carga total + cambios ÷ capacidad de todas las máquinas.</t>
  </si>
  <si>
    <t xml:space="preserve">Dos roladoras (layout rev. 10): una fija para el 1 kg, la otra rota 2,5 / 5 / 10 kg (editable).</t>
  </si>
  <si>
    <t xml:space="preserve">CUELLO: solo 2,5 a 10 kg; es el puesto que limita el tamaño de los lotes de la ola.</t>
  </si>
  <si>
    <t xml:space="preserve">Exclusiva del 1 kg: no cambia de formato.</t>
  </si>
  <si>
    <t xml:space="preserve">MARCAPASOS. El 1 kg ocupa más de una máquina, por eso las 2 soldadoras rotan formatos.</t>
  </si>
  <si>
    <t xml:space="preserve">Cambio de ganchos por formato (30 min).</t>
  </si>
  <si>
    <t xml:space="preserve">Dos puestos: uno embala solo el 1 kg (armadora regulada para su caja).</t>
  </si>
  <si>
    <t xml:space="preserve">Frec. mín. = 3 × cambio ÷ corrida diaria del modelo en el puesto. Frec. máx. = cuántos días del modelo entran juntos en un día del puesto (90 % de la capacidad menos la carga de los otros modelos y sus cambios).</t>
  </si>
  <si>
    <t xml:space="preserve">2) CADA CUÁNTOS DÍAS PASA CADA MODELO POR TODA LA OLA</t>
  </si>
  <si>
    <t xml:space="preserve">Frec. mínima por corrida (días)</t>
  </si>
  <si>
    <t xml:space="preserve">Frec. máxima por capacidad del día (días)</t>
  </si>
  <si>
    <t xml:space="preserve">Fase en el marcapasos (día)</t>
  </si>
  <si>
    <t xml:space="preserve">Lote de la ola (recipientes)</t>
  </si>
  <si>
    <t xml:space="preserve">Cambios por día en el marcapasos</t>
  </si>
  <si>
    <t xml:space="preserve">3) CALENDARIO DE 20 DÍAS HÁBILES: formatos de cada día y carga del puesto</t>
  </si>
  <si>
    <t xml:space="preserve">Guillotina 1 — formatos</t>
  </si>
  <si>
    <t xml:space="preserve">carga</t>
  </si>
  <si>
    <t xml:space="preserve">Embutidora — matrices</t>
  </si>
  <si>
    <t xml:space="preserve">Formatos: 1 / 2,5 / 5 / 10 = modelos de manuales · C25, C50, CM = hojas de carros (25 kg, 50 kg y mixta 70 + 100) · C1, F1… = cúpula y fondo de cada modelo en la embutidora.</t>
  </si>
  <si>
    <t xml:space="preserve">Carga del día = (tanda + cambio) ÷ capacidad del día. Si un día pasa el 100 %, se mueve la fase (amarillo) de algún formato.</t>
  </si>
  <si>
    <t xml:space="preserve">PASO 4 — PULMONES ENTRE PUESTOS Y STOCKS: cuánto material queda esperando y cuánto lugar ocupa</t>
  </si>
  <si>
    <t xml:space="preserve">Stock en proceso entre puestos (manuales, carros y recargas), producto terminado que deja el sobrestock y almacenes. El total de la sección 1 es lo que hay que reservar en el layout.</t>
  </si>
  <si>
    <t xml:space="preserve">▶ Sección 1 (m² a reservar). En cada pulmón: L (máximo del plan simulado), M (módulos de estante), N (m²), O (bandejas o cajones), P (carros de tránsito: 1 por tramo, 2 donde el que entrega no puede parar, columna S), Q (¿el que consume es más lento?). Fuente: Pulmones-FLAMA2035.</t>
  </si>
  <si>
    <t xml:space="preserve">1) LO QUE HAY QUE RESERVAR EN EL LAYOUT</t>
  </si>
  <si>
    <t xml:space="preserve">Sale de</t>
  </si>
  <si>
    <t xml:space="preserve">Pulmones de manuales (estantes, carros de tránsito y rack de fondos y cúpulas)</t>
  </si>
  <si>
    <t xml:space="preserve">Sección 2</t>
  </si>
  <si>
    <t xml:space="preserve">Pulmones de carros (espera del pintor y pintados)</t>
  </si>
  <si>
    <t xml:space="preserve">Sección 3</t>
  </si>
  <si>
    <t xml:space="preserve">Recargas en planta (jaulas)</t>
  </si>
  <si>
    <t xml:space="preserve">Carga, sección 7</t>
  </si>
  <si>
    <t xml:space="preserve">Almacén de producto terminado (con andén y carros de manipulación)</t>
  </si>
  <si>
    <t xml:space="preserve">Secciones 4 a 6</t>
  </si>
  <si>
    <t xml:space="preserve">Almacén de materia prima</t>
  </si>
  <si>
    <t xml:space="preserve">Sección 7</t>
  </si>
  <si>
    <t xml:space="preserve">MP al pie de los puestos</t>
  </si>
  <si>
    <t xml:space="preserve">2) PULMONES DE MANUALES (máximo del plan simulado: lo que se junta a la vez, no la suma de los modelos; estante solo donde el que consume es más lento)</t>
  </si>
  <si>
    <t xml:space="preserve">Pieza o estado</t>
  </si>
  <si>
    <t xml:space="preserve">Desde</t>
  </si>
  <si>
    <t xml:space="preserve">Hacia</t>
  </si>
  <si>
    <t xml:space="preserve">Por qué se junta</t>
  </si>
  <si>
    <t xml:space="preserve">Tipo de pulmón</t>
  </si>
  <si>
    <t xml:space="preserve">Cómo espera</t>
  </si>
  <si>
    <t xml:space="preserve">1 kg (u)</t>
  </si>
  <si>
    <t xml:space="preserve">2,5 kg (u)</t>
  </si>
  <si>
    <t xml:space="preserve">5 kg (u)</t>
  </si>
  <si>
    <t xml:space="preserve">10 kg (u)</t>
  </si>
  <si>
    <t xml:space="preserve">Máximo del plan (u)</t>
  </si>
  <si>
    <t xml:space="preserve">Módulos de estante</t>
  </si>
  <si>
    <t xml:space="preserve">Unidades de carga (bandejas o cajones)</t>
  </si>
  <si>
    <t xml:space="preserve">Carros de tránsito</t>
  </si>
  <si>
    <t xml:space="preserve">¿El que consume es más lento?</t>
  </si>
  <si>
    <t xml:space="preserve">Antes: suma de modelos (u)</t>
  </si>
  <si>
    <t xml:space="preserve">¿El que entrega puede parar?</t>
  </si>
  <si>
    <t xml:space="preserve">Franjas</t>
  </si>
  <si>
    <t xml:space="preserve">Tanda</t>
  </si>
  <si>
    <t xml:space="preserve">Desarrollos</t>
  </si>
  <si>
    <t xml:space="preserve">Virolas</t>
  </si>
  <si>
    <t xml:space="preserve">Cuello (1 h)</t>
  </si>
  <si>
    <t xml:space="preserve">Cuerpos soldados</t>
  </si>
  <si>
    <t xml:space="preserve">Más lento</t>
  </si>
  <si>
    <t xml:space="preserve">No: es el cuello</t>
  </si>
  <si>
    <t xml:space="preserve">Fondos</t>
  </si>
  <si>
    <t xml:space="preserve">Supermercado</t>
  </si>
  <si>
    <t xml:space="preserve">Cúpulas</t>
  </si>
  <si>
    <t xml:space="preserve">Desarrollos marcados</t>
  </si>
  <si>
    <t xml:space="preserve">Pegado</t>
  </si>
  <si>
    <t xml:space="preserve">Cúpulas con cuello</t>
  </si>
  <si>
    <t xml:space="preserve">Marcapasos (3,75 h)</t>
  </si>
  <si>
    <t xml:space="preserve">Cuerpos con fondo</t>
  </si>
  <si>
    <t xml:space="preserve">Unión</t>
  </si>
  <si>
    <t xml:space="preserve">Sin estante</t>
  </si>
  <si>
    <t xml:space="preserve">Cuerpos bordoneados</t>
  </si>
  <si>
    <t xml:space="preserve">Cilindros soldados</t>
  </si>
  <si>
    <t xml:space="preserve">Cilindros mojados</t>
  </si>
  <si>
    <t xml:space="preserve">Cilindros secos</t>
  </si>
  <si>
    <t xml:space="preserve">Cilindros granallados</t>
  </si>
  <si>
    <t xml:space="preserve">Cilindros vacíos pintados</t>
  </si>
  <si>
    <t xml:space="preserve">Cilindro vacío</t>
  </si>
  <si>
    <t xml:space="preserve">No: sale del horno</t>
  </si>
  <si>
    <t xml:space="preserve">Cilindros pintados para cargar</t>
  </si>
  <si>
    <t xml:space="preserve">Cilindros cargados de polvo</t>
  </si>
  <si>
    <t xml:space="preserve">Matafuegos armados</t>
  </si>
  <si>
    <t xml:space="preserve">Matafuegos presurizados</t>
  </si>
  <si>
    <t xml:space="preserve">Matafuegos ensayados</t>
  </si>
  <si>
    <t xml:space="preserve">Matafuegos etiquetados</t>
  </si>
  <si>
    <t xml:space="preserve">Total manuales</t>
  </si>
  <si>
    <t xml:space="preserve">Rack de fondos y cúpulas al lado de la prensa: pallets (L), vanos de 2,7 m × 3 niveles (M) y m² con medio pasillo de autoelevador (N). Sus m² se reparten en las filas 22 y 23 según los pallets de cada pieza.</t>
  </si>
  <si>
    <t xml:space="preserve">3) PULMONES DE CARROS (máximo del plan en la ola de carros; en la espera del pintor, los pintados y los retenidos esperan todos los modelos juntos)</t>
  </si>
  <si>
    <t xml:space="preserve">Etapa</t>
  </si>
  <si>
    <t xml:space="preserve">Por qué este máximo</t>
  </si>
  <si>
    <t xml:space="preserve">Días de permanencia</t>
  </si>
  <si>
    <t xml:space="preserve">25 kg (u)</t>
  </si>
  <si>
    <t xml:space="preserve">50 kg (u)</t>
  </si>
  <si>
    <t xml:space="preserve">70 kg (u)</t>
  </si>
  <si>
    <t xml:space="preserve">100 kg (u)</t>
  </si>
  <si>
    <t xml:space="preserve">Total máximo (u)</t>
  </si>
  <si>
    <t xml:space="preserve">m² por recipiente</t>
  </si>
  <si>
    <t xml:space="preserve">Cuerpos planos grabados</t>
  </si>
  <si>
    <t xml:space="preserve">Guillotinas</t>
  </si>
  <si>
    <t xml:space="preserve">Cilindrado de carros</t>
  </si>
  <si>
    <t xml:space="preserve">tanda</t>
  </si>
  <si>
    <t xml:space="preserve">Punteo</t>
  </si>
  <si>
    <t xml:space="preserve">plan</t>
  </si>
  <si>
    <t xml:space="preserve">Armado (7)</t>
  </si>
  <si>
    <t xml:space="preserve">Cúpulas con cupla</t>
  </si>
  <si>
    <t xml:space="preserve">Soldadura de cupla (6)</t>
  </si>
  <si>
    <t xml:space="preserve">Cilindros cerrados</t>
  </si>
  <si>
    <t xml:space="preserve">Accesorios (8)</t>
  </si>
  <si>
    <t xml:space="preserve">Recipientes esperando la pintura (envío cada 2 días)</t>
  </si>
  <si>
    <t xml:space="preserve">PH y secado</t>
  </si>
  <si>
    <t xml:space="preserve">Pintura tercerizada</t>
  </si>
  <si>
    <t xml:space="preserve">Carros en la pintura (fuera de planta)</t>
  </si>
  <si>
    <t xml:space="preserve">Pulmón de despacho</t>
  </si>
  <si>
    <t xml:space="preserve">Pintor externo</t>
  </si>
  <si>
    <t xml:space="preserve">Carros pintados</t>
  </si>
  <si>
    <t xml:space="preserve">Recepción de pintados (12)</t>
  </si>
  <si>
    <t xml:space="preserve">Carga (13)</t>
  </si>
  <si>
    <t xml:space="preserve">Carros terminados (sin retención: manómetro al cargar el camión de despacho)</t>
  </si>
  <si>
    <t xml:space="preserve">Etiquetado (15)</t>
  </si>
  <si>
    <t xml:space="preserve">Almacén de PT</t>
  </si>
  <si>
    <t xml:space="preserve">Total carros</t>
  </si>
  <si>
    <t xml:space="preserve">Filas 43 a 47: máximo del plan simulado (Datos), no «carros por día × días». Filas 48 a 51 (la 51 queda en 0: no hay retención): carros por día (Carga) × días (Parametros, sección 10). m² en el piso: (Ø + 100 mm)² × F_CIRC; con accesorios, largo × ancho × F_CIRC. Fila 43: la mesa móvil se reserva para la tanda entera (Lotes W); fila 46: el carro canasto lleva las cúpulas del día.</t>
  </si>
  <si>
    <t xml:space="preserve">4) PRODUCTO TERMINADO DE MANUALES: el stock que deja el sobrestock (se fabrica antes para cubrir diciembre y enero)</t>
  </si>
  <si>
    <t xml:space="preserve">Ventas del año (u)</t>
  </si>
  <si>
    <t xml:space="preserve">Stock al 1 de enero (u)</t>
  </si>
  <si>
    <t xml:space="preserve">Stock máximo por sobrestock (u)</t>
  </si>
  <si>
    <t xml:space="preserve">Mes del máximo</t>
  </si>
  <si>
    <t xml:space="preserve">Venta promedio (u/día)</t>
  </si>
  <si>
    <t xml:space="preserve">Stock de seguridad (u)</t>
  </si>
  <si>
    <t xml:space="preserve">Pallet en armado (u)</t>
  </si>
  <si>
    <t xml:space="preserve">Stock máximo total (u)</t>
  </si>
  <si>
    <t xml:space="preserve">u por pallet</t>
  </si>
  <si>
    <t xml:space="preserve">Pallets</t>
  </si>
  <si>
    <t xml:space="preserve">Acum. Ene</t>
  </si>
  <si>
    <t xml:space="preserve">Acum. Feb</t>
  </si>
  <si>
    <t xml:space="preserve">Acum. Mar</t>
  </si>
  <si>
    <t xml:space="preserve">Acum. Abr</t>
  </si>
  <si>
    <t xml:space="preserve">Acum. May</t>
  </si>
  <si>
    <t xml:space="preserve">Acum. Jun</t>
  </si>
  <si>
    <t xml:space="preserve">Acum. Jul</t>
  </si>
  <si>
    <t xml:space="preserve">Acum. Ago</t>
  </si>
  <si>
    <t xml:space="preserve">Acum. Sep</t>
  </si>
  <si>
    <t xml:space="preserve">Acum. Oct</t>
  </si>
  <si>
    <t xml:space="preserve">Acum. Nov</t>
  </si>
  <si>
    <t xml:space="preserve">Acum. Dic</t>
  </si>
  <si>
    <t xml:space="preserve">ABC 1 kg</t>
  </si>
  <si>
    <t xml:space="preserve">ABC 2,5 kg</t>
  </si>
  <si>
    <t xml:space="preserve">ABC 5 kg</t>
  </si>
  <si>
    <t xml:space="preserve">ABC 10 kg</t>
  </si>
  <si>
    <t xml:space="preserve">Cilindros ABC 1 kg</t>
  </si>
  <si>
    <t xml:space="preserve">Cilindros ABC 2,5 kg</t>
  </si>
  <si>
    <t xml:space="preserve">Cilindros ABC 5 kg</t>
  </si>
  <si>
    <t xml:space="preserve">Cilindros ABC 10 kg</t>
  </si>
  <si>
    <t xml:space="preserve">Acum. = producción con sobrestock − ventas, acumulado desde enero. Stock al 1 de enero = lo que hay que tener hecho en octubre y noviembre del año anterior para que nunca falte. Stock máximo = stock inicial + el acumulado más alto.</t>
  </si>
  <si>
    <t xml:space="preserve">5) CARROS LIBERADOS Y SUSTITUTOS EN PLANTA</t>
  </si>
  <si>
    <t xml:space="preserve">Terminados del año (u)</t>
  </si>
  <si>
    <t xml:space="preserve">Mes de mayor venta (% del año)</t>
  </si>
  <si>
    <t xml:space="preserve">Días de stock</t>
  </si>
  <si>
    <t xml:space="preserve">m² por unidad</t>
  </si>
  <si>
    <t xml:space="preserve">Carro 25 kg terminado</t>
  </si>
  <si>
    <t xml:space="preserve">Carro 50 kg terminado</t>
  </si>
  <si>
    <t xml:space="preserve">Carro 70 kg terminado</t>
  </si>
  <si>
    <t xml:space="preserve">Carro 100 kg terminado</t>
  </si>
  <si>
    <t xml:space="preserve">Carros terminados</t>
  </si>
  <si>
    <t xml:space="preserve">Sustitutos de manuales (pallets)</t>
  </si>
  <si>
    <t xml:space="preserve">pallets</t>
  </si>
  <si>
    <t xml:space="preserve">Sustitutos comprados (jaulas)</t>
  </si>
  <si>
    <t xml:space="preserve">Sustitutos de carros (en piso)</t>
  </si>
  <si>
    <t xml:space="preserve">Sustitutos: stock del año en circulación (Datos). Los de 2,5 a 100 kg ya están en el plan de producción; el 1 kg no lleva sustituto.</t>
  </si>
  <si>
    <t xml:space="preserve">6) ALMACÉN DE PRODUCTO TERMINADO</t>
  </si>
  <si>
    <t xml:space="preserve">Pallets / jaulas</t>
  </si>
  <si>
    <t xml:space="preserve">Columnas o módulos de rack</t>
  </si>
  <si>
    <t xml:space="preserve">Manuales en caja y cilindros vacíos de manuales y de carro (rack de 3 niveles, mástil de 4,5 m) y andén</t>
  </si>
  <si>
    <t xml:space="preserve">Sección 4 y Word de PT (rack + andén)</t>
  </si>
  <si>
    <t xml:space="preserve">Matafuegos revendidos</t>
  </si>
  <si>
    <t xml:space="preserve">Libro completo, Stock_MP (política de stock del MRP)</t>
  </si>
  <si>
    <t xml:space="preserve">Sustitutos de manuales</t>
  </si>
  <si>
    <t xml:space="preserve">Sección 5</t>
  </si>
  <si>
    <t xml:space="preserve">Sustitutos comprados</t>
  </si>
  <si>
    <t xml:space="preserve">Carros terminados en el piso (5 días de venta) y carros de manipulación</t>
  </si>
  <si>
    <t xml:space="preserve">Sección 5 y Word de PT (carros de manipulación)</t>
  </si>
  <si>
    <t xml:space="preserve">Carros sustitutos (en piso)</t>
  </si>
  <si>
    <t xml:space="preserve">Total almacén de PT</t>
  </si>
  <si>
    <t xml:space="preserve">7) ALMACÉN DE MATERIA PRIMA Y MP AL PIE DE LOS PUESTOS (MP_FLAMA_2035, Almacenes)</t>
  </si>
  <si>
    <t xml:space="preserve">Almacén</t>
  </si>
  <si>
    <t xml:space="preserve">Lugares</t>
  </si>
  <si>
    <t xml:space="preserve">m² por lugar</t>
  </si>
  <si>
    <t xml:space="preserve">Criterio de superficie</t>
  </si>
  <si>
    <t xml:space="preserve">Chapa (pilas en el piso, manuales y carros)</t>
  </si>
  <si>
    <t xml:space="preserve">MP_FLAMA_2035, Almacenes fila 19: 7 pilas con la calle de 5 m</t>
  </si>
  <si>
    <t xml:space="preserve">Cantilever de caños y barras</t>
  </si>
  <si>
    <t xml:space="preserve">Criterio: brazo de cantilever de 6 m + pasillo</t>
  </si>
  <si>
    <t xml:space="preserve">Flejes (rack selectivo + volteador)</t>
  </si>
  <si>
    <t xml:space="preserve">MP_FLAMA_2035, Almacenes fila 20: 2 módulos de rack y zona de armado</t>
  </si>
  <si>
    <t xml:space="preserve">Depósito de polvo químico</t>
  </si>
  <si>
    <t xml:space="preserve">Word: big bags de 1 × 1 m apilados de a 2, más pasillo</t>
  </si>
  <si>
    <t xml:space="preserve">Rack de pallets de 3 niveles</t>
  </si>
  <si>
    <t xml:space="preserve">Identificación</t>
  </si>
  <si>
    <t xml:space="preserve">Estantería liviana</t>
  </si>
  <si>
    <t xml:space="preserve">Insumos de montaje (manuales)</t>
  </si>
  <si>
    <t xml:space="preserve">Insumos de recargas</t>
  </si>
  <si>
    <t xml:space="preserve">Insumos de soldadura y superficie</t>
  </si>
  <si>
    <t xml:space="preserve">Jaula de gases</t>
  </si>
  <si>
    <t xml:space="preserve">Jaula exterior ventilada; tubos y packs</t>
  </si>
  <si>
    <t xml:space="preserve">Rack de casquetes y cuplas (carros)</t>
  </si>
  <si>
    <t xml:space="preserve">MP_FLAMA_2035, Almacenes fila 29: contenedores de NOVA Ruedas</t>
  </si>
  <si>
    <t xml:space="preserve">Rack de insumos de montaje (carros)</t>
  </si>
  <si>
    <t xml:space="preserve">Word de carros: 5,9 m² para 8 posiciones</t>
  </si>
  <si>
    <t xml:space="preserve">Total almacén de MP</t>
  </si>
  <si>
    <t xml:space="preserve">MP al pie de los puestos — manuales</t>
  </si>
  <si>
    <t xml:space="preserve">Libro completo, MP_en_linea (bultos en espera, estantes y carros de abastecimiento)</t>
  </si>
  <si>
    <t xml:space="preserve">MP al pie de los puestos — carros</t>
  </si>
  <si>
    <t xml:space="preserve">MP al pie de los puestos — recargas</t>
  </si>
  <si>
    <t xml:space="preserve">Total MP al pie de los puestos</t>
  </si>
  <si>
    <t xml:space="preserve">El detalle de las 125 MP (formato de compra, pedido por proveedor y stock máximo) está en el libro completo y en el Word de materia prima.</t>
  </si>
  <si>
    <t xml:space="preserve">DATOS IMPORTADOS (valores pegados de las planillas de aprovechamiento)</t>
  </si>
  <si>
    <t xml:space="preserve">Aprovechamiento_Manuales, Aprovechamiento_Carros y Aprovechamiento_Recargas_Planta_Industrial (plan mensual con sobrestock, máquinas y turnos por año, unidades de recargas por puesto) y sobrestock de sustitutos. Si cambian las planillas, volver a pegar estos valores.</t>
  </si>
  <si>
    <t xml:space="preserve">▶ Esta hoja no se lee: solo guarda los datos. Verde = se puede corregir a mano (máquinas y turnos, como en las planillas).</t>
  </si>
  <si>
    <t xml:space="preserve">PLAN MENSUAL DE VENTAS DE MANUALES (u/mes, sin sobrestock; el total del año es el que se fabrica) — Aprovechamiento_Manuales</t>
  </si>
  <si>
    <t xml:space="preserve">Año</t>
  </si>
  <si>
    <t xml:space="preserve">Tipo</t>
  </si>
  <si>
    <t xml:space="preserve">Terminado</t>
  </si>
  <si>
    <t xml:space="preserve">Cilindro</t>
  </si>
  <si>
    <t xml:space="preserve">PLAN MENSUAL DE CARROS (u/mes) — Aprovechamiento_Carros, Plan mensual</t>
  </si>
  <si>
    <t xml:space="preserve">Carro ABC 25 kg</t>
  </si>
  <si>
    <t xml:space="preserve">Carro ABC 50 kg</t>
  </si>
  <si>
    <t xml:space="preserve">Carro ABC 70 kg</t>
  </si>
  <si>
    <t xml:space="preserve">Carro ABC 100 kg</t>
  </si>
  <si>
    <t xml:space="preserve">Cilindros ABC 25 kg</t>
  </si>
  <si>
    <t xml:space="preserve">Cilindros ABC 50 kg</t>
  </si>
  <si>
    <t xml:space="preserve">Cilindros ABC 70 kg</t>
  </si>
  <si>
    <t xml:space="preserve">Cilindros ABC 100 kg</t>
  </si>
  <si>
    <t xml:space="preserve">PERFIL DE PRODUCCIÓN CON SOBRESTOCK — manuales (% del año que se fabrica cada mes; parametros_manuales filas 97 a 112)</t>
  </si>
  <si>
    <t xml:space="preserve">ESTACIONALIDAD DE VENTA — carros (MRP, perfil E03)</t>
  </si>
  <si>
    <t xml:space="preserve">MANUALES — máquinas y turnos por año («Resumen cap. con sobrestock»)</t>
  </si>
  <si>
    <t xml:space="preserve">Máq. 2026</t>
  </si>
  <si>
    <t xml:space="preserve">Máq. 2027</t>
  </si>
  <si>
    <t xml:space="preserve">Máq. 2028</t>
  </si>
  <si>
    <t xml:space="preserve">Máq. 2029</t>
  </si>
  <si>
    <t xml:space="preserve">Máq. 2030</t>
  </si>
  <si>
    <t xml:space="preserve">Máq. 2031</t>
  </si>
  <si>
    <t xml:space="preserve">Máq. 2032</t>
  </si>
  <si>
    <t xml:space="preserve">Máq. 2033</t>
  </si>
  <si>
    <t xml:space="preserve">Máq. 2034</t>
  </si>
  <si>
    <t xml:space="preserve">Máq. 2035</t>
  </si>
  <si>
    <t xml:space="preserve">Turnos 2026</t>
  </si>
  <si>
    <t xml:space="preserve">Turnos 2027</t>
  </si>
  <si>
    <t xml:space="preserve">Turnos 2028</t>
  </si>
  <si>
    <t xml:space="preserve">Turnos 2029</t>
  </si>
  <si>
    <t xml:space="preserve">Turnos 2030</t>
  </si>
  <si>
    <t xml:space="preserve">Turnos 2031</t>
  </si>
  <si>
    <t xml:space="preserve">Turnos 2032</t>
  </si>
  <si>
    <t xml:space="preserve">Turnos 2033</t>
  </si>
  <si>
    <t xml:space="preserve">Turnos 2034</t>
  </si>
  <si>
    <t xml:space="preserve">Turnos 2035</t>
  </si>
  <si>
    <t xml:space="preserve">Cambio del grupo: marcado unificado en 1 turno. 1 puesto hasta 2033 (85 % en el mes pico); desde 2034, 2 puestos (uno fijo para el 1 kg). Antes: 1 máquina de numerado de cúpula.</t>
  </si>
  <si>
    <t xml:space="preserve">CARROS — máquinas y turnos por año («Resumen Capacidad»)</t>
  </si>
  <si>
    <t xml:space="preserve">Cambio del grupo: 0 máquinas; el marcado de carros lo hace el puesto 6 de manuales.</t>
  </si>
  <si>
    <t xml:space="preserve">RECARGAS — máquinas y turnos por año («Resumen Capacidad»)</t>
  </si>
  <si>
    <t xml:space="preserve">MANUALES — aprovechamiento de la planilla en el mes pico («Resumen cap. con sobrestock»): se usa solo como control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</si>
  <si>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</si>
  <si>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</si>
  <si>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</si>
  <si>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</si>
  <si>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</si>
  <si>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</si>
  <si>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</si>
  <si>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</si>
  <si>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</si>
  <si>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</si>
  <si>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Numerado de cúpula</t>
  </si>
  <si>
    <t xml:space="preserve">SUSTITUTOS EN CIRCULACIÓN (u) — Recargas Planta Industrial, sobrestock_sustitutos, paso 3</t>
  </si>
  <si>
    <t xml:space="preserve">Origen del alta</t>
  </si>
  <si>
    <t xml:space="preserve">Fábrica: terminado</t>
  </si>
  <si>
    <t xml:space="preserve">Agua 10 l</t>
  </si>
  <si>
    <t xml:space="preserve">Compra</t>
  </si>
  <si>
    <t xml:space="preserve">AFFF 10 l</t>
  </si>
  <si>
    <t xml:space="preserve">AFFF 50 l s/ruedas</t>
  </si>
  <si>
    <t xml:space="preserve">BC 5 kg</t>
  </si>
  <si>
    <t xml:space="preserve">Sales K 6 l</t>
  </si>
  <si>
    <t xml:space="preserve">CO₂ 2 kg</t>
  </si>
  <si>
    <t xml:space="preserve">CO₂ 5 kg</t>
  </si>
  <si>
    <t xml:space="preserve">HCFC/HFC 5 kg</t>
  </si>
  <si>
    <t xml:space="preserve">Clase D 9 l</t>
  </si>
  <si>
    <t xml:space="preserve">ABC 25 kg s/ruedas</t>
  </si>
  <si>
    <t xml:space="preserve">ABC 50 kg s/ruedas</t>
  </si>
  <si>
    <t xml:space="preserve">ABC 70 kg s/ruedas</t>
  </si>
  <si>
    <t xml:space="preserve">ABC 100 kg s/ruedas</t>
  </si>
  <si>
    <t xml:space="preserve">RECARGAS — unidades por puesto y por mes (Recargas Planta Industrial, Demanda por puesto)</t>
  </si>
  <si>
    <t xml:space="preserve">PULMONES 2035 — PLAN SIMULADO (valores pegados de Pulmones-FLAMA2035.xlsx, Datos secciones 6 y 7: simulación minuto a minuto del plan de este balanceo, enero de 2035)</t>
  </si>
  <si>
    <t xml:space="preserve">Manuales: piezas de cada modelo en el momento del máximo, SIN la protección (la protección la suma la hoja Pulmones con H_PROT y H_PROT_MARC). «Antes» = suma de los máximos de cada modelo que tomaba este libro.</t>
  </si>
  <si>
    <t xml:space="preserve">Pulmón</t>
  </si>
  <si>
    <t xml:space="preserve">Momento del máximo</t>
  </si>
  <si>
    <t xml:space="preserve">Total simulado (u)</t>
  </si>
  <si>
    <t xml:space="preserve">Una franja por vez</t>
  </si>
  <si>
    <t xml:space="preserve">No (tanda)</t>
  </si>
  <si>
    <t xml:space="preserve">Sobre la mesa elevadora 2 (fija), en la guillotina 2</t>
  </si>
  <si>
    <t xml:space="preserve">La G2 corta la franja apenas la G1 la deja: en la mesa hay un solo formato a la vez (2 hojas). El máximo es el del 1 kg, no la suma de los cuatro.</t>
  </si>
  <si>
    <t xml:space="preserve">Día 10 del ciclo, 07:09</t>
  </si>
  <si>
    <t xml:space="preserve">Sí (tanda)</t>
  </si>
  <si>
    <t xml:space="preserve">Estante: pilas por modelo sobre bandejas</t>
  </si>
  <si>
    <t xml:space="preserve">La G2 corta cada tanda en minutos y el marcado la usa durante días (2,5 kg cada 8 días, 10 kg cada 16). Como cada formato se corta un día distinto, nunca están todas las tandas llenas a la vez.</t>
  </si>
  <si>
    <t xml:space="preserve">Día con 10 kg, 09:43</t>
  </si>
  <si>
    <t xml:space="preserve">Estante: parados en bandejas, un modelo por bandeja</t>
  </si>
  <si>
    <t xml:space="preserve">La soldadura longitudinal (115 s) y la TIG (30 s) son más lentas que el cilindrado (20 s, al paso del marcado), que hace todo el día en el 1.er turno. Más 1 h de protección del cuello (solo 2,5 a 10 kg).</t>
  </si>
  <si>
    <t xml:space="preserve">Día sin 10 kg, 13:39</t>
  </si>
  <si>
    <t xml:space="preserve">Sí (le entregan dos)</t>
  </si>
  <si>
    <t xml:space="preserve">Al encastre (30 s, unos 120 por hora) le entregan a la vez la TIG con el 1 kg y la longitudinal con el resto: juntas mandan más por hora de lo que el encastre hace.</t>
  </si>
  <si>
    <t xml:space="preserve">Día 14 del ciclo, 15:36</t>
  </si>
  <si>
    <t xml:space="preserve">Rack de pallets al lado de la prensa (la tanda) + estante en el puesto con la ola de mañana</t>
  </si>
  <si>
    <t xml:space="preserve">La prensa hace una matriz por día (cada 4 a 16 días cada una). Incluye 1 día de seguridad por modelo. Como cada fondo se prensa un día distinto, nunca están todas las tandas llenas a la vez.</t>
  </si>
  <si>
    <t xml:space="preserve">Día 13 del ciclo, 15:36</t>
  </si>
  <si>
    <t xml:space="preserve">Igual que los fondos, con las cúpulas.</t>
  </si>
  <si>
    <t xml:space="preserve">Dos pilas a la vez</t>
  </si>
  <si>
    <t xml:space="preserve">Pegados</t>
  </si>
  <si>
    <t xml:space="preserve">Pila al alcance entre el marcado y la cilindradora (pegados)</t>
  </si>
  <si>
    <t xml:space="preserve">Marcado y cilindradora están pegados y tienen un puesto fijo para el 1 kg y otro para el resto: hay como mucho 2 pilas a la vez (1 kg y otro formato).</t>
  </si>
  <si>
    <t xml:space="preserve">Siempre (protección)</t>
  </si>
  <si>
    <t xml:space="preserve">Estante de cajones al pie de la soldadura circunferencial</t>
  </si>
  <si>
    <t xml:space="preserve">La circunferencial (2 soldadoras, 30 s por pieza) es más lenta que la soldadura del cuello (25 s). Se guarda la protección del marcapasos (3,75 h) más el carro que llega cada hora.</t>
  </si>
  <si>
    <t xml:space="preserve">Día sin 10 kg, 11:33</t>
  </si>
  <si>
    <t xml:space="preserve">Sin estante: el que consume no es más lento; lo que llega espera en los carros del tramo</t>
  </si>
  <si>
    <t xml:space="preserve">El bordoneado (20 s) es más rápido que el encastre (30 s): no se junta. Lo que llega espera en el carro hasta que el bordoneado lo toma.</t>
  </si>
  <si>
    <t xml:space="preserve">Día con 10 kg, 18:01</t>
  </si>
  <si>
    <t xml:space="preserve">La circunferencial (30 s) es más lenta que el bordoneado (20 s). Más 3,75 h de protección del marcapasos.</t>
  </si>
  <si>
    <t xml:space="preserve">Día sin 10 kg, 21:59</t>
  </si>
  <si>
    <t xml:space="preserve">Igual</t>
  </si>
  <si>
    <t xml:space="preserve">Circunferencial y prueba hidráulica van al mismo ritmo (2 máquinas de 60 s). El control de espesor es una muestra del 2 % que se mide al costado: no retiene el lote. Lo que queda al cerrar el turno espera en los carros.</t>
  </si>
  <si>
    <t xml:space="preserve">Prueba hidráulica y secado van al mismo ritmo (2 por minuto): lo que queda al cerrar el turno espera en los carros.</t>
  </si>
  <si>
    <t xml:space="preserve">Secado y granallado van al mismo ritmo (2 por minuto): lo que queda al cerrar el turno espera en los carros.</t>
  </si>
  <si>
    <t xml:space="preserve">Día sin 10 kg, 10:54</t>
  </si>
  <si>
    <t xml:space="preserve">Sí (cambios de ganchos)</t>
  </si>
  <si>
    <t xml:space="preserve">La pintura (25 s) cambia ganchos 30 min en cada formato: con los cambios hace 1,9 por minuto y el granallado entrega 2.</t>
  </si>
  <si>
    <t xml:space="preserve">Día con 10 kg, 14:12</t>
  </si>
  <si>
    <t xml:space="preserve">El embalaje del 1 kg tiene su propia máquina de 45 s y la pintura entrega el 1 kg a 25 s.</t>
  </si>
  <si>
    <t xml:space="preserve">Día con 10 kg, 21:59</t>
  </si>
  <si>
    <t xml:space="preserve">Sí (turnos)</t>
  </si>
  <si>
    <t xml:space="preserve">La carga de polvo trabaja 1 turno y la pintura 2: lo que se pinta a la tarde espera a la mañana.</t>
  </si>
  <si>
    <t xml:space="preserve">Día sin 10 kg, 09:31</t>
  </si>
  <si>
    <t xml:space="preserve">El ensamblaje (100 s) es más lento que la carga (45 s), que hace todo en el 1.er turno.</t>
  </si>
  <si>
    <t xml:space="preserve">La presurización trabaja 1 turno y el ensamblaje 2: lo del 2.º turno espera a la mañana.</t>
  </si>
  <si>
    <t xml:space="preserve">Día sin 10 kg, 12:11</t>
  </si>
  <si>
    <t xml:space="preserve">El ensayo (40 s) es más lento que la presurización (30 s).</t>
  </si>
  <si>
    <t xml:space="preserve">Día con 10 kg, 06:38</t>
  </si>
  <si>
    <t xml:space="preserve">El etiquetado (60 s) es más lento que el ensayo (40 s), y los dos trabajan 1 turno.</t>
  </si>
  <si>
    <t xml:space="preserve">Día con 10 kg, 09:28</t>
  </si>
  <si>
    <t xml:space="preserve">El embalaje (2 máquinas de 45 s) es más rápido que el etiquetado (60 s): no se junta; lo que llega espera en el carro.</t>
  </si>
  <si>
    <t xml:space="preserve">Carros: plan simulado de la ola de carros (1 turno; las hojas se cortan en días distintos). Las filas de la pintura, los pintados y los retenidos no salen de la simulación: ahí esperan todos los modelos juntos (hoja Pulmones, con Carga y los días).</t>
  </si>
  <si>
    <t xml:space="preserve">Antes (u)</t>
  </si>
  <si>
    <t xml:space="preserve">Día 3 del ciclo de 4, 00 h</t>
  </si>
  <si>
    <t xml:space="preserve">Sobre la mesa móvil de la guillotina, apilados (tanda de corte)</t>
  </si>
  <si>
    <t xml:space="preserve">Cada hoja se corta un día distinto (25 kg el día 2, 50 kg el 3, 70 + 100 kg el 4): cuando se corta una, las otras ya se gastaron en parte.</t>
  </si>
  <si>
    <t xml:space="preserve">Mitad del turno</t>
  </si>
  <si>
    <t xml:space="preserve">Sí (poco)</t>
  </si>
  <si>
    <t xml:space="preserve">Piso demarcado de 1,8 × 1,2 m al pie del punteo, paradas</t>
  </si>
  <si>
    <t xml:space="preserve">El punteo (3 a 12 min) es apenas más lento que el cilindrado (2,6 a 6 min).</t>
  </si>
  <si>
    <t xml:space="preserve">Fin de la soldadura</t>
  </si>
  <si>
    <t xml:space="preserve">Piso demarcado al pie del armado (7), parados</t>
  </si>
  <si>
    <t xml:space="preserve">El armado (15 a 19 min por carro) es mucho más lento que la soldadura (3 a 5 min).</t>
  </si>
  <si>
    <t xml:space="preserve">Primera hora</t>
  </si>
  <si>
    <t xml:space="preserve">En el carro canasto entre la soldadura de cupla y el armado</t>
  </si>
  <si>
    <t xml:space="preserve">La cupla (3 a 4 min) hace las cúpulas de todo el día en la primera hora; el armado tarda el turno entero.</t>
  </si>
  <si>
    <t xml:space="preserve">Durante el turno</t>
  </si>
  <si>
    <t xml:space="preserve">Piso demarcado al pie de accesorios (8), parados</t>
  </si>
  <si>
    <t xml:space="preserve">Accesorios (16 a 18 min) va casi al ritmo del armado.</t>
  </si>
  <si>
    <t xml:space="preserve">Recipientes esperando la pintura</t>
  </si>
  <si>
    <t xml:space="preserve">Todos los modelos juntos</t>
  </si>
  <si>
    <t xml:space="preserve">Espera del pintor: piso demarcado junto al portón, parados con un taco atrás</t>
  </si>
  <si>
    <t xml:space="preserve">Esperan todos los modelos juntos hasta el envío (cada 2 días): acá la suma sí es el máximo.</t>
  </si>
  <si>
    <t xml:space="preserve">Fuera de planta (en el pintor)</t>
  </si>
  <si>
    <t xml:space="preserve">Están en el pintor, fuera de planta.</t>
  </si>
  <si>
    <t xml:space="preserve">Piso demarcado de pintados: sin ruedas, parados sobre un taco de madera</t>
  </si>
  <si>
    <t xml:space="preserve">Vuelven todos juntos en la Master (los de un envío, 2 días) y la carga de polvo hace 14 por día: el máximo es el envío entero.</t>
  </si>
  <si>
    <t xml:space="preserve">Carros terminados (sin retención)</t>
  </si>
  <si>
    <t xml:space="preserve">No esperan: pasan al almacén de producto terminado</t>
  </si>
  <si>
    <t xml:space="preserve">El operario verifica en el manómetro que cada carro esté presurizado cuando lo carga en el camión para despacharlo: no se retienen 7 días.</t>
  </si>
  <si>
    <t xml:space="preserve">PT 2035 — valores pegados de PT+PINTADO-FLAMA2035.xlsx (almacén de PT y carros de manipulación)</t>
  </si>
  <si>
    <t xml:space="preserve">Pallets de cilindros de carro (ya pintados)</t>
  </si>
  <si>
    <t xml:space="preserve">Stock_PT L82</t>
  </si>
  <si>
    <t xml:space="preserve">Módulos de rack de PT (2,30 m, 3 niveles, mástil de 4,5 m)</t>
  </si>
  <si>
    <t xml:space="preserve">Almacen_PT B15</t>
  </si>
  <si>
    <t xml:space="preserve">m² del rack de PT con media calle</t>
  </si>
  <si>
    <t xml:space="preserve">Almacen_PT B18</t>
  </si>
  <si>
    <t xml:space="preserve">m² del andén (20 pallets: un sider y un camión chico)</t>
  </si>
  <si>
    <t xml:space="preserve">Almacen_PT B31</t>
  </si>
  <si>
    <t xml:space="preserve">Carros de manipulación adaptables</t>
  </si>
  <si>
    <t xml:space="preserve">Carro_manip B25</t>
  </si>
  <si>
    <t xml:space="preserve">m² de los carros de manipulación estacionados</t>
  </si>
  <si>
    <t xml:space="preserve">Carro_manip B27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</si>
</sst>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"/>
    <numFmt numFmtId="167" formatCode="#,##0.0"/>
    <numFmt numFmtId="168" formatCode="0.0%"/>
    <numFmt numFmtId="169" formatCode="#,##0.00"/>
    <numFmt numFmtId="170" formatCode="#,##0.##"/>
    <numFmt numFmtId="171" formatCode="0%"/>
    <numFmt numFmtId="172" formatCode="General"/>
    <numFmt numFmtId="173" formatCode="0.000"/>
    <numFmt numFmtId="174" formatCode="0.0000"/>
    <numFmt numFmtId="175" formatCode="&quot;Día &quot;0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8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DEBF7"/>
        <bgColor rgb="FFD9EAD3"/>
      </patternFill>
    </fill>
    <fill>
      <patternFill patternType="solid">
        <fgColor rgb="FFD9D9D9"/>
        <bgColor rgb="FFD9EAD3"/>
      </patternFill>
    </fill>
    <fill>
      <patternFill patternType="solid">
        <fgColor rgb="FF000000"/>
        <bgColor rgb="FF003300"/>
      </patternFill>
    </fill>
    <fill>
      <patternFill patternType="solid">
        <fgColor rgb="FFD9EAD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6"/>
    <col collapsed="false" customWidth="true" hidden="false" outlineLevel="0" max="4" min="3" style="1" width="15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15"/>
    <col collapsed="false" customWidth="true" hidden="false" outlineLevel="0" max="8" min="8" style="1" width="14"/>
    <col collapsed="false" customWidth="true" hidden="false" outlineLevel="0" max="10" min="9" style="1" width="15"/>
  </cols>
  <sheetData>
    <row r="1" customFormat="false" ht="15" hidden="false" customHeight="true" outlineLevel="0" collapsed="false">
      <c r="A1" s="2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3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4" t="s">
        <v>2</v>
      </c>
      <c r="B3" s="5"/>
      <c r="C3" s="6" t="n">
        <v>2035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4" t="s">
        <v>3</v>
      </c>
      <c r="B4" s="5"/>
      <c r="C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4" t="s">
        <v>4</v>
      </c>
      <c r="B5" s="5"/>
      <c r="C5" s="7" t="n">
        <f aca="false">IF(C4="",Carga!$N$8,C4)</f>
        <v>1</v>
      </c>
      <c r="D5" s="8" t="str">
        <f aca="false">Carga!B4</f>
        <v>Ene 2035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9" t="s">
        <v>5</v>
      </c>
      <c r="B7" s="9"/>
      <c r="C7" s="9"/>
      <c r="D7" s="9"/>
      <c r="E7" s="9"/>
      <c r="F7" s="9"/>
      <c r="G7" s="9"/>
      <c r="H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0" t="s">
        <v>6</v>
      </c>
      <c r="B8" s="10" t="s">
        <v>7</v>
      </c>
      <c r="C8" s="10"/>
      <c r="D8" s="10"/>
      <c r="E8" s="10"/>
      <c r="F8" s="10" t="s">
        <v>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27.75" hidden="false" customHeight="true" outlineLevel="0" collapsed="false">
      <c r="A9" s="4" t="s">
        <v>9</v>
      </c>
      <c r="B9" s="11" t="s">
        <v>10</v>
      </c>
      <c r="C9" s="11"/>
      <c r="D9" s="11"/>
      <c r="E9" s="11"/>
      <c r="F9" s="12" t="s">
        <v>11</v>
      </c>
      <c r="G9" s="12"/>
      <c r="H9" s="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27.75" hidden="false" customHeight="true" outlineLevel="0" collapsed="false">
      <c r="A10" s="4" t="s">
        <v>12</v>
      </c>
      <c r="B10" s="11" t="s">
        <v>13</v>
      </c>
      <c r="C10" s="11"/>
      <c r="D10" s="11"/>
      <c r="E10" s="11"/>
      <c r="F10" s="12" t="s">
        <v>14</v>
      </c>
      <c r="G10" s="12"/>
      <c r="H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27.75" hidden="false" customHeight="true" outlineLevel="0" collapsed="false">
      <c r="A11" s="4" t="s">
        <v>15</v>
      </c>
      <c r="B11" s="11" t="s">
        <v>16</v>
      </c>
      <c r="C11" s="11"/>
      <c r="D11" s="11"/>
      <c r="E11" s="11"/>
      <c r="F11" s="12" t="s">
        <v>17</v>
      </c>
      <c r="G11" s="12"/>
      <c r="H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27.75" hidden="false" customHeight="true" outlineLevel="0" collapsed="false">
      <c r="A12" s="4" t="s">
        <v>18</v>
      </c>
      <c r="B12" s="11" t="s">
        <v>19</v>
      </c>
      <c r="C12" s="11"/>
      <c r="D12" s="11"/>
      <c r="E12" s="11"/>
      <c r="F12" s="12" t="s">
        <v>20</v>
      </c>
      <c r="G12" s="12"/>
      <c r="H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7.75" hidden="false" customHeight="true" outlineLevel="0" collapsed="false">
      <c r="A13" s="4" t="s">
        <v>21</v>
      </c>
      <c r="B13" s="11" t="s">
        <v>22</v>
      </c>
      <c r="C13" s="11"/>
      <c r="D13" s="11"/>
      <c r="E13" s="11"/>
      <c r="F13" s="12" t="s">
        <v>23</v>
      </c>
      <c r="G13" s="12"/>
      <c r="H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27.75" hidden="false" customHeight="true" outlineLevel="0" collapsed="false">
      <c r="A14" s="4" t="s">
        <v>24</v>
      </c>
      <c r="B14" s="11" t="s">
        <v>25</v>
      </c>
      <c r="C14" s="11"/>
      <c r="D14" s="11"/>
      <c r="E14" s="11"/>
      <c r="F14" s="12" t="s">
        <v>26</v>
      </c>
      <c r="G14" s="12"/>
      <c r="H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9" t="s">
        <v>27</v>
      </c>
      <c r="B16" s="9"/>
      <c r="C16" s="9"/>
      <c r="D16" s="9"/>
      <c r="E16" s="9"/>
      <c r="F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23.25" hidden="false" customHeight="true" outlineLevel="0" collapsed="false">
      <c r="A17" s="10" t="s">
        <v>28</v>
      </c>
      <c r="B17" s="10" t="s">
        <v>29</v>
      </c>
      <c r="C17" s="10" t="s">
        <v>30</v>
      </c>
      <c r="D17" s="10" t="s">
        <v>31</v>
      </c>
      <c r="E17" s="10" t="s">
        <v>32</v>
      </c>
      <c r="F17" s="10" t="s">
        <v>33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3" t="s">
        <v>34</v>
      </c>
      <c r="B18" s="14" t="n">
        <f aca="false">Carga!F18*DIAS</f>
        <v>25601.630793912</v>
      </c>
      <c r="C18" s="15" t="n">
        <f aca="false">Carga!F18</f>
        <v>1280.0815396956</v>
      </c>
      <c r="D18" s="16" t="str">
        <f aca="false">Carga!O8</f>
        <v>Ene</v>
      </c>
      <c r="E18" s="17" t="n">
        <f aca="false">Carga!D18</f>
        <v>324.7605196956</v>
      </c>
      <c r="F18" s="17" t="n">
        <f aca="false">Carga!E18</f>
        <v>955.32102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3" t="s">
        <v>35</v>
      </c>
      <c r="B19" s="14" t="n">
        <f aca="false">Carga!E26*DIAS</f>
        <v>264.12238131</v>
      </c>
      <c r="C19" s="15" t="n">
        <f aca="false">Carga!E26</f>
        <v>13.2061190655</v>
      </c>
      <c r="D19" s="16" t="str">
        <f aca="false">Carga!O9</f>
        <v>Mar</v>
      </c>
      <c r="E19" s="17" t="n">
        <f aca="false">Carga!C26</f>
        <v>7.7123990655</v>
      </c>
      <c r="F19" s="17" t="n">
        <f aca="false">Carga!D26</f>
        <v>5.49372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3" t="s">
        <v>36</v>
      </c>
      <c r="B20" s="14" t="n">
        <f aca="false">Carga!B29</f>
        <v>10822.07538</v>
      </c>
      <c r="C20" s="15" t="n">
        <f aca="false">Carga!D29</f>
        <v>541.103769</v>
      </c>
      <c r="D20" s="16" t="str">
        <f aca="false">Carga!O10</f>
        <v>Dic</v>
      </c>
      <c r="E20" s="17" t="s">
        <v>37</v>
      </c>
      <c r="F20" s="17" t="s">
        <v>37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9" t="s">
        <v>38</v>
      </c>
      <c r="B22" s="9"/>
      <c r="C22" s="9"/>
      <c r="D22" s="9"/>
      <c r="E22" s="9"/>
      <c r="F22" s="9"/>
      <c r="G22" s="9"/>
      <c r="H22" s="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60" hidden="false" customHeight="true" outlineLevel="0" collapsed="false">
      <c r="A23" s="10" t="s">
        <v>28</v>
      </c>
      <c r="B23" s="10" t="s">
        <v>39</v>
      </c>
      <c r="C23" s="10" t="s">
        <v>40</v>
      </c>
      <c r="D23" s="10" t="s">
        <v>41</v>
      </c>
      <c r="E23" s="10" t="s">
        <v>42</v>
      </c>
      <c r="F23" s="10" t="s">
        <v>43</v>
      </c>
      <c r="G23" s="10" t="s">
        <v>44</v>
      </c>
      <c r="H23" s="10" t="s">
        <v>45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30" hidden="false" customHeight="true" outlineLevel="0" collapsed="false">
      <c r="A24" s="4" t="s">
        <v>46</v>
      </c>
      <c r="B24" s="12" t="str">
        <f aca="false">Carga!$C$66</f>
        <v>Soldadura longitudinal — 2,5 a 10 kg</v>
      </c>
      <c r="C24" s="18" t="n">
        <f aca="false">Carga!$C$67</f>
        <v>0.794917348202621</v>
      </c>
      <c r="D24" s="19" t="n">
        <f aca="false">Carga!$C$69</f>
        <v>0.778019775540252</v>
      </c>
      <c r="E24" s="20" t="n">
        <f aca="false">MAX(Rueda!Y8:Y29,Lotes!L22:L23,Lotes!H42)</f>
        <v>0.812096228030861</v>
      </c>
      <c r="F24" s="19" t="n">
        <f aca="false">IF(MES=Carga!$N$8,MAX(Rueda!Y8:Y29,Lotes!L22:L23,Lotes!H42),"Dejar C4 vacío")</f>
        <v>0.812096228030861</v>
      </c>
      <c r="G24" s="16" t="str">
        <f aca="false">Carga!O8</f>
        <v>Ene</v>
      </c>
      <c r="H24" s="21" t="str">
        <f aca="false">IF(MAX(E24,IF(ISNUMBER(F24),F24,0))&lt;=UMBRAL,"OK","Revisar")</f>
        <v>OK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30" hidden="false" customHeight="true" outlineLevel="0" collapsed="false">
      <c r="A25" s="4" t="s">
        <v>47</v>
      </c>
      <c r="B25" s="12" t="str">
        <f aca="false">Carga!$C$95</f>
        <v>Soldadura de accesorios</v>
      </c>
      <c r="C25" s="18" t="n">
        <f aca="false">Carga!$C$96</f>
        <v>0.495127708600556</v>
      </c>
      <c r="D25" s="19" t="n">
        <f aca="false">Carga!$C$99</f>
        <v>0.456935694748087</v>
      </c>
      <c r="E25" s="20" t="n">
        <f aca="false">Carga!$C$96</f>
        <v>0.495127708600556</v>
      </c>
      <c r="F25" s="19" t="n">
        <f aca="false">Carga!$C$97</f>
        <v>0.523076397332241</v>
      </c>
      <c r="G25" s="16" t="str">
        <f aca="false">Carga!O9</f>
        <v>Mar</v>
      </c>
      <c r="H25" s="21" t="str">
        <f aca="false">IF(MAX(E25,IF(ISNUMBER(F25),F25,0))&lt;=UMBRAL,"OK","Revisar")</f>
        <v>OK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30" hidden="false" customHeight="true" outlineLevel="0" collapsed="false">
      <c r="A26" s="4" t="s">
        <v>48</v>
      </c>
      <c r="B26" s="12" t="str">
        <f aca="false" t="array" ref="B26:B26">INDEX(Carga!B104:B126,MATCH(MAX(Carga!H104:H126),Carga!H104:H126,0))</f>
        <v>Ensayo de pérdidas</v>
      </c>
      <c r="C26" s="18" t="n">
        <f aca="false">MAX(Carga!H104:H126)</f>
        <v>0.801635213333333</v>
      </c>
      <c r="D26" s="19" t="s">
        <v>37</v>
      </c>
      <c r="E26" s="20" t="n">
        <f aca="false">MAX(Carga!H104:H126)</f>
        <v>0.801635213333333</v>
      </c>
      <c r="F26" s="19" t="n">
        <f aca="false">MAX(Carga!I104:I126)</f>
        <v>0.872681806666667</v>
      </c>
      <c r="G26" s="16" t="str">
        <f aca="false">Carga!O10</f>
        <v>Dic</v>
      </c>
      <c r="H26" s="21" t="str">
        <f aca="false">IF(MAX(E26,IF(ISNUMBER(F26),F26,0))&lt;=UMBRAL,"OK","Revisar")</f>
        <v>OK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9" t="s">
        <v>49</v>
      </c>
      <c r="B28" s="9"/>
      <c r="C28" s="9"/>
      <c r="D28" s="9"/>
      <c r="E28" s="9"/>
      <c r="F28" s="9"/>
      <c r="G28" s="9"/>
      <c r="H28" s="9"/>
      <c r="I28" s="9"/>
      <c r="J28" s="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60" hidden="false" customHeight="true" outlineLevel="0" collapsed="false">
      <c r="A29" s="10" t="s">
        <v>50</v>
      </c>
      <c r="B29" s="10" t="s">
        <v>51</v>
      </c>
      <c r="C29" s="10" t="s">
        <v>52</v>
      </c>
      <c r="D29" s="10" t="s">
        <v>53</v>
      </c>
      <c r="E29" s="10" t="s">
        <v>54</v>
      </c>
      <c r="F29" s="10" t="s">
        <v>55</v>
      </c>
      <c r="G29" s="10" t="s">
        <v>56</v>
      </c>
      <c r="H29" s="10" t="s">
        <v>57</v>
      </c>
      <c r="I29" s="10" t="s">
        <v>58</v>
      </c>
      <c r="J29" s="10" t="s">
        <v>59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4" t="s">
        <v>60</v>
      </c>
      <c r="B30" s="22" t="n">
        <f aca="false">Rueda!C35</f>
        <v>911.7928760985</v>
      </c>
      <c r="C30" s="23" t="n">
        <f aca="false">Rueda!H35</f>
        <v>1</v>
      </c>
      <c r="D30" s="14" t="n">
        <f aca="false">Rueda!J35</f>
        <v>911.7928760985</v>
      </c>
      <c r="E30" s="23" t="n">
        <f aca="false">Lotes!O8</f>
        <v>1</v>
      </c>
      <c r="F30" s="14" t="n">
        <f aca="false">Lotes!P8</f>
        <v>21</v>
      </c>
      <c r="G30" s="23" t="n">
        <f aca="false">Lotes!J30</f>
        <v>4</v>
      </c>
      <c r="H30" s="14" t="n">
        <f aca="false">Lotes!K30</f>
        <v>3647.171504394</v>
      </c>
      <c r="I30" s="14" t="n">
        <f aca="false">Lotes!W8</f>
        <v>909.136146884097</v>
      </c>
      <c r="J30" s="14" t="n">
        <f aca="false">Lotes!O30+Lotes!O31</f>
        <v>8132.60579932103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4" t="s">
        <v>61</v>
      </c>
      <c r="B31" s="22" t="n">
        <f aca="false">Rueda!C36</f>
        <v>63.56852299845</v>
      </c>
      <c r="C31" s="23" t="n">
        <f aca="false">Rueda!H36</f>
        <v>1</v>
      </c>
      <c r="D31" s="14" t="n">
        <f aca="false">Rueda!J36</f>
        <v>63.56852299845</v>
      </c>
      <c r="E31" s="23" t="n">
        <f aca="false">Lotes!O9</f>
        <v>8</v>
      </c>
      <c r="F31" s="14" t="n">
        <f aca="false">Lotes!P9</f>
        <v>19</v>
      </c>
      <c r="G31" s="23" t="n">
        <f aca="false">Lotes!J32</f>
        <v>16</v>
      </c>
      <c r="H31" s="14" t="n">
        <f aca="false">Lotes!K32</f>
        <v>1017.0963679752</v>
      </c>
      <c r="I31" s="14" t="n">
        <f aca="false">Lotes!W9</f>
        <v>511.544987140526</v>
      </c>
      <c r="J31" s="14" t="n">
        <f aca="false">Lotes!O32+Lotes!O33</f>
        <v>2142.17265191492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4" t="s">
        <v>62</v>
      </c>
      <c r="B32" s="22" t="n">
        <f aca="false">Rueda!C37</f>
        <v>287.3369642445</v>
      </c>
      <c r="C32" s="23" t="n">
        <f aca="false">Rueda!H37</f>
        <v>1</v>
      </c>
      <c r="D32" s="14" t="n">
        <f aca="false">Rueda!J37</f>
        <v>287.3369642445</v>
      </c>
      <c r="E32" s="23" t="n">
        <f aca="false">Lotes!O10</f>
        <v>1</v>
      </c>
      <c r="F32" s="14" t="n">
        <f aca="false">Lotes!P10</f>
        <v>24</v>
      </c>
      <c r="G32" s="23" t="n">
        <f aca="false">Lotes!J34</f>
        <v>8</v>
      </c>
      <c r="H32" s="14" t="n">
        <f aca="false">Lotes!K34</f>
        <v>2298.695713956</v>
      </c>
      <c r="I32" s="14" t="n">
        <f aca="false">Lotes!W10</f>
        <v>292.597391427912</v>
      </c>
      <c r="J32" s="14" t="n">
        <f aca="false">Lotes!O34+Lotes!O35</f>
        <v>4976.36157916546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4" t="s">
        <v>63</v>
      </c>
      <c r="B33" s="22" t="n">
        <f aca="false">Rueda!C38</f>
        <v>17.38317635415</v>
      </c>
      <c r="C33" s="23" t="n">
        <f aca="false">Rueda!H38</f>
        <v>2</v>
      </c>
      <c r="D33" s="14" t="n">
        <f aca="false">Rueda!J38</f>
        <v>34.7663527083</v>
      </c>
      <c r="E33" s="23" t="n">
        <f aca="false">Lotes!O11</f>
        <v>16</v>
      </c>
      <c r="F33" s="14" t="n">
        <f aca="false">Lotes!P11</f>
        <v>19</v>
      </c>
      <c r="G33" s="23" t="n">
        <f aca="false">Lotes!J36</f>
        <v>16</v>
      </c>
      <c r="H33" s="14" t="n">
        <f aca="false">Lotes!K36</f>
        <v>278.1308216664</v>
      </c>
      <c r="I33" s="14" t="n">
        <f aca="false">Lotes!W11</f>
        <v>284.748909674885</v>
      </c>
      <c r="J33" s="14" t="n">
        <f aca="false">Lotes!O36+Lotes!O37</f>
        <v>589.595463560344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3" t="s">
        <v>64</v>
      </c>
      <c r="B34" s="24" t="n">
        <f aca="false">Lotes!E12</f>
        <v>3.3035697665</v>
      </c>
      <c r="C34" s="16" t="s">
        <v>37</v>
      </c>
      <c r="D34" s="16" t="s">
        <v>37</v>
      </c>
      <c r="E34" s="23" t="n">
        <f aca="false">Lotes!O12</f>
        <v>4</v>
      </c>
      <c r="F34" s="14" t="n">
        <f aca="false">Lotes!P12</f>
        <v>2</v>
      </c>
      <c r="G34" s="16" t="s">
        <v>37</v>
      </c>
      <c r="H34" s="16" t="s">
        <v>37</v>
      </c>
      <c r="I34" s="14" t="n">
        <f aca="false">Lotes!W12</f>
        <v>18.3642967451053</v>
      </c>
      <c r="J34" s="16" t="s">
        <v>37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3" t="s">
        <v>65</v>
      </c>
      <c r="B35" s="24" t="n">
        <f aca="false">Lotes!E13</f>
        <v>7.260849486</v>
      </c>
      <c r="C35" s="16" t="s">
        <v>37</v>
      </c>
      <c r="D35" s="16" t="s">
        <v>37</v>
      </c>
      <c r="E35" s="23" t="n">
        <f aca="false">Lotes!O13</f>
        <v>4</v>
      </c>
      <c r="F35" s="14" t="n">
        <f aca="false">Lotes!P13</f>
        <v>5</v>
      </c>
      <c r="G35" s="16" t="s">
        <v>37</v>
      </c>
      <c r="H35" s="16" t="s">
        <v>37</v>
      </c>
      <c r="I35" s="14" t="n">
        <f aca="false">Lotes!W13</f>
        <v>30.7094772595584</v>
      </c>
      <c r="J35" s="16" t="s">
        <v>37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3" t="s">
        <v>66</v>
      </c>
      <c r="B36" s="24" t="n">
        <f aca="false">Lotes!E14</f>
        <v>2.641699813</v>
      </c>
      <c r="C36" s="16" t="s">
        <v>37</v>
      </c>
      <c r="D36" s="16" t="s">
        <v>37</v>
      </c>
      <c r="E36" s="23" t="n">
        <f aca="false">Lotes!O14</f>
        <v>4</v>
      </c>
      <c r="F36" s="14" t="n">
        <f aca="false">Lotes!P14</f>
        <v>3</v>
      </c>
      <c r="G36" s="16" t="s">
        <v>37</v>
      </c>
      <c r="H36" s="16" t="s">
        <v>37</v>
      </c>
      <c r="I36" s="14" t="n">
        <f aca="false">Lotes!W14</f>
        <v>12.224544484105</v>
      </c>
      <c r="J36" s="16" t="s">
        <v>37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25" t="s">
        <v>67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9" t="s">
        <v>68</v>
      </c>
      <c r="B39" s="9"/>
      <c r="C39" s="9"/>
      <c r="D39" s="9"/>
      <c r="E39" s="9"/>
      <c r="F39" s="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0" t="s">
        <v>69</v>
      </c>
      <c r="B40" s="10" t="s">
        <v>70</v>
      </c>
      <c r="C40" s="10" t="s">
        <v>71</v>
      </c>
      <c r="D40" s="10" t="s">
        <v>72</v>
      </c>
      <c r="E40" s="10" t="s">
        <v>45</v>
      </c>
      <c r="F40" s="1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3" t="s">
        <v>73</v>
      </c>
      <c r="B41" s="26" t="n">
        <f aca="false">Lotes!H22</f>
        <v>2.9375</v>
      </c>
      <c r="C41" s="17" t="n">
        <f aca="false">Lotes!I22</f>
        <v>44.0625</v>
      </c>
      <c r="D41" s="20" t="n">
        <f aca="false">Lotes!L22</f>
        <v>0.654223851047371</v>
      </c>
      <c r="E41" s="27" t="str">
        <f aca="false">Lotes!M22</f>
        <v>OK</v>
      </c>
      <c r="F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3" t="s">
        <v>74</v>
      </c>
      <c r="B42" s="26" t="n">
        <f aca="false">Lotes!H23</f>
        <v>2.9375</v>
      </c>
      <c r="C42" s="17" t="n">
        <f aca="false">Lotes!I23</f>
        <v>14.6875</v>
      </c>
      <c r="D42" s="20" t="n">
        <f aca="false">Lotes!L23</f>
        <v>0.375844877139823</v>
      </c>
      <c r="E42" s="27" t="str">
        <f aca="false">Lotes!M23</f>
        <v>OK</v>
      </c>
      <c r="F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3" t="s">
        <v>75</v>
      </c>
      <c r="B43" s="26" t="s">
        <v>37</v>
      </c>
      <c r="C43" s="17" t="s">
        <v>37</v>
      </c>
      <c r="D43" s="20" t="n">
        <f aca="false">Lotes!L24</f>
        <v>1.03006872818719</v>
      </c>
      <c r="E43" s="27" t="str">
        <f aca="false">Lotes!M24</f>
        <v>Hacen falta 2 operarios</v>
      </c>
      <c r="F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3" t="s">
        <v>76</v>
      </c>
      <c r="B44" s="26" t="n">
        <f aca="false">Lotes!F42</f>
        <v>1</v>
      </c>
      <c r="C44" s="17" t="n">
        <f aca="false">Lotes!G42</f>
        <v>90</v>
      </c>
      <c r="D44" s="20" t="n">
        <f aca="false">Lotes!H42</f>
        <v>0.479283419169067</v>
      </c>
      <c r="E44" s="27" t="str">
        <f aca="false">Lotes!K42</f>
        <v>OK</v>
      </c>
      <c r="F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3" t="s">
        <v>77</v>
      </c>
      <c r="B45" s="26" t="n">
        <f aca="false">Rueda!W12</f>
        <v>2.5</v>
      </c>
      <c r="C45" s="17" t="n">
        <f aca="false">Rueda!X12</f>
        <v>25</v>
      </c>
      <c r="D45" s="20" t="n">
        <f aca="false">Rueda!Y12</f>
        <v>0.812096228030861</v>
      </c>
      <c r="E45" s="27" t="str">
        <f aca="false">Rueda!Z12</f>
        <v>OK</v>
      </c>
      <c r="F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3" t="s">
        <v>78</v>
      </c>
      <c r="B46" s="26" t="n">
        <f aca="false">Rueda!W16</f>
        <v>3.5</v>
      </c>
      <c r="C46" s="17" t="n">
        <f aca="false">Rueda!X16</f>
        <v>35</v>
      </c>
      <c r="D46" s="20" t="n">
        <f aca="false">Rueda!Y16</f>
        <v>0.730600855386445</v>
      </c>
      <c r="E46" s="27" t="str">
        <f aca="false">Rueda!Z16</f>
        <v>OK</v>
      </c>
      <c r="F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9" t="s">
        <v>79</v>
      </c>
      <c r="B48" s="9"/>
      <c r="C48" s="9"/>
      <c r="D48" s="9"/>
      <c r="E48" s="9"/>
      <c r="F48" s="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0" t="s">
        <v>80</v>
      </c>
      <c r="B49" s="10" t="s">
        <v>81</v>
      </c>
      <c r="C49" s="10" t="s">
        <v>82</v>
      </c>
      <c r="D49" s="10" t="s">
        <v>83</v>
      </c>
      <c r="E49" s="10" t="s">
        <v>6</v>
      </c>
      <c r="F49" s="1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1" t="str">
        <f aca="false">Pulmones!A8</f>
        <v>Pulmones de manuales (estantes, carros de tránsito y rack de fondos y cúpulas)</v>
      </c>
      <c r="B50" s="28" t="n">
        <f aca="false">Pulmones!B8</f>
        <v>44</v>
      </c>
      <c r="C50" s="28" t="n">
        <f aca="false">Pulmones!C8</f>
        <v>20801</v>
      </c>
      <c r="D50" s="29" t="n">
        <f aca="false">Pulmones!D8</f>
        <v>108.29</v>
      </c>
      <c r="E50" s="16" t="s">
        <v>84</v>
      </c>
      <c r="F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1" t="str">
        <f aca="false">Pulmones!A9</f>
        <v>Pulmones de carros (espera del pintor y pintados)</v>
      </c>
      <c r="B51" s="28" t="str">
        <f aca="false">Pulmones!B9</f>
        <v>—</v>
      </c>
      <c r="C51" s="28" t="n">
        <f aca="false">Pulmones!C9</f>
        <v>178</v>
      </c>
      <c r="D51" s="29" t="n">
        <f aca="false">Pulmones!D9</f>
        <v>47.2502641719272</v>
      </c>
      <c r="E51" s="16" t="s">
        <v>84</v>
      </c>
      <c r="F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1" t="str">
        <f aca="false">Pulmones!A10</f>
        <v>Recargas en planta (jaulas)</v>
      </c>
      <c r="B52" s="28" t="n">
        <f aca="false">Pulmones!B10</f>
        <v>45</v>
      </c>
      <c r="C52" s="28" t="n">
        <f aca="false">Pulmones!C10</f>
        <v>778.622057161015</v>
      </c>
      <c r="D52" s="29" t="n">
        <f aca="false">Pulmones!D10</f>
        <v>108</v>
      </c>
      <c r="E52" s="16" t="s">
        <v>84</v>
      </c>
      <c r="F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1" t="str">
        <f aca="false">Pulmones!A11</f>
        <v>Almacén de producto terminado (con andén y carros de manipulación)</v>
      </c>
      <c r="B53" s="28" t="n">
        <f aca="false">Pulmones!B11</f>
        <v>85</v>
      </c>
      <c r="C53" s="28" t="str">
        <f aca="false">Pulmones!C11</f>
        <v>—</v>
      </c>
      <c r="D53" s="29" t="n">
        <f aca="false">Pulmones!D11</f>
        <v>272.552</v>
      </c>
      <c r="E53" s="16" t="s">
        <v>84</v>
      </c>
      <c r="F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1" t="str">
        <f aca="false">Pulmones!A12</f>
        <v>Almacén de materia prima</v>
      </c>
      <c r="B54" s="28" t="n">
        <f aca="false">Pulmones!B12</f>
        <v>119</v>
      </c>
      <c r="C54" s="28" t="str">
        <f aca="false">Pulmones!C12</f>
        <v>—</v>
      </c>
      <c r="D54" s="29" t="n">
        <f aca="false">Pulmones!D12</f>
        <v>221.76</v>
      </c>
      <c r="E54" s="16" t="s">
        <v>84</v>
      </c>
      <c r="F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1" t="str">
        <f aca="false">Pulmones!A13</f>
        <v>MP al pie de los puestos</v>
      </c>
      <c r="B55" s="28" t="str">
        <f aca="false">Pulmones!B13</f>
        <v>—</v>
      </c>
      <c r="C55" s="28" t="str">
        <f aca="false">Pulmones!C13</f>
        <v>—</v>
      </c>
      <c r="D55" s="29" t="n">
        <f aca="false">Pulmones!D13</f>
        <v>35.45</v>
      </c>
      <c r="E55" s="16" t="s">
        <v>84</v>
      </c>
      <c r="F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4" t="s">
        <v>85</v>
      </c>
      <c r="D56" s="15" t="n">
        <f aca="false">SUM(D50:D55)</f>
        <v>793.302264171927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9" t="s">
        <v>86</v>
      </c>
      <c r="B58" s="9"/>
      <c r="C58" s="9"/>
      <c r="D58" s="9"/>
      <c r="E58" s="9"/>
      <c r="F58" s="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0" t="s">
        <v>87</v>
      </c>
      <c r="B59" s="10" t="s">
        <v>88</v>
      </c>
      <c r="C59" s="10" t="s">
        <v>89</v>
      </c>
      <c r="D59" s="10" t="s">
        <v>45</v>
      </c>
      <c r="E59" s="10"/>
      <c r="F59" s="1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30" hidden="false" customHeight="true" outlineLevel="0" collapsed="false">
      <c r="A60" s="11" t="s">
        <v>90</v>
      </c>
      <c r="B60" s="19" t="n">
        <f aca="false" t="array" ref="B60:B60">IF(C4="",SUMPRODUCT(MAX(ABS(Carga!V34:V59-INDEX(Datos!B263:K288,0,ANIO-2025))*(Carga!A34:A59&lt;&gt;6))),"—")</f>
        <v>6.80000500352662E-011</v>
      </c>
      <c r="C60" s="16" t="s">
        <v>91</v>
      </c>
      <c r="D60" s="21" t="str">
        <f aca="false">IF(B60="—","Solo con el mes pico",IF(B60&lt;0.005,"OK","Revisar"))</f>
        <v>OK</v>
      </c>
      <c r="E60" s="5"/>
      <c r="F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30" hidden="false" customHeight="true" outlineLevel="0" collapsed="false">
      <c r="A61" s="11" t="s">
        <v>92</v>
      </c>
      <c r="B61" s="30" t="n">
        <f aca="false">COUNTIF(Rueda!Z8:Z29,"Pasa el umbral")</f>
        <v>0</v>
      </c>
      <c r="C61" s="16" t="s">
        <v>93</v>
      </c>
      <c r="D61" s="21" t="str">
        <f aca="false">IF(B61=0,"OK","Revisar")</f>
        <v>OK</v>
      </c>
      <c r="E61" s="5"/>
      <c r="F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30" hidden="false" customHeight="true" outlineLevel="0" collapsed="false">
      <c r="A62" s="11" t="s">
        <v>94</v>
      </c>
      <c r="B62" s="30" t="n">
        <f aca="false">COUNTIF(Rueda!C43:V65,"&gt;1")</f>
        <v>0</v>
      </c>
      <c r="C62" s="16" t="s">
        <v>93</v>
      </c>
      <c r="D62" s="21" t="str">
        <f aca="false">IF(B62=0,"OK","Mover fases")</f>
        <v>OK</v>
      </c>
      <c r="E62" s="5"/>
      <c r="F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30" hidden="false" customHeight="true" outlineLevel="0" collapsed="false">
      <c r="A63" s="11" t="s">
        <v>95</v>
      </c>
      <c r="B63" s="19" t="n">
        <f aca="false">MAX(Lotes!L22:L23,Lotes!H42)</f>
        <v>0.654223851047371</v>
      </c>
      <c r="C63" s="16" t="s">
        <v>96</v>
      </c>
      <c r="D63" s="21" t="str">
        <f aca="false">IF(B63&lt;=UMBRAL,"OK","Revisar")</f>
        <v>OK</v>
      </c>
      <c r="E63" s="5"/>
      <c r="F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30" hidden="false" customHeight="true" outlineLevel="0" collapsed="false">
      <c r="A64" s="11" t="s">
        <v>97</v>
      </c>
      <c r="B64" s="28" t="n">
        <f aca="false">MIN(Pulmones!D56:D63)</f>
        <v>18.4492808555001</v>
      </c>
      <c r="C64" s="16" t="s">
        <v>98</v>
      </c>
      <c r="D64" s="21" t="str">
        <f aca="false">IF(B64&gt;=0,"OK","Revisar")</f>
        <v>OK</v>
      </c>
      <c r="E64" s="5"/>
      <c r="F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30" hidden="false" customHeight="true" outlineLevel="0" collapsed="false">
      <c r="A65" s="11" t="s">
        <v>99</v>
      </c>
      <c r="B65" s="19" t="n">
        <f aca="false">MAX(F25:F26)</f>
        <v>0.872681806666667</v>
      </c>
      <c r="C65" s="16" t="s">
        <v>96</v>
      </c>
      <c r="D65" s="21" t="str">
        <f aca="false">IF(B65&lt;=UMBRAL,"OK","Revisar")</f>
        <v>OK</v>
      </c>
      <c r="E65" s="5"/>
      <c r="F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9" t="s">
        <v>100</v>
      </c>
      <c r="B67" s="9"/>
      <c r="C67" s="9"/>
      <c r="D67" s="9"/>
      <c r="E67" s="9"/>
      <c r="F67" s="9"/>
      <c r="G67" s="9"/>
      <c r="H67" s="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30" hidden="false" customHeight="true" outlineLevel="0" collapsed="false">
      <c r="A68" s="31" t="str">
        <f aca="false">"Ola de manuales (del cilindrado al embalaje; marca el paso la soldadura circunferencial): 1 kg "&amp;IF(Rueda!H35&lt;=1,"todos los días","cada "&amp;Rueda!H35&amp;" días")&amp;" · 2,5 kg "&amp;IF(Rueda!H36&lt;=1,"todos los días","cada "&amp;Rueda!H36&amp;" días")&amp;" · 5 kg "&amp;IF(Rueda!H37&lt;=1,"todos los días","cada "&amp;Rueda!H37&amp;" días")&amp;" · 10 kg "&amp;IF(Rueda!H38&lt;=1,"todos los días","cada "&amp;Rueda!H38&amp;" días")&amp;"."</f>
        <v>Ola de manuales (del cilindrado al embalaje; marca el paso la soldadura circunferencial): 1 kg todos los días · 2,5 kg todos los días · 5 kg todos los días · 10 kg cada 2 días.</v>
      </c>
      <c r="B68" s="31"/>
      <c r="C68" s="31"/>
      <c r="D68" s="31"/>
      <c r="E68" s="31"/>
      <c r="F68" s="31"/>
      <c r="G68" s="31"/>
      <c r="H68" s="3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30" hidden="false" customHeight="true" outlineLevel="0" collapsed="false">
      <c r="A69" s="31" t="str">
        <f aca="false">"Guillotinas: 1 kg cada "&amp;Lotes!O8&amp;" día(s) ("&amp;Lotes!P8&amp;" hojas) · 2,5 kg cada "&amp;Lotes!O9&amp;" ("&amp;Lotes!P9&amp;" hojas) · 5 kg cada "&amp;Lotes!O10&amp;" ("&amp;Lotes!P10&amp;" hojas) · 10 kg cada "&amp;Lotes!O11&amp;" ("&amp;Lotes!P11&amp;" hojas) · carros cada "&amp;Lotes!O12&amp;" días."</f>
        <v>Guillotinas: 1 kg cada 1 día(s) (21 hojas) · 2,5 kg cada 8 (19 hojas) · 5 kg cada 1 (24 hojas) · 10 kg cada 16 (19 hojas) · carros cada 4 días.</v>
      </c>
      <c r="B69" s="31"/>
      <c r="C69" s="31"/>
      <c r="D69" s="31"/>
      <c r="E69" s="31"/>
      <c r="F69" s="31"/>
      <c r="G69" s="31"/>
      <c r="H69" s="3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30" hidden="false" customHeight="true" outlineLevel="0" collapsed="false">
      <c r="A70" s="31" t="str">
        <f aca="false">"Embutidora (cúpula y fondo): 1 kg cada "&amp;Lotes!J30&amp;" días · 2,5 kg cada "&amp;Lotes!J32&amp;" · 5 kg cada "&amp;Lotes!J34&amp;" · 10 kg cada "&amp;Lotes!J36&amp;". Cambios de matriz por mes: "&amp;FIXED(Lotes!J42,0)&amp;" (la planilla suponía 32)."</f>
        <v>Embutidora (cúpula y fondo): 1 kg cada 4 días · 2,5 kg cada 16 · 5 kg cada 8 · 10 kg cada 16. Cambios de matriz por mes: 20 (la planilla suponía 32).</v>
      </c>
      <c r="B70" s="31"/>
      <c r="C70" s="31"/>
      <c r="D70" s="31"/>
      <c r="E70" s="31"/>
      <c r="F70" s="31"/>
      <c r="G70" s="31"/>
      <c r="H70" s="3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30" hidden="false" customHeight="true" outlineLevel="0" collapsed="false">
      <c r="A71" s="31" t="str">
        <f aca="false">"Cuello: "&amp;Carga!$C$66&amp;" ("&amp;FIXED(Rueda!Y12*100,0)&amp;" % con los cambios). Por su capacidad no se puede juntar más de "&amp;FIXED(Rueda!E36,1)&amp;" días de 2,5 kg ni más de "&amp;FIXED(Rueda!E38,1)&amp;" de 10 kg."</f>
        <v>Cuello: Soldadura longitudinal — 2,5 a 10 kg (81 % con los cambios). Por su capacidad no se puede juntar más de 1.6 días de 2,5 kg ni más de 3.2 de 10 kg.</v>
      </c>
      <c r="B71" s="31"/>
      <c r="C71" s="31"/>
      <c r="D71" s="31"/>
      <c r="E71" s="31"/>
      <c r="F71" s="31"/>
      <c r="G71" s="31"/>
      <c r="H71" s="3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30" hidden="false" customHeight="true" outlineLevel="0" collapsed="false">
      <c r="A72" s="31" t="str">
        <f aca="false">"Hay que reservar "&amp;FIXED(D56,0)&amp;" m² entre pulmones, almacenes y MP al pie de los puestos."</f>
        <v>Hay que reservar 793 m² entre pulmones, almacenes y MP al pie de los puestos.</v>
      </c>
      <c r="B72" s="31"/>
      <c r="C72" s="31"/>
      <c r="D72" s="31"/>
      <c r="E72" s="31"/>
      <c r="F72" s="31"/>
      <c r="G72" s="31"/>
      <c r="H72" s="3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"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A68:H68"/>
    <mergeCell ref="A69:H69"/>
    <mergeCell ref="A70:H70"/>
    <mergeCell ref="A71:H71"/>
    <mergeCell ref="A72:H72"/>
  </mergeCells>
  <conditionalFormatting sqref="D60:D65">
    <cfRule type="cellIs" priority="2" operator="equal" aboveAverage="0" equalAverage="0" bottom="0" percent="0" rank="0" text="" dxfId="0">
      <formula>"OK"</formula>
    </cfRule>
  </conditionalFormatting>
  <conditionalFormatting sqref="H24:H26">
    <cfRule type="cellIs" priority="3" operator="equal" aboveAverage="0" equalAverage="0" bottom="0" percent="0" rank="0" text="" dxfId="1">
      <formula>"Revisar"</formula>
    </cfRule>
  </conditionalFormatting>
  <dataValidations count="2">
    <dataValidation allowBlank="true" errorStyle="stop" operator="between" showDropDown="false" showErrorMessage="false" showInputMessage="false" sqref="C4" type="decimal">
      <formula1>1</formula1>
      <formula2>12</formula2>
    </dataValidation>
    <dataValidation allowBlank="true" errorStyle="stop" operator="between" showDropDown="false" showErrorMessage="false" showInputMessage="false" sqref="C3" type="decimal">
      <formula1>2026</formula1>
      <formula2>2035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2"/>
    <col collapsed="false" customWidth="true" hidden="false" outlineLevel="0" max="6" min="6" style="1" width="13"/>
    <col collapsed="false" customWidth="true" hidden="false" outlineLevel="0" max="7" min="7" style="1" width="80"/>
    <col collapsed="false" customWidth="true" hidden="false" outlineLevel="0" max="8" min="8" style="1" width="14"/>
  </cols>
  <sheetData>
    <row r="1" customFormat="false" ht="15" hidden="false" customHeight="true" outlineLevel="0" collapsed="false">
      <c r="A1" s="2" t="s">
        <v>101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3" t="s">
        <v>102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32" t="s">
        <v>103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9" t="s">
        <v>104</v>
      </c>
      <c r="B5" s="9"/>
      <c r="C5" s="9"/>
      <c r="D5" s="9"/>
      <c r="E5" s="9"/>
      <c r="F5" s="9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0" t="s">
        <v>105</v>
      </c>
      <c r="B6" s="10" t="s">
        <v>88</v>
      </c>
      <c r="C6" s="10" t="s">
        <v>106</v>
      </c>
      <c r="D6" s="10"/>
      <c r="E6" s="10"/>
      <c r="F6" s="10"/>
      <c r="G6" s="10" t="s">
        <v>107</v>
      </c>
      <c r="H6" s="10" t="s">
        <v>108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1" t="s">
        <v>109</v>
      </c>
      <c r="B7" s="33" t="n">
        <v>20</v>
      </c>
      <c r="C7" s="16" t="s">
        <v>110</v>
      </c>
      <c r="D7" s="5"/>
      <c r="E7" s="5"/>
      <c r="F7" s="5"/>
      <c r="G7" s="12" t="s">
        <v>111</v>
      </c>
      <c r="H7" s="34" t="s">
        <v>112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1" t="s">
        <v>113</v>
      </c>
      <c r="B8" s="33" t="n">
        <v>8</v>
      </c>
      <c r="C8" s="16" t="s">
        <v>114</v>
      </c>
      <c r="D8" s="5"/>
      <c r="E8" s="5"/>
      <c r="F8" s="5"/>
      <c r="G8" s="12" t="s">
        <v>115</v>
      </c>
      <c r="H8" s="34" t="s">
        <v>116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1" t="s">
        <v>117</v>
      </c>
      <c r="B9" s="33" t="n">
        <v>30</v>
      </c>
      <c r="C9" s="16" t="s">
        <v>118</v>
      </c>
      <c r="D9" s="5"/>
      <c r="E9" s="5"/>
      <c r="F9" s="5"/>
      <c r="G9" s="12" t="s">
        <v>119</v>
      </c>
      <c r="H9" s="34" t="s">
        <v>120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1" t="s">
        <v>121</v>
      </c>
      <c r="B10" s="28" t="n">
        <f aca="false">H_TURNO*60-REFRIG</f>
        <v>450</v>
      </c>
      <c r="C10" s="16" t="s">
        <v>118</v>
      </c>
      <c r="D10" s="5"/>
      <c r="E10" s="5"/>
      <c r="F10" s="5"/>
      <c r="G10" s="12" t="s">
        <v>122</v>
      </c>
      <c r="H10" s="34" t="s">
        <v>123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1" t="s">
        <v>124</v>
      </c>
      <c r="B11" s="28" t="n">
        <f aca="false">DIAS*MIN_TURNO/60</f>
        <v>150</v>
      </c>
      <c r="C11" s="16" t="s">
        <v>114</v>
      </c>
      <c r="D11" s="5"/>
      <c r="E11" s="5"/>
      <c r="F11" s="5"/>
      <c r="G11" s="12" t="s">
        <v>125</v>
      </c>
      <c r="H11" s="34" t="s">
        <v>126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1" t="s">
        <v>127</v>
      </c>
      <c r="B12" s="35" t="n">
        <v>0.9</v>
      </c>
      <c r="C12" s="16" t="s">
        <v>128</v>
      </c>
      <c r="D12" s="5"/>
      <c r="E12" s="5"/>
      <c r="F12" s="5"/>
      <c r="G12" s="12" t="s">
        <v>129</v>
      </c>
      <c r="H12" s="34" t="s">
        <v>130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9" t="s">
        <v>131</v>
      </c>
      <c r="B14" s="9"/>
      <c r="C14" s="9"/>
      <c r="D14" s="9"/>
      <c r="E14" s="9"/>
      <c r="F14" s="9"/>
      <c r="G14" s="9"/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0" t="s">
        <v>105</v>
      </c>
      <c r="B15" s="10" t="s">
        <v>88</v>
      </c>
      <c r="C15" s="10" t="s">
        <v>106</v>
      </c>
      <c r="D15" s="10"/>
      <c r="E15" s="10"/>
      <c r="F15" s="10"/>
      <c r="G15" s="10" t="s">
        <v>107</v>
      </c>
      <c r="H15" s="10" t="s">
        <v>108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1" t="s">
        <v>132</v>
      </c>
      <c r="B16" s="36" t="n">
        <v>1</v>
      </c>
      <c r="C16" s="16" t="s">
        <v>110</v>
      </c>
      <c r="D16" s="5"/>
      <c r="E16" s="5"/>
      <c r="F16" s="5"/>
      <c r="G16" s="12" t="s">
        <v>133</v>
      </c>
      <c r="H16" s="34" t="s">
        <v>134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21.75" hidden="false" customHeight="true" outlineLevel="0" collapsed="false">
      <c r="A17" s="11" t="s">
        <v>135</v>
      </c>
      <c r="B17" s="36" t="n">
        <v>3</v>
      </c>
      <c r="C17" s="16" t="s">
        <v>136</v>
      </c>
      <c r="D17" s="5"/>
      <c r="E17" s="5"/>
      <c r="F17" s="5"/>
      <c r="G17" s="12" t="s">
        <v>137</v>
      </c>
      <c r="H17" s="34" t="s">
        <v>138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21.75" hidden="false" customHeight="true" outlineLevel="0" collapsed="false">
      <c r="A18" s="11" t="s">
        <v>139</v>
      </c>
      <c r="B18" s="36" t="n">
        <v>16</v>
      </c>
      <c r="C18" s="16" t="s">
        <v>110</v>
      </c>
      <c r="D18" s="5"/>
      <c r="E18" s="5"/>
      <c r="F18" s="5"/>
      <c r="G18" s="12" t="s">
        <v>140</v>
      </c>
      <c r="H18" s="34" t="s">
        <v>141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9" t="s">
        <v>142</v>
      </c>
      <c r="B20" s="9"/>
      <c r="C20" s="9"/>
      <c r="D20" s="9"/>
      <c r="E20" s="9"/>
      <c r="F20" s="9"/>
      <c r="G20" s="9"/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0" t="s">
        <v>105</v>
      </c>
      <c r="B21" s="10" t="s">
        <v>88</v>
      </c>
      <c r="C21" s="10" t="s">
        <v>106</v>
      </c>
      <c r="D21" s="10"/>
      <c r="E21" s="10"/>
      <c r="F21" s="10"/>
      <c r="G21" s="10" t="s">
        <v>107</v>
      </c>
      <c r="H21" s="10" t="s">
        <v>108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1" t="s">
        <v>143</v>
      </c>
      <c r="B22" s="33" t="n">
        <v>5</v>
      </c>
      <c r="C22" s="16" t="s">
        <v>118</v>
      </c>
      <c r="D22" s="5"/>
      <c r="E22" s="5"/>
      <c r="F22" s="5"/>
      <c r="G22" s="12" t="s">
        <v>144</v>
      </c>
      <c r="H22" s="34" t="s">
        <v>145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1" t="s">
        <v>146</v>
      </c>
      <c r="B23" s="33" t="n">
        <v>10</v>
      </c>
      <c r="C23" s="16" t="s">
        <v>118</v>
      </c>
      <c r="D23" s="5"/>
      <c r="E23" s="5"/>
      <c r="F23" s="5"/>
      <c r="G23" s="12" t="s">
        <v>147</v>
      </c>
      <c r="H23" s="34" t="s">
        <v>148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1" t="s">
        <v>149</v>
      </c>
      <c r="B24" s="28" t="n">
        <f aca="false">S_G1_PROG+S_G1_PAQ</f>
        <v>15</v>
      </c>
      <c r="C24" s="16" t="s">
        <v>118</v>
      </c>
      <c r="D24" s="5"/>
      <c r="E24" s="5"/>
      <c r="F24" s="5"/>
      <c r="G24" s="12" t="s">
        <v>150</v>
      </c>
      <c r="H24" s="34" t="s">
        <v>151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1" t="s">
        <v>152</v>
      </c>
      <c r="B25" s="33" t="n">
        <v>5</v>
      </c>
      <c r="C25" s="16" t="s">
        <v>118</v>
      </c>
      <c r="D25" s="5"/>
      <c r="E25" s="5"/>
      <c r="F25" s="5"/>
      <c r="G25" s="12" t="s">
        <v>153</v>
      </c>
      <c r="H25" s="34" t="s">
        <v>154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1" t="s">
        <v>155</v>
      </c>
      <c r="B26" s="33" t="n">
        <v>90</v>
      </c>
      <c r="C26" s="16" t="s">
        <v>118</v>
      </c>
      <c r="D26" s="5"/>
      <c r="E26" s="5"/>
      <c r="F26" s="5"/>
      <c r="G26" s="12" t="s">
        <v>156</v>
      </c>
      <c r="H26" s="34" t="s">
        <v>157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1" t="s">
        <v>158</v>
      </c>
      <c r="B27" s="36" t="n">
        <v>10</v>
      </c>
      <c r="C27" s="16" t="s">
        <v>159</v>
      </c>
      <c r="D27" s="5"/>
      <c r="E27" s="5"/>
      <c r="F27" s="5"/>
      <c r="G27" s="12" t="s">
        <v>160</v>
      </c>
      <c r="H27" s="34" t="s">
        <v>161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1" t="s">
        <v>162</v>
      </c>
      <c r="B28" s="36" t="n">
        <v>10</v>
      </c>
      <c r="C28" s="16" t="s">
        <v>159</v>
      </c>
      <c r="D28" s="5"/>
      <c r="E28" s="5"/>
      <c r="F28" s="5"/>
      <c r="G28" s="12" t="s">
        <v>163</v>
      </c>
      <c r="H28" s="34" t="s">
        <v>164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1" t="s">
        <v>165</v>
      </c>
      <c r="B29" s="37" t="n">
        <v>0.85</v>
      </c>
      <c r="C29" s="16" t="s">
        <v>128</v>
      </c>
      <c r="D29" s="5"/>
      <c r="E29" s="5"/>
      <c r="F29" s="5"/>
      <c r="G29" s="12" t="s">
        <v>166</v>
      </c>
      <c r="H29" s="34" t="s">
        <v>167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1" t="s">
        <v>168</v>
      </c>
      <c r="B30" s="33" t="n">
        <v>8.6</v>
      </c>
      <c r="C30" s="16" t="s">
        <v>169</v>
      </c>
      <c r="D30" s="5"/>
      <c r="E30" s="5"/>
      <c r="F30" s="5"/>
      <c r="G30" s="12" t="s">
        <v>170</v>
      </c>
      <c r="H30" s="34" t="s">
        <v>171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1" t="s">
        <v>172</v>
      </c>
      <c r="B31" s="33" t="n">
        <v>36.2</v>
      </c>
      <c r="C31" s="16" t="s">
        <v>169</v>
      </c>
      <c r="D31" s="5"/>
      <c r="E31" s="5"/>
      <c r="F31" s="5"/>
      <c r="G31" s="12" t="s">
        <v>173</v>
      </c>
      <c r="H31" s="34" t="s">
        <v>174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9" t="s">
        <v>175</v>
      </c>
      <c r="B33" s="9"/>
      <c r="C33" s="9"/>
      <c r="D33" s="9"/>
      <c r="E33" s="9"/>
      <c r="F33" s="9"/>
      <c r="G33" s="9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0" t="s">
        <v>105</v>
      </c>
      <c r="B34" s="10" t="s">
        <v>88</v>
      </c>
      <c r="C34" s="10" t="s">
        <v>106</v>
      </c>
      <c r="D34" s="10"/>
      <c r="E34" s="10"/>
      <c r="F34" s="10"/>
      <c r="G34" s="10" t="s">
        <v>107</v>
      </c>
      <c r="H34" s="10" t="s">
        <v>108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1" t="s">
        <v>176</v>
      </c>
      <c r="B35" s="36" t="n">
        <v>1</v>
      </c>
      <c r="C35" s="16" t="s">
        <v>114</v>
      </c>
      <c r="D35" s="5"/>
      <c r="E35" s="5"/>
      <c r="F35" s="5"/>
      <c r="G35" s="12" t="s">
        <v>177</v>
      </c>
      <c r="H35" s="34" t="s">
        <v>178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1" t="s">
        <v>179</v>
      </c>
      <c r="B36" s="36" t="n">
        <v>3.75</v>
      </c>
      <c r="C36" s="16" t="s">
        <v>114</v>
      </c>
      <c r="D36" s="5"/>
      <c r="E36" s="5"/>
      <c r="F36" s="5"/>
      <c r="G36" s="12" t="s">
        <v>180</v>
      </c>
      <c r="H36" s="34" t="s">
        <v>181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1" t="s">
        <v>182</v>
      </c>
      <c r="B37" s="36" t="n">
        <v>1</v>
      </c>
      <c r="C37" s="16" t="s">
        <v>110</v>
      </c>
      <c r="D37" s="5"/>
      <c r="E37" s="5"/>
      <c r="F37" s="5"/>
      <c r="G37" s="12" t="s">
        <v>183</v>
      </c>
      <c r="H37" s="34" t="s">
        <v>184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1" t="s">
        <v>185</v>
      </c>
      <c r="B38" s="36" t="n">
        <v>2</v>
      </c>
      <c r="C38" s="16" t="s">
        <v>186</v>
      </c>
      <c r="D38" s="5"/>
      <c r="E38" s="5"/>
      <c r="F38" s="5"/>
      <c r="G38" s="12" t="s">
        <v>187</v>
      </c>
      <c r="H38" s="34" t="s">
        <v>188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1" t="s">
        <v>189</v>
      </c>
      <c r="B39" s="33" t="n">
        <v>1</v>
      </c>
      <c r="C39" s="16" t="s">
        <v>190</v>
      </c>
      <c r="D39" s="5"/>
      <c r="E39" s="5"/>
      <c r="F39" s="5"/>
      <c r="G39" s="12" t="s">
        <v>191</v>
      </c>
      <c r="H39" s="34" t="s">
        <v>192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1" t="s">
        <v>193</v>
      </c>
      <c r="B40" s="33" t="n">
        <v>300</v>
      </c>
      <c r="C40" s="16" t="s">
        <v>194</v>
      </c>
      <c r="D40" s="5"/>
      <c r="E40" s="5"/>
      <c r="F40" s="5"/>
      <c r="G40" s="12" t="s">
        <v>195</v>
      </c>
      <c r="H40" s="34" t="s">
        <v>196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9" t="s">
        <v>197</v>
      </c>
      <c r="B42" s="9"/>
      <c r="C42" s="9"/>
      <c r="D42" s="9"/>
      <c r="E42" s="9"/>
      <c r="F42" s="9"/>
      <c r="G42" s="9"/>
      <c r="H42" s="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0" t="s">
        <v>105</v>
      </c>
      <c r="B43" s="10" t="s">
        <v>88</v>
      </c>
      <c r="C43" s="10" t="s">
        <v>106</v>
      </c>
      <c r="D43" s="10"/>
      <c r="E43" s="10"/>
      <c r="F43" s="10"/>
      <c r="G43" s="10" t="s">
        <v>107</v>
      </c>
      <c r="H43" s="10" t="s">
        <v>108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1" t="s">
        <v>198</v>
      </c>
      <c r="B44" s="36" t="n">
        <v>5</v>
      </c>
      <c r="C44" s="16" t="s">
        <v>199</v>
      </c>
      <c r="D44" s="5"/>
      <c r="E44" s="5"/>
      <c r="F44" s="5"/>
      <c r="G44" s="12" t="s">
        <v>200</v>
      </c>
      <c r="H44" s="34" t="s">
        <v>201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1" t="s">
        <v>202</v>
      </c>
      <c r="B45" s="36" t="n">
        <v>3</v>
      </c>
      <c r="C45" s="16" t="s">
        <v>203</v>
      </c>
      <c r="D45" s="5"/>
      <c r="E45" s="5"/>
      <c r="F45" s="5"/>
      <c r="G45" s="12" t="s">
        <v>204</v>
      </c>
      <c r="H45" s="34" t="s">
        <v>205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1" t="s">
        <v>206</v>
      </c>
      <c r="B46" s="36" t="n">
        <v>3.7</v>
      </c>
      <c r="C46" s="16" t="s">
        <v>83</v>
      </c>
      <c r="D46" s="5"/>
      <c r="E46" s="5"/>
      <c r="F46" s="5"/>
      <c r="G46" s="12" t="s">
        <v>207</v>
      </c>
      <c r="H46" s="34" t="s">
        <v>208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1" t="s">
        <v>209</v>
      </c>
      <c r="B47" s="36" t="n">
        <v>5</v>
      </c>
      <c r="C47" s="16" t="s">
        <v>110</v>
      </c>
      <c r="D47" s="5"/>
      <c r="E47" s="5"/>
      <c r="F47" s="5"/>
      <c r="G47" s="12" t="s">
        <v>210</v>
      </c>
      <c r="H47" s="34" t="s">
        <v>211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1" t="s">
        <v>212</v>
      </c>
      <c r="B48" s="33" t="n">
        <v>0.71</v>
      </c>
      <c r="C48" s="16" t="s">
        <v>83</v>
      </c>
      <c r="D48" s="5"/>
      <c r="E48" s="5"/>
      <c r="F48" s="5"/>
      <c r="G48" s="12" t="s">
        <v>213</v>
      </c>
      <c r="H48" s="34" t="s">
        <v>214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9" t="s">
        <v>215</v>
      </c>
      <c r="B50" s="9"/>
      <c r="C50" s="9"/>
      <c r="D50" s="9"/>
      <c r="E50" s="9"/>
      <c r="F50" s="9"/>
      <c r="G50" s="9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0" t="s">
        <v>105</v>
      </c>
      <c r="B51" s="10" t="s">
        <v>88</v>
      </c>
      <c r="C51" s="10" t="s">
        <v>106</v>
      </c>
      <c r="D51" s="10"/>
      <c r="E51" s="10"/>
      <c r="F51" s="10"/>
      <c r="G51" s="10" t="s">
        <v>107</v>
      </c>
      <c r="H51" s="10" t="s">
        <v>108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1" t="s">
        <v>216</v>
      </c>
      <c r="B52" s="36" t="n">
        <v>28</v>
      </c>
      <c r="C52" s="16" t="s">
        <v>190</v>
      </c>
      <c r="D52" s="5"/>
      <c r="E52" s="5"/>
      <c r="F52" s="5"/>
      <c r="G52" s="12" t="s">
        <v>217</v>
      </c>
      <c r="H52" s="34" t="s">
        <v>218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1" t="s">
        <v>219</v>
      </c>
      <c r="B53" s="36" t="n">
        <v>2.4</v>
      </c>
      <c r="C53" s="16" t="s">
        <v>83</v>
      </c>
      <c r="D53" s="5"/>
      <c r="E53" s="5"/>
      <c r="F53" s="5"/>
      <c r="G53" s="12" t="s">
        <v>220</v>
      </c>
      <c r="H53" s="34" t="s">
        <v>221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1" t="s">
        <v>222</v>
      </c>
      <c r="B54" s="36" t="n">
        <v>0.5</v>
      </c>
      <c r="C54" s="16" t="s">
        <v>110</v>
      </c>
      <c r="D54" s="5"/>
      <c r="E54" s="5"/>
      <c r="F54" s="5"/>
      <c r="G54" s="12" t="s">
        <v>223</v>
      </c>
      <c r="H54" s="34" t="s">
        <v>224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1" t="s">
        <v>225</v>
      </c>
      <c r="B55" s="36" t="n">
        <v>0.5</v>
      </c>
      <c r="C55" s="16" t="s">
        <v>110</v>
      </c>
      <c r="D55" s="5"/>
      <c r="E55" s="5"/>
      <c r="F55" s="5"/>
      <c r="G55" s="12" t="s">
        <v>226</v>
      </c>
      <c r="H55" s="34" t="s">
        <v>227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1" t="s">
        <v>228</v>
      </c>
      <c r="B56" s="36" t="n">
        <v>0.5</v>
      </c>
      <c r="C56" s="16" t="s">
        <v>114</v>
      </c>
      <c r="D56" s="5"/>
      <c r="E56" s="5"/>
      <c r="F56" s="5"/>
      <c r="G56" s="12" t="s">
        <v>229</v>
      </c>
      <c r="H56" s="34" t="s">
        <v>230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9" t="s">
        <v>231</v>
      </c>
      <c r="B58" s="9"/>
      <c r="C58" s="9"/>
      <c r="D58" s="9"/>
      <c r="E58" s="9"/>
      <c r="F58" s="9"/>
      <c r="G58" s="9"/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0" t="s">
        <v>232</v>
      </c>
      <c r="B59" s="10" t="s">
        <v>233</v>
      </c>
      <c r="C59" s="10" t="s">
        <v>234</v>
      </c>
      <c r="D59" s="10" t="s">
        <v>235</v>
      </c>
      <c r="E59" s="10" t="s">
        <v>236</v>
      </c>
      <c r="F59" s="10" t="s">
        <v>237</v>
      </c>
      <c r="G59" s="10" t="s">
        <v>238</v>
      </c>
      <c r="H59" s="10" t="s">
        <v>108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1" t="s">
        <v>239</v>
      </c>
      <c r="B60" s="38" t="n">
        <v>254</v>
      </c>
      <c r="C60" s="38" t="n">
        <v>147</v>
      </c>
      <c r="D60" s="38" t="n">
        <v>76</v>
      </c>
      <c r="E60" s="38" t="n">
        <v>34</v>
      </c>
      <c r="F60" s="39"/>
      <c r="G60" s="12" t="s">
        <v>240</v>
      </c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1" t="s">
        <v>241</v>
      </c>
      <c r="B61" s="38" t="n">
        <v>5</v>
      </c>
      <c r="C61" s="38" t="n">
        <v>5</v>
      </c>
      <c r="D61" s="38" t="n">
        <v>6</v>
      </c>
      <c r="E61" s="38" t="n">
        <v>8</v>
      </c>
      <c r="F61" s="39"/>
      <c r="G61" s="12" t="s">
        <v>242</v>
      </c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1" t="s">
        <v>243</v>
      </c>
      <c r="B62" s="38" t="n">
        <v>105</v>
      </c>
      <c r="C62" s="38" t="n">
        <v>36</v>
      </c>
      <c r="D62" s="38" t="n">
        <v>21</v>
      </c>
      <c r="E62" s="38" t="n">
        <v>18</v>
      </c>
      <c r="F62" s="39"/>
      <c r="G62" s="12" t="s">
        <v>244</v>
      </c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1" t="s">
        <v>245</v>
      </c>
      <c r="B63" s="38" t="n">
        <v>4</v>
      </c>
      <c r="C63" s="38" t="n">
        <v>4</v>
      </c>
      <c r="D63" s="38" t="n">
        <v>3</v>
      </c>
      <c r="E63" s="38" t="n">
        <v>3</v>
      </c>
      <c r="F63" s="39"/>
      <c r="G63" s="12" t="s">
        <v>246</v>
      </c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1" t="s">
        <v>247</v>
      </c>
      <c r="B64" s="38" t="n">
        <v>72</v>
      </c>
      <c r="C64" s="38" t="n">
        <v>34</v>
      </c>
      <c r="D64" s="38" t="n">
        <v>18</v>
      </c>
      <c r="E64" s="38" t="n">
        <v>9</v>
      </c>
      <c r="F64" s="39"/>
      <c r="G64" s="12" t="s">
        <v>248</v>
      </c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1" t="s">
        <v>249</v>
      </c>
      <c r="B65" s="38" t="n">
        <v>3</v>
      </c>
      <c r="C65" s="38" t="n">
        <v>3</v>
      </c>
      <c r="D65" s="38" t="n">
        <v>3</v>
      </c>
      <c r="E65" s="38" t="n">
        <v>2</v>
      </c>
      <c r="F65" s="39"/>
      <c r="G65" s="12" t="s">
        <v>250</v>
      </c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1" t="s">
        <v>251</v>
      </c>
      <c r="B66" s="38" t="n">
        <v>288</v>
      </c>
      <c r="C66" s="38" t="n">
        <v>88</v>
      </c>
      <c r="D66" s="38" t="n">
        <v>48</v>
      </c>
      <c r="E66" s="38" t="n">
        <v>27</v>
      </c>
      <c r="F66" s="39"/>
      <c r="G66" s="12" t="s">
        <v>252</v>
      </c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1" t="s">
        <v>253</v>
      </c>
      <c r="B67" s="38" t="n">
        <v>288</v>
      </c>
      <c r="C67" s="38" t="n">
        <v>80</v>
      </c>
      <c r="D67" s="38" t="n">
        <v>36</v>
      </c>
      <c r="E67" s="38" t="n">
        <v>21</v>
      </c>
      <c r="F67" s="39"/>
      <c r="G67" s="12" t="s">
        <v>254</v>
      </c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1" t="s">
        <v>255</v>
      </c>
      <c r="B68" s="38" t="n">
        <v>100</v>
      </c>
      <c r="C68" s="38" t="n">
        <v>40</v>
      </c>
      <c r="D68" s="38" t="n">
        <v>30</v>
      </c>
      <c r="E68" s="38" t="n">
        <v>19</v>
      </c>
      <c r="F68" s="39"/>
      <c r="G68" s="12" t="s">
        <v>256</v>
      </c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1" t="s">
        <v>257</v>
      </c>
      <c r="B69" s="36" t="n">
        <v>12</v>
      </c>
      <c r="C69" s="40"/>
      <c r="D69" s="40"/>
      <c r="E69" s="40"/>
      <c r="F69" s="36" t="n">
        <v>1.44</v>
      </c>
      <c r="G69" s="12" t="s">
        <v>258</v>
      </c>
      <c r="H69" s="34" t="s">
        <v>259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9" t="s">
        <v>260</v>
      </c>
      <c r="B71" s="9"/>
      <c r="C71" s="9"/>
      <c r="D71" s="9"/>
      <c r="E71" s="9"/>
      <c r="F71" s="9"/>
      <c r="G71" s="9"/>
      <c r="H71" s="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0" t="s">
        <v>261</v>
      </c>
      <c r="B72" s="10" t="s">
        <v>233</v>
      </c>
      <c r="C72" s="10" t="s">
        <v>234</v>
      </c>
      <c r="D72" s="10" t="s">
        <v>235</v>
      </c>
      <c r="E72" s="10" t="s">
        <v>236</v>
      </c>
      <c r="F72" s="10"/>
      <c r="G72" s="10" t="s">
        <v>238</v>
      </c>
      <c r="H72" s="1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3" t="s">
        <v>262</v>
      </c>
      <c r="B73" s="38" t="n">
        <v>0.59</v>
      </c>
      <c r="C73" s="38" t="n">
        <v>1.02</v>
      </c>
      <c r="D73" s="38" t="n">
        <v>1.97</v>
      </c>
      <c r="E73" s="38" t="n">
        <v>4.38</v>
      </c>
      <c r="F73" s="5"/>
      <c r="G73" s="12" t="s">
        <v>263</v>
      </c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3" t="s">
        <v>264</v>
      </c>
      <c r="B74" s="38" t="n">
        <v>0.04</v>
      </c>
      <c r="C74" s="38" t="n">
        <v>0.21</v>
      </c>
      <c r="D74" s="38" t="n">
        <v>0.42</v>
      </c>
      <c r="E74" s="38" t="n">
        <v>0.71</v>
      </c>
      <c r="F74" s="5"/>
      <c r="G74" s="12" t="s">
        <v>265</v>
      </c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3" t="s">
        <v>266</v>
      </c>
      <c r="B75" s="38" t="n">
        <v>0.05</v>
      </c>
      <c r="C75" s="38" t="n">
        <v>0.19</v>
      </c>
      <c r="D75" s="38" t="n">
        <v>0.34</v>
      </c>
      <c r="E75" s="38" t="n">
        <v>0.57</v>
      </c>
      <c r="F75" s="5"/>
      <c r="G75" s="12" t="s">
        <v>267</v>
      </c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3" t="s">
        <v>268</v>
      </c>
      <c r="B76" s="38" t="n">
        <v>0.71</v>
      </c>
      <c r="C76" s="38" t="n">
        <v>1.35</v>
      </c>
      <c r="D76" s="38" t="n">
        <v>2.6</v>
      </c>
      <c r="E76" s="38" t="n">
        <v>5.48</v>
      </c>
      <c r="F76" s="5"/>
      <c r="G76" s="12" t="s">
        <v>269</v>
      </c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3" t="s">
        <v>270</v>
      </c>
      <c r="B77" s="38" t="n">
        <v>2.08</v>
      </c>
      <c r="C77" s="38" t="n">
        <v>4.3</v>
      </c>
      <c r="D77" s="38" t="n">
        <v>8.1</v>
      </c>
      <c r="E77" s="38" t="n">
        <v>15.94</v>
      </c>
      <c r="F77" s="5"/>
      <c r="G77" s="12" t="s">
        <v>271</v>
      </c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9" t="s">
        <v>272</v>
      </c>
      <c r="B79" s="9"/>
      <c r="C79" s="9"/>
      <c r="D79" s="9"/>
      <c r="E79" s="9"/>
      <c r="F79" s="9"/>
      <c r="G79" s="9"/>
      <c r="H79" s="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0" t="s">
        <v>273</v>
      </c>
      <c r="B80" s="10" t="s">
        <v>233</v>
      </c>
      <c r="C80" s="10" t="s">
        <v>234</v>
      </c>
      <c r="D80" s="10" t="s">
        <v>235</v>
      </c>
      <c r="E80" s="10" t="s">
        <v>236</v>
      </c>
      <c r="F80" s="10"/>
      <c r="G80" s="10" t="s">
        <v>238</v>
      </c>
      <c r="H80" s="1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3" t="s">
        <v>274</v>
      </c>
      <c r="B81" s="40" t="n">
        <v>360</v>
      </c>
      <c r="C81" s="40" t="n">
        <v>168</v>
      </c>
      <c r="D81" s="40" t="n">
        <v>84</v>
      </c>
      <c r="E81" s="40" t="n">
        <v>60</v>
      </c>
      <c r="F81" s="5"/>
      <c r="G81" s="41" t="s">
        <v>275</v>
      </c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3" t="s">
        <v>276</v>
      </c>
      <c r="B82" s="40" t="n">
        <v>780</v>
      </c>
      <c r="C82" s="40" t="n">
        <v>288</v>
      </c>
      <c r="D82" s="40" t="n">
        <v>126</v>
      </c>
      <c r="E82" s="40" t="n">
        <v>60</v>
      </c>
      <c r="F82" s="5"/>
      <c r="G82" s="41" t="s">
        <v>277</v>
      </c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9" t="s">
        <v>278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0" t="s">
        <v>105</v>
      </c>
      <c r="B84" s="10" t="s">
        <v>88</v>
      </c>
      <c r="C84" s="10" t="s">
        <v>106</v>
      </c>
      <c r="D84" s="10"/>
      <c r="E84" s="10"/>
      <c r="F84" s="10"/>
      <c r="G84" s="10" t="s">
        <v>107</v>
      </c>
      <c r="H84" s="10" t="s">
        <v>108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1" t="s">
        <v>279</v>
      </c>
      <c r="B85" s="36" t="n">
        <v>1</v>
      </c>
      <c r="C85" s="1" t="s">
        <v>190</v>
      </c>
      <c r="G85" s="12" t="s">
        <v>280</v>
      </c>
      <c r="H85" s="34" t="s">
        <v>281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1" t="s">
        <v>282</v>
      </c>
      <c r="B86" s="36" t="n">
        <v>3</v>
      </c>
      <c r="C86" s="1" t="s">
        <v>190</v>
      </c>
      <c r="G86" s="12" t="s">
        <v>283</v>
      </c>
      <c r="H86" s="34" t="s">
        <v>284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1" t="s">
        <v>285</v>
      </c>
      <c r="B87" s="36" t="n">
        <v>1</v>
      </c>
      <c r="C87" s="1" t="s">
        <v>83</v>
      </c>
      <c r="G87" s="12" t="s">
        <v>286</v>
      </c>
      <c r="H87" s="34" t="s">
        <v>287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1" t="s">
        <v>288</v>
      </c>
      <c r="B88" s="36" t="n">
        <v>1</v>
      </c>
      <c r="C88" s="1" t="s">
        <v>114</v>
      </c>
      <c r="G88" s="12" t="s">
        <v>289</v>
      </c>
      <c r="H88" s="34" t="s">
        <v>290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1" t="s">
        <v>291</v>
      </c>
      <c r="B89" s="36" t="n">
        <v>12</v>
      </c>
      <c r="C89" s="1" t="s">
        <v>190</v>
      </c>
      <c r="G89" s="12" t="s">
        <v>292</v>
      </c>
      <c r="H89" s="34" t="s">
        <v>293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1" t="s">
        <v>294</v>
      </c>
      <c r="B90" s="36" t="n">
        <v>3</v>
      </c>
      <c r="C90" s="1" t="s">
        <v>190</v>
      </c>
      <c r="G90" s="12" t="s">
        <v>295</v>
      </c>
      <c r="H90" s="34" t="s">
        <v>296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1" t="s">
        <v>297</v>
      </c>
      <c r="B91" s="36" t="n">
        <v>3</v>
      </c>
      <c r="C91" s="1" t="s">
        <v>190</v>
      </c>
      <c r="G91" s="12" t="s">
        <v>298</v>
      </c>
      <c r="H91" s="34" t="s">
        <v>299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1" t="s">
        <v>300</v>
      </c>
      <c r="B92" s="38" t="n">
        <v>2.7</v>
      </c>
      <c r="C92" s="1" t="s">
        <v>301</v>
      </c>
      <c r="H92" s="34" t="s">
        <v>302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1" t="s">
        <v>303</v>
      </c>
      <c r="B93" s="38" t="n">
        <v>1.2</v>
      </c>
      <c r="C93" s="1" t="s">
        <v>301</v>
      </c>
      <c r="G93" s="12" t="s">
        <v>304</v>
      </c>
      <c r="H93" s="34" t="s">
        <v>305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1" t="s">
        <v>306</v>
      </c>
      <c r="B94" s="36" t="n">
        <v>3.5</v>
      </c>
      <c r="C94" s="1" t="s">
        <v>301</v>
      </c>
      <c r="H94" s="34" t="s">
        <v>307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1" t="s">
        <v>308</v>
      </c>
      <c r="B95" s="36" t="n">
        <v>1.4</v>
      </c>
      <c r="C95" s="1" t="s">
        <v>309</v>
      </c>
      <c r="G95" s="12" t="s">
        <v>310</v>
      </c>
      <c r="H95" s="34" t="s">
        <v>311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1" t="s">
        <v>312</v>
      </c>
      <c r="B96" s="36" t="n">
        <v>2</v>
      </c>
      <c r="C96" s="1" t="s">
        <v>110</v>
      </c>
      <c r="G96" s="12" t="s">
        <v>313</v>
      </c>
      <c r="H96" s="34" t="s">
        <v>314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1" t="s">
        <v>315</v>
      </c>
      <c r="B97" s="36" t="n">
        <v>3</v>
      </c>
      <c r="C97" s="1" t="s">
        <v>110</v>
      </c>
      <c r="G97" s="12" t="s">
        <v>316</v>
      </c>
      <c r="H97" s="34" t="s">
        <v>317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1" t="s">
        <v>318</v>
      </c>
      <c r="B98" s="36" t="n">
        <v>2</v>
      </c>
      <c r="C98" s="1" t="s">
        <v>110</v>
      </c>
      <c r="G98" s="12" t="s">
        <v>319</v>
      </c>
      <c r="H98" s="34" t="s">
        <v>320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1" t="s">
        <v>321</v>
      </c>
      <c r="B99" s="36" t="n">
        <v>0</v>
      </c>
      <c r="C99" s="1" t="s">
        <v>110</v>
      </c>
      <c r="G99" s="12" t="s">
        <v>322</v>
      </c>
      <c r="H99" s="34" t="s">
        <v>323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1" t="s">
        <v>324</v>
      </c>
      <c r="B100" s="36" t="n">
        <v>2</v>
      </c>
      <c r="C100" s="1" t="s">
        <v>190</v>
      </c>
      <c r="G100" s="12" t="s">
        <v>325</v>
      </c>
      <c r="H100" s="34" t="s">
        <v>326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0" t="s">
        <v>327</v>
      </c>
      <c r="B101" s="10" t="s">
        <v>328</v>
      </c>
      <c r="C101" s="10" t="s">
        <v>329</v>
      </c>
      <c r="D101" s="10" t="s">
        <v>330</v>
      </c>
      <c r="E101" s="10" t="s">
        <v>331</v>
      </c>
      <c r="F101" s="10"/>
      <c r="G101" s="10" t="s">
        <v>238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1" t="s">
        <v>332</v>
      </c>
      <c r="B102" s="38" t="n">
        <v>276.5</v>
      </c>
      <c r="C102" s="38" t="n">
        <v>320</v>
      </c>
      <c r="D102" s="38" t="n">
        <v>390</v>
      </c>
      <c r="E102" s="38" t="n">
        <v>390</v>
      </c>
      <c r="G102" s="12" t="s">
        <v>333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1" t="s">
        <v>334</v>
      </c>
      <c r="B103" s="38" t="n">
        <v>0.33</v>
      </c>
      <c r="C103" s="38" t="n">
        <v>0.42</v>
      </c>
      <c r="D103" s="38" t="n">
        <v>0.56</v>
      </c>
      <c r="E103" s="38" t="n">
        <v>0.6</v>
      </c>
      <c r="G103" s="12" t="s">
        <v>335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2"/>
    <col collapsed="false" customWidth="true" hidden="false" outlineLevel="0" max="3" min="3" style="1" width="15"/>
    <col collapsed="false" customWidth="true" hidden="false" outlineLevel="0" max="4" min="4" style="1" width="11"/>
    <col collapsed="false" customWidth="true" hidden="false" outlineLevel="0" max="6" min="5" style="1" width="10"/>
    <col collapsed="false" customWidth="true" hidden="false" outlineLevel="0" max="10" min="7" style="1" width="9"/>
    <col collapsed="false" customWidth="true" hidden="false" outlineLevel="0" max="11" min="11" style="1" width="16.71"/>
    <col collapsed="false" customWidth="true" hidden="false" outlineLevel="0" max="14" min="12" style="1" width="9"/>
    <col collapsed="false" customWidth="true" hidden="false" outlineLevel="0" max="17" min="15" style="1" width="11"/>
    <col collapsed="false" customWidth="true" hidden="false" outlineLevel="0" max="19" min="18" style="1" width="7"/>
    <col collapsed="false" customWidth="true" hidden="false" outlineLevel="0" max="20" min="20" style="1" width="11"/>
    <col collapsed="false" customWidth="true" hidden="false" outlineLevel="0" max="21" min="21" style="1" width="10"/>
    <col collapsed="false" customWidth="true" hidden="false" outlineLevel="0" max="22" min="22" style="1" width="11"/>
    <col collapsed="false" customWidth="true" hidden="false" outlineLevel="0" max="23" min="23" style="1" width="10"/>
    <col collapsed="false" customWidth="true" hidden="false" outlineLevel="0" max="24" min="24" style="1" width="52"/>
  </cols>
  <sheetData>
    <row r="1" customFormat="false" ht="15" hidden="false" customHeight="true" outlineLevel="0" collapsed="false">
      <c r="A1" s="2" t="s">
        <v>336</v>
      </c>
      <c r="Y1" s="1"/>
      <c r="Z1" s="1"/>
    </row>
    <row r="2" customFormat="false" ht="15" hidden="false" customHeight="true" outlineLevel="0" collapsed="false">
      <c r="A2" s="3" t="s">
        <v>337</v>
      </c>
      <c r="Y2" s="1"/>
      <c r="Z2" s="1"/>
    </row>
    <row r="3" customFormat="false" ht="15" hidden="false" customHeight="true" outlineLevel="0" collapsed="false">
      <c r="A3" s="32" t="s">
        <v>338</v>
      </c>
      <c r="Y3" s="1"/>
      <c r="Z3" s="1"/>
    </row>
    <row r="4" customFormat="false" ht="15" hidden="false" customHeight="true" outlineLevel="0" collapsed="false">
      <c r="A4" s="4" t="s">
        <v>339</v>
      </c>
      <c r="B4" s="8" t="str">
        <f aca="false" t="array" ref="B4:B4">INDEX($B$7:$M$7,1,MES)&amp;" "&amp;ANIO</f>
        <v>Ene 2035</v>
      </c>
      <c r="Y4" s="1"/>
      <c r="Z4" s="1"/>
    </row>
    <row r="5" customFormat="false" ht="15" hidden="false" customHeight="true" outlineLevel="0" collapsed="false">
      <c r="Y5" s="1"/>
      <c r="Z5" s="1"/>
    </row>
    <row r="6" customFormat="false" ht="15" hidden="false" customHeight="true" outlineLevel="0" collapsed="false">
      <c r="A6" s="9" t="s">
        <v>340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Y6" s="1"/>
      <c r="Z6" s="1"/>
    </row>
    <row r="7" customFormat="false" ht="23.25" hidden="false" customHeight="true" outlineLevel="0" collapsed="false">
      <c r="A7" s="10" t="s">
        <v>28</v>
      </c>
      <c r="B7" s="10" t="s">
        <v>341</v>
      </c>
      <c r="C7" s="10" t="s">
        <v>342</v>
      </c>
      <c r="D7" s="10" t="s">
        <v>343</v>
      </c>
      <c r="E7" s="10" t="s">
        <v>344</v>
      </c>
      <c r="F7" s="10" t="s">
        <v>345</v>
      </c>
      <c r="G7" s="10" t="s">
        <v>346</v>
      </c>
      <c r="H7" s="10" t="s">
        <v>347</v>
      </c>
      <c r="I7" s="10" t="s">
        <v>348</v>
      </c>
      <c r="J7" s="10" t="s">
        <v>349</v>
      </c>
      <c r="K7" s="10" t="s">
        <v>350</v>
      </c>
      <c r="L7" s="10" t="s">
        <v>351</v>
      </c>
      <c r="M7" s="10" t="s">
        <v>352</v>
      </c>
      <c r="N7" s="10" t="s">
        <v>353</v>
      </c>
      <c r="O7" s="10" t="s">
        <v>44</v>
      </c>
      <c r="Y7" s="1"/>
      <c r="Z7" s="1"/>
    </row>
    <row r="8" customFormat="false" ht="15" hidden="false" customHeight="true" outlineLevel="0" collapsed="false">
      <c r="A8" s="13" t="s">
        <v>34</v>
      </c>
      <c r="B8" s="14" t="n">
        <f aca="false">SUMPRODUCT($B$14:$B$17,Datos!E$173:E$176)</f>
        <v>25601.630793912</v>
      </c>
      <c r="C8" s="14" t="n">
        <f aca="false">SUMPRODUCT($B$14:$B$17,Datos!F$173:F$176)</f>
        <v>24783.211541474</v>
      </c>
      <c r="D8" s="14" t="n">
        <f aca="false">SUMPRODUCT($B$14:$B$17,Datos!G$173:G$176)</f>
        <v>23166.214776363</v>
      </c>
      <c r="E8" s="14" t="n">
        <f aca="false">SUMPRODUCT($B$14:$B$17,Datos!H$173:H$176)</f>
        <v>22153.111580698</v>
      </c>
      <c r="F8" s="14" t="n">
        <f aca="false">SUMPRODUCT($B$14:$B$17,Datos!I$173:I$176)</f>
        <v>20730.798758814</v>
      </c>
      <c r="G8" s="14" t="n">
        <f aca="false">SUMPRODUCT($B$14:$B$17,Datos!J$173:J$176)</f>
        <v>20321.589132595</v>
      </c>
      <c r="H8" s="14" t="n">
        <f aca="false">SUMPRODUCT($B$14:$B$17,Datos!K$173:K$176)</f>
        <v>21743.901954479</v>
      </c>
      <c r="I8" s="14" t="n">
        <f aca="false">SUMPRODUCT($B$14:$B$17,Datos!L$173:L$176)</f>
        <v>24783.211541474</v>
      </c>
      <c r="J8" s="14" t="n">
        <f aca="false">SUMPRODUCT($B$14:$B$17,Datos!M$173:M$176)</f>
        <v>24783.211541474</v>
      </c>
      <c r="K8" s="14" t="n">
        <f aca="false">SUMPRODUCT($B$14:$B$17,Datos!N$173:N$176)</f>
        <v>25192.421167693</v>
      </c>
      <c r="L8" s="14" t="n">
        <f aca="false">SUMPRODUCT($B$14:$B$17,Datos!O$173:O$176)</f>
        <v>25601.630793912</v>
      </c>
      <c r="M8" s="14" t="n">
        <f aca="false">SUMPRODUCT($B$14:$B$17,Datos!P$173:P$176)</f>
        <v>25601.630793912</v>
      </c>
      <c r="N8" s="42" t="n">
        <f aca="false">MATCH(MAX(B8:M8),B8:M8,0)</f>
        <v>1</v>
      </c>
      <c r="O8" s="21" t="str">
        <f aca="false">INDEX($B$7:$M$7,1,N8)</f>
        <v>Ene</v>
      </c>
      <c r="Y8" s="1"/>
      <c r="Z8" s="1"/>
    </row>
    <row r="9" customFormat="false" ht="15" hidden="false" customHeight="true" outlineLevel="0" collapsed="false">
      <c r="A9" s="13" t="s">
        <v>35</v>
      </c>
      <c r="B9" s="14" t="n">
        <f aca="false">SUMIFS(Datos!E$90:E$169,Datos!$A$90:$A$169,ANIO)</f>
        <v>264.12238131</v>
      </c>
      <c r="C9" s="14" t="n">
        <f aca="false">SUMIFS(Datos!F$90:F$169,Datos!$A$90:$A$169,ANIO)</f>
        <v>233.04915998</v>
      </c>
      <c r="D9" s="14" t="n">
        <f aca="false">SUMIFS(Datos!G$90:G$169,Datos!$A$90:$A$169,ANIO)</f>
        <v>279.65899197</v>
      </c>
      <c r="E9" s="14" t="n">
        <f aca="false">SUMIFS(Datos!H$90:H$169,Datos!$A$90:$A$169,ANIO)</f>
        <v>279.65899197</v>
      </c>
      <c r="F9" s="14" t="n">
        <f aca="false">SUMIFS(Datos!I$90:I$169,Datos!$A$90:$A$169,ANIO)</f>
        <v>279.65899197</v>
      </c>
      <c r="G9" s="14" t="n">
        <f aca="false">SUMIFS(Datos!J$90:J$169,Datos!$A$90:$A$169,ANIO)</f>
        <v>248.58577064</v>
      </c>
      <c r="H9" s="14" t="n">
        <f aca="false">SUMIFS(Datos!K$90:K$169,Datos!$A$90:$A$169,ANIO)</f>
        <v>279.65899197</v>
      </c>
      <c r="I9" s="14" t="n">
        <f aca="false">SUMIFS(Datos!L$90:L$169,Datos!$A$90:$A$169,ANIO)</f>
        <v>279.65899197</v>
      </c>
      <c r="J9" s="14" t="n">
        <f aca="false">SUMIFS(Datos!M$90:M$169,Datos!$A$90:$A$169,ANIO)</f>
        <v>264.12238131</v>
      </c>
      <c r="K9" s="14" t="n">
        <f aca="false">SUMIFS(Datos!N$90:N$169,Datos!$A$90:$A$169,ANIO)</f>
        <v>233.04915998</v>
      </c>
      <c r="L9" s="14" t="n">
        <f aca="false">SUMIFS(Datos!O$90:O$169,Datos!$A$90:$A$169,ANIO)</f>
        <v>217.51254931</v>
      </c>
      <c r="M9" s="14" t="n">
        <f aca="false">SUMIFS(Datos!P$90:P$169,Datos!$A$90:$A$169,ANIO)</f>
        <v>248.58577064</v>
      </c>
      <c r="N9" s="42" t="n">
        <f aca="false">MATCH(MAX(B9:M9),B9:M9,0)</f>
        <v>3</v>
      </c>
      <c r="O9" s="21" t="str">
        <f aca="false">INDEX($B$7:$M$7,1,N9)</f>
        <v>Mar</v>
      </c>
      <c r="Y9" s="1"/>
      <c r="Z9" s="1"/>
    </row>
    <row r="10" customFormat="false" ht="15" hidden="false" customHeight="true" outlineLevel="0" collapsed="false">
      <c r="A10" s="13" t="s">
        <v>354</v>
      </c>
      <c r="B10" s="14" t="n">
        <f aca="false">SUMIFS(Datos!C$312:C$541,Datos!$A$312:$A$541,"Recepción y registro",Datos!$B$312:$B$541,ANIO)</f>
        <v>10822.07538</v>
      </c>
      <c r="C10" s="14" t="n">
        <f aca="false">SUMIFS(Datos!D$312:D$541,Datos!$A$312:$A$541,"Recepción y registro",Datos!$B$312:$B$541,ANIO)</f>
        <v>9391.262503</v>
      </c>
      <c r="D10" s="14" t="n">
        <f aca="false">SUMIFS(Datos!E$312:E$541,Datos!$A$312:$A$541,"Recepción y registro",Datos!$B$312:$B$541,ANIO)</f>
        <v>8906.03007</v>
      </c>
      <c r="E10" s="14" t="n">
        <f aca="false">SUMIFS(Datos!F$312:F$541,Datos!$A$312:$A$541,"Recepción y registro",Datos!$B$312:$B$541,ANIO)</f>
        <v>9801.729969</v>
      </c>
      <c r="F10" s="14" t="n">
        <f aca="false">SUMIFS(Datos!G$312:G$541,Datos!$A$312:$A$541,"Recepción y registro",Datos!$B$312:$B$541,ANIO)</f>
        <v>9879.358481</v>
      </c>
      <c r="G10" s="14" t="n">
        <f aca="false">SUMIFS(Datos!H$312:H$541,Datos!$A$312:$A$541,"Recepción y registro",Datos!$B$312:$B$541,ANIO)</f>
        <v>9758.703258</v>
      </c>
      <c r="H10" s="14" t="n">
        <f aca="false">SUMIFS(Datos!I$312:I$541,Datos!$A$312:$A$541,"Recepción y registro",Datos!$B$312:$B$541,ANIO)</f>
        <v>8689.691505</v>
      </c>
      <c r="I10" s="14" t="n">
        <f aca="false">SUMIFS(Datos!J$312:J$541,Datos!$A$312:$A$541,"Recepción y registro",Datos!$B$312:$B$541,ANIO)</f>
        <v>8770.096101</v>
      </c>
      <c r="J10" s="14" t="n">
        <f aca="false">SUMIFS(Datos!K$312:K$541,Datos!$A$312:$A$541,"Recepción y registro",Datos!$B$312:$B$541,ANIO)</f>
        <v>8876.551924</v>
      </c>
      <c r="K10" s="14" t="n">
        <f aca="false">SUMIFS(Datos!L$312:L$541,Datos!$A$312:$A$541,"Recepción y registro",Datos!$B$312:$B$541,ANIO)</f>
        <v>8876.551924</v>
      </c>
      <c r="L10" s="14" t="n">
        <f aca="false">SUMIFS(Datos!M$312:M$541,Datos!$A$312:$A$541,"Recepción y registro",Datos!$B$312:$B$541,ANIO)</f>
        <v>10229.73629</v>
      </c>
      <c r="M10" s="14" t="n">
        <f aca="false">SUMIFS(Datos!N$312:N$541,Datos!$A$312:$A$541,"Recepción y registro",Datos!$B$312:$B$541,ANIO)</f>
        <v>11781.20439</v>
      </c>
      <c r="N10" s="42" t="n">
        <f aca="false">MATCH(MAX(B10:M10),B10:M10,0)</f>
        <v>12</v>
      </c>
      <c r="O10" s="21" t="str">
        <f aca="false">INDEX($B$7:$M$7,1,N10)</f>
        <v>Dic</v>
      </c>
      <c r="Y10" s="1"/>
      <c r="Z10" s="1"/>
    </row>
    <row r="11" customFormat="false" ht="15" hidden="false" customHeight="true" outlineLevel="0" collapsed="false">
      <c r="Y11" s="1"/>
      <c r="Z11" s="1"/>
    </row>
    <row r="12" customFormat="false" ht="15" hidden="false" customHeight="true" outlineLevel="0" collapsed="false">
      <c r="A12" s="9" t="s">
        <v>355</v>
      </c>
      <c r="B12" s="9"/>
      <c r="C12" s="9"/>
      <c r="D12" s="9"/>
      <c r="E12" s="9"/>
      <c r="F12" s="9"/>
      <c r="G12" s="9"/>
      <c r="H12" s="9"/>
      <c r="I12" s="9"/>
      <c r="Y12" s="1"/>
      <c r="Z12" s="1"/>
    </row>
    <row r="13" customFormat="false" ht="45" hidden="false" customHeight="true" outlineLevel="0" collapsed="false">
      <c r="A13" s="10" t="s">
        <v>356</v>
      </c>
      <c r="B13" s="10" t="s">
        <v>357</v>
      </c>
      <c r="C13" s="10" t="s">
        <v>358</v>
      </c>
      <c r="D13" s="10" t="s">
        <v>32</v>
      </c>
      <c r="E13" s="10" t="s">
        <v>33</v>
      </c>
      <c r="F13" s="10" t="s">
        <v>359</v>
      </c>
      <c r="G13" s="10" t="s">
        <v>360</v>
      </c>
      <c r="H13" s="10" t="s">
        <v>361</v>
      </c>
      <c r="I13" s="10" t="s">
        <v>362</v>
      </c>
      <c r="Y13" s="1"/>
      <c r="Z13" s="1"/>
    </row>
    <row r="14" customFormat="false" ht="15" hidden="false" customHeight="true" outlineLevel="0" collapsed="false">
      <c r="A14" s="4" t="s">
        <v>233</v>
      </c>
      <c r="B14" s="14" t="n">
        <f aca="false">SUMIFS(Datos!$Q$7:$Q$86,Datos!$A$7:$A$86,ANIO,Datos!$D$7:$D$86,$A14)</f>
        <v>202620.639133</v>
      </c>
      <c r="C14" s="18" t="n">
        <f aca="false" t="array" ref="C14:C14">INDEX(Datos!$E$173:$P$173,1,MES)</f>
        <v>0.09</v>
      </c>
      <c r="D14" s="22" t="n">
        <f aca="false">SUMIFS(Datos!$Q$7:$Q$86,Datos!$A$7:$A$86,ANIO,Datos!$D$7:$D$86,$A14,Datos!$C$7:$C$86,"Terminado")*C14/DIAS</f>
        <v>144.3268760985</v>
      </c>
      <c r="E14" s="22" t="n">
        <f aca="false">SUMIFS(Datos!$Q$7:$Q$86,Datos!$A$7:$A$86,ANIO,Datos!$D$7:$D$86,$A14,Datos!$C$7:$C$86,"Cilindro")*C14/DIAS</f>
        <v>767.466</v>
      </c>
      <c r="F14" s="15" t="n">
        <f aca="false">D14+E14</f>
        <v>911.7928760985</v>
      </c>
      <c r="G14" s="18" t="n">
        <f aca="false">IF($F$18=0,0,F14/$F$18)</f>
        <v>0.712292809343475</v>
      </c>
      <c r="H14" s="14" t="n">
        <f aca="false" t="array" ref="H14:H14">SUMIFS(INDEX(Datos!$E$7:$P$86,0,MES),Datos!$A$7:$A$86,ANIO,Datos!$D$7:$D$86,$A14)</f>
        <v>24314.476696</v>
      </c>
      <c r="I14" s="14" t="n">
        <f aca="false">F14*DIAS-H14</f>
        <v>-6078.61917403</v>
      </c>
      <c r="Y14" s="1"/>
      <c r="Z14" s="1"/>
    </row>
    <row r="15" customFormat="false" ht="15" hidden="false" customHeight="true" outlineLevel="0" collapsed="false">
      <c r="A15" s="4" t="s">
        <v>234</v>
      </c>
      <c r="B15" s="14" t="n">
        <f aca="false">SUMIFS(Datos!$Q$7:$Q$86,Datos!$A$7:$A$86,ANIO,Datos!$D$7:$D$86,$A15)</f>
        <v>14126.3384441</v>
      </c>
      <c r="C15" s="18" t="n">
        <f aca="false" t="array" ref="C15:C15">INDEX(Datos!$E$174:$P$174,1,MES)</f>
        <v>0.09</v>
      </c>
      <c r="D15" s="22" t="n">
        <f aca="false">SUMIFS(Datos!$Q$7:$Q$86,Datos!$A$7:$A$86,ANIO,Datos!$D$7:$D$86,$A15,Datos!$C$7:$C$86,"Terminado")*C15/DIAS</f>
        <v>33.46406299845</v>
      </c>
      <c r="E15" s="22" t="n">
        <f aca="false">SUMIFS(Datos!$Q$7:$Q$86,Datos!$A$7:$A$86,ANIO,Datos!$D$7:$D$86,$A15,Datos!$C$7:$C$86,"Cilindro")*C15/DIAS</f>
        <v>30.10446</v>
      </c>
      <c r="F15" s="15" t="n">
        <f aca="false">D15+E15</f>
        <v>63.56852299845</v>
      </c>
      <c r="G15" s="18" t="n">
        <f aca="false">IF($F$18=0,0,F15/$F$18)</f>
        <v>0.0496597451233977</v>
      </c>
      <c r="H15" s="14" t="n">
        <f aca="false" t="array" ref="H15:H15">SUMIFS(INDEX(Datos!$E$7:$P$86,0,MES),Datos!$A$7:$A$86,ANIO,Datos!$D$7:$D$86,$A15)</f>
        <v>1412.6338444</v>
      </c>
      <c r="I15" s="14" t="n">
        <f aca="false">F15*DIAS-H15</f>
        <v>-141.263384431</v>
      </c>
      <c r="Y15" s="1"/>
      <c r="Z15" s="1"/>
    </row>
    <row r="16" customFormat="false" ht="15" hidden="false" customHeight="true" outlineLevel="0" collapsed="false">
      <c r="A16" s="4" t="s">
        <v>235</v>
      </c>
      <c r="B16" s="14" t="n">
        <f aca="false">SUMIFS(Datos!$Q$7:$Q$86,Datos!$A$7:$A$86,ANIO,Datos!$D$7:$D$86,$A16)</f>
        <v>63852.658721</v>
      </c>
      <c r="C16" s="18" t="n">
        <f aca="false" t="array" ref="C16:C16">INDEX(Datos!$E$175:$P$175,1,MES)</f>
        <v>0.09</v>
      </c>
      <c r="D16" s="22" t="n">
        <f aca="false">SUMIFS(Datos!$Q$7:$Q$86,Datos!$A$7:$A$86,ANIO,Datos!$D$7:$D$86,$A16,Datos!$C$7:$C$86,"Terminado")*C16/DIAS</f>
        <v>138.6674042445</v>
      </c>
      <c r="E16" s="22" t="n">
        <f aca="false">SUMIFS(Datos!$Q$7:$Q$86,Datos!$A$7:$A$86,ANIO,Datos!$D$7:$D$86,$A16,Datos!$C$7:$C$86,"Cilindro")*C16/DIAS</f>
        <v>148.66956</v>
      </c>
      <c r="F16" s="15" t="n">
        <f aca="false">D16+E16</f>
        <v>287.3369642445</v>
      </c>
      <c r="G16" s="18" t="n">
        <f aca="false">IF($F$18=0,0,F16/$F$18)</f>
        <v>0.224467704075186</v>
      </c>
      <c r="H16" s="14" t="n">
        <f aca="false" t="array" ref="H16:H16">SUMIFS(INDEX(Datos!$E$7:$P$86,0,MES),Datos!$A$7:$A$86,ANIO,Datos!$D$7:$D$86,$A16)</f>
        <v>6385.265872</v>
      </c>
      <c r="I16" s="14" t="n">
        <f aca="false">F16*DIAS-H16</f>
        <v>-638.52658711</v>
      </c>
      <c r="Y16" s="1"/>
      <c r="Z16" s="1"/>
    </row>
    <row r="17" customFormat="false" ht="15" hidden="false" customHeight="true" outlineLevel="0" collapsed="false">
      <c r="A17" s="4" t="s">
        <v>236</v>
      </c>
      <c r="B17" s="14" t="n">
        <f aca="false">SUMIFS(Datos!$Q$7:$Q$86,Datos!$A$7:$A$86,ANIO,Datos!$D$7:$D$86,$A17)</f>
        <v>3862.9280787</v>
      </c>
      <c r="C17" s="18" t="n">
        <f aca="false" t="array" ref="C17:C17">INDEX(Datos!$E$176:$P$176,1,MES)</f>
        <v>0.09</v>
      </c>
      <c r="D17" s="22" t="n">
        <f aca="false">SUMIFS(Datos!$Q$7:$Q$86,Datos!$A$7:$A$86,ANIO,Datos!$D$7:$D$86,$A17,Datos!$C$7:$C$86,"Terminado")*C17/DIAS</f>
        <v>8.30217635415</v>
      </c>
      <c r="E17" s="22" t="n">
        <f aca="false">SUMIFS(Datos!$Q$7:$Q$86,Datos!$A$7:$A$86,ANIO,Datos!$D$7:$D$86,$A17,Datos!$C$7:$C$86,"Cilindro")*C17/DIAS</f>
        <v>9.081</v>
      </c>
      <c r="F17" s="15" t="n">
        <f aca="false">D17+E17</f>
        <v>17.38317635415</v>
      </c>
      <c r="G17" s="18" t="n">
        <f aca="false">IF($F$18=0,0,F17/$F$18)</f>
        <v>0.0135797414579416</v>
      </c>
      <c r="H17" s="14" t="n">
        <f aca="false" t="array" ref="H17:H17">SUMIFS(INDEX(Datos!$E$7:$P$86,0,MES),Datos!$A$7:$A$86,ANIO,Datos!$D$7:$D$86,$A17)</f>
        <v>386.2928079</v>
      </c>
      <c r="I17" s="14" t="n">
        <f aca="false">F17*DIAS-H17</f>
        <v>-38.6292808170001</v>
      </c>
      <c r="Y17" s="1"/>
      <c r="Z17" s="1"/>
    </row>
    <row r="18" customFormat="false" ht="15" hidden="false" customHeight="true" outlineLevel="0" collapsed="false">
      <c r="A18" s="4" t="s">
        <v>363</v>
      </c>
      <c r="B18" s="43" t="n">
        <f aca="false">SUM(B14:B17)</f>
        <v>284462.5643768</v>
      </c>
      <c r="C18" s="44" t="n">
        <f aca="false">IF(B18=0,0,F18*DIAS/B18)</f>
        <v>0.09</v>
      </c>
      <c r="D18" s="45" t="n">
        <f aca="false">SUM(D14:D17)</f>
        <v>324.7605196956</v>
      </c>
      <c r="E18" s="45" t="n">
        <f aca="false">SUM(E14:E17)</f>
        <v>955.32102</v>
      </c>
      <c r="F18" s="45" t="n">
        <f aca="false">SUM(F14:F17)</f>
        <v>1280.0815396956</v>
      </c>
      <c r="G18" s="44" t="n">
        <f aca="false">SUM(G14:G17)</f>
        <v>1</v>
      </c>
      <c r="H18" s="43" t="n">
        <f aca="false">SUM(H14:H17)</f>
        <v>32498.6692203</v>
      </c>
      <c r="I18" s="43" t="n">
        <f aca="false">SUM(I14:I17)</f>
        <v>-6897.038426388</v>
      </c>
      <c r="Y18" s="1"/>
      <c r="Z18" s="1"/>
    </row>
    <row r="19" customFormat="false" ht="15" hidden="false" customHeight="true" outlineLevel="0" collapsed="false">
      <c r="A19" s="25" t="s">
        <v>364</v>
      </c>
      <c r="Y19" s="1"/>
      <c r="Z19" s="1"/>
    </row>
    <row r="20" customFormat="false" ht="15" hidden="false" customHeight="true" outlineLevel="0" collapsed="false">
      <c r="A20" s="9" t="s">
        <v>365</v>
      </c>
      <c r="B20" s="9"/>
      <c r="C20" s="9"/>
      <c r="D20" s="9"/>
      <c r="E20" s="9"/>
      <c r="F20" s="9"/>
      <c r="Y20" s="1"/>
      <c r="Z20" s="1"/>
    </row>
    <row r="21" customFormat="false" ht="45" hidden="false" customHeight="true" outlineLevel="0" collapsed="false">
      <c r="A21" s="10" t="s">
        <v>356</v>
      </c>
      <c r="B21" s="10" t="s">
        <v>357</v>
      </c>
      <c r="C21" s="10" t="s">
        <v>32</v>
      </c>
      <c r="D21" s="10" t="s">
        <v>33</v>
      </c>
      <c r="E21" s="10" t="s">
        <v>366</v>
      </c>
      <c r="F21" s="10" t="s">
        <v>360</v>
      </c>
      <c r="Y21" s="1"/>
      <c r="Z21" s="1"/>
    </row>
    <row r="22" customFormat="false" ht="15.75" hidden="false" customHeight="true" outlineLevel="0" collapsed="false">
      <c r="A22" s="4" t="s">
        <v>328</v>
      </c>
      <c r="B22" s="14" t="n">
        <f aca="false">SUMIFS(Datos!$Q$90:$Q$169,Datos!$A$90:$A$169,ANIO,Datos!$D$90:$D$169,$A22)</f>
        <v>777.31053324</v>
      </c>
      <c r="C22" s="24" t="n">
        <f aca="false" t="array" ref="C22:C22">SUMIFS(INDEX(Datos!$E$90:$P$169,0,MES),Datos!$A$90:$A$169,ANIO,Datos!$D$90:$D$169,$A22,Datos!$C$90:$C$169,"Terminado")/DIAS</f>
        <v>1.9280997665</v>
      </c>
      <c r="D22" s="24" t="n">
        <f aca="false" t="array" ref="D22:D22">SUMIFS(INDEX(Datos!$E$90:$P$169,0,MES),Datos!$A$90:$A$169,ANIO,Datos!$D$90:$D$169,$A22,Datos!$C$90:$C$169,"Cilindro")/DIAS</f>
        <v>1.37547</v>
      </c>
      <c r="E22" s="46" t="n">
        <f aca="false">C22+D22</f>
        <v>3.3035697665</v>
      </c>
      <c r="F22" s="18" t="n">
        <f aca="false">IF($E$26=0,0,E22/$E$26)</f>
        <v>0.250154473855255</v>
      </c>
      <c r="Y22" s="1"/>
      <c r="Z22" s="1"/>
    </row>
    <row r="23" customFormat="false" ht="15.75" hidden="false" customHeight="true" outlineLevel="0" collapsed="false">
      <c r="A23" s="4" t="s">
        <v>329</v>
      </c>
      <c r="B23" s="14" t="n">
        <f aca="false">SUMIFS(Datos!$Q$90:$Q$169,Datos!$A$90:$A$169,ANIO,Datos!$D$90:$D$169,$A23)</f>
        <v>1708.43517314</v>
      </c>
      <c r="C23" s="24" t="n">
        <f aca="false" t="array" ref="C23:C23">SUMIFS(INDEX(Datos!$E$90:$P$169,0,MES),Datos!$A$90:$A$169,ANIO,Datos!$D$90:$D$169,$A23,Datos!$C$90:$C$169,"Terminado")/DIAS</f>
        <v>4.241479486</v>
      </c>
      <c r="D23" s="24" t="n">
        <f aca="false" t="array" ref="D23:D23">SUMIFS(INDEX(Datos!$E$90:$P$169,0,MES),Datos!$A$90:$A$169,ANIO,Datos!$D$90:$D$169,$A23,Datos!$C$90:$C$169,"Cilindro")/DIAS</f>
        <v>3.01937</v>
      </c>
      <c r="E23" s="46" t="n">
        <f aca="false">C23+D23</f>
        <v>7.260849486</v>
      </c>
      <c r="F23" s="18" t="n">
        <f aca="false">IF($E$26=0,0,E23/$E$26)</f>
        <v>0.549809482254967</v>
      </c>
      <c r="Y23" s="1"/>
      <c r="Z23" s="1"/>
    </row>
    <row r="24" customFormat="false" ht="15.75" hidden="false" customHeight="true" outlineLevel="0" collapsed="false">
      <c r="A24" s="4" t="s">
        <v>330</v>
      </c>
      <c r="B24" s="14" t="n">
        <f aca="false">SUMIFS(Datos!$Q$90:$Q$169,Datos!$A$90:$A$169,ANIO,Datos!$D$90:$D$169,$A24)</f>
        <v>374.129856</v>
      </c>
      <c r="C24" s="24" t="n">
        <f aca="false" t="array" ref="C24:C24">SUMIFS(INDEX(Datos!$E$90:$P$169,0,MES),Datos!$A$90:$A$169,ANIO,Datos!$D$90:$D$169,$A24,Datos!$C$90:$C$169,"Terminado")/DIAS</f>
        <v>0.925691888</v>
      </c>
      <c r="D24" s="24" t="n">
        <f aca="false" t="array" ref="D24:D24">SUMIFS(INDEX(Datos!$E$90:$P$169,0,MES),Datos!$A$90:$A$169,ANIO,Datos!$D$90:$D$169,$A24,Datos!$C$90:$C$169,"Cilindro")/DIAS</f>
        <v>0.66436</v>
      </c>
      <c r="E24" s="46" t="n">
        <f aca="false">C24+D24</f>
        <v>1.590051888</v>
      </c>
      <c r="F24" s="18" t="n">
        <f aca="false">IF($E$26=0,0,E24/$E$26)</f>
        <v>0.120402661835292</v>
      </c>
      <c r="Y24" s="1"/>
      <c r="Z24" s="1"/>
    </row>
    <row r="25" customFormat="false" ht="15.75" hidden="false" customHeight="true" outlineLevel="0" collapsed="false">
      <c r="A25" s="4" t="s">
        <v>331</v>
      </c>
      <c r="B25" s="14" t="n">
        <f aca="false">SUMIFS(Datos!$Q$90:$Q$169,Datos!$A$90:$A$169,ANIO,Datos!$D$90:$D$169,$A25)</f>
        <v>247.44657064</v>
      </c>
      <c r="C25" s="24" t="n">
        <f aca="false" t="array" ref="C25:C25">SUMIFS(INDEX(Datos!$E$90:$P$169,0,MES),Datos!$A$90:$A$169,ANIO,Datos!$D$90:$D$169,$A25,Datos!$C$90:$C$169,"Terminado")/DIAS</f>
        <v>0.617127925</v>
      </c>
      <c r="D25" s="24" t="n">
        <f aca="false" t="array" ref="D25:D25">SUMIFS(INDEX(Datos!$E$90:$P$169,0,MES),Datos!$A$90:$A$169,ANIO,Datos!$D$90:$D$169,$A25,Datos!$C$90:$C$169,"Cilindro")/DIAS</f>
        <v>0.43452</v>
      </c>
      <c r="E25" s="46" t="n">
        <f aca="false">C25+D25</f>
        <v>1.051647925</v>
      </c>
      <c r="F25" s="18" t="n">
        <f aca="false">IF($E$26=0,0,E25/$E$26)</f>
        <v>0.0796333820544865</v>
      </c>
      <c r="Y25" s="1"/>
      <c r="Z25" s="1"/>
    </row>
    <row r="26" customFormat="false" ht="15.75" hidden="false" customHeight="true" outlineLevel="0" collapsed="false">
      <c r="A26" s="4" t="s">
        <v>363</v>
      </c>
      <c r="B26" s="43" t="n">
        <f aca="false">SUM(B22:B25)</f>
        <v>3107.32213302</v>
      </c>
      <c r="C26" s="47" t="n">
        <f aca="false">SUM(C22:C25)</f>
        <v>7.7123990655</v>
      </c>
      <c r="D26" s="47" t="n">
        <f aca="false">SUM(D22:D25)</f>
        <v>5.49372</v>
      </c>
      <c r="E26" s="47" t="n">
        <f aca="false">SUM(E22:E25)</f>
        <v>13.2061190655</v>
      </c>
      <c r="F26" s="44" t="n">
        <f aca="false">SUM(F22:F25)</f>
        <v>1</v>
      </c>
      <c r="Y26" s="1"/>
      <c r="Z26" s="1"/>
    </row>
    <row r="27" customFormat="false" ht="15.75" hidden="false" customHeight="true" outlineLevel="0" collapsed="false">
      <c r="Y27" s="1"/>
      <c r="Z27" s="1"/>
    </row>
    <row r="28" customFormat="false" ht="15.75" hidden="false" customHeight="true" outlineLevel="0" collapsed="false">
      <c r="A28" s="9" t="s">
        <v>367</v>
      </c>
      <c r="B28" s="9"/>
      <c r="C28" s="9"/>
      <c r="D28" s="9"/>
      <c r="E28" s="9"/>
      <c r="F28" s="9"/>
      <c r="Y28" s="1"/>
      <c r="Z28" s="1"/>
    </row>
    <row r="29" customFormat="false" ht="27.75" hidden="false" customHeight="true" outlineLevel="0" collapsed="false">
      <c r="A29" s="11" t="s">
        <v>368</v>
      </c>
      <c r="B29" s="14" t="n">
        <f aca="false" t="array" ref="B29:B29">INDEX(B10:M10,1,MES)</f>
        <v>10822.07538</v>
      </c>
      <c r="C29" s="48" t="s">
        <v>369</v>
      </c>
      <c r="D29" s="15" t="n">
        <f aca="false">B29/DIAS</f>
        <v>541.103769</v>
      </c>
      <c r="Y29" s="1"/>
      <c r="Z29" s="1"/>
    </row>
    <row r="30" customFormat="false" ht="15.75" hidden="false" customHeight="true" outlineLevel="0" collapsed="false">
      <c r="Y30" s="1"/>
      <c r="Z30" s="1"/>
    </row>
    <row r="31" customFormat="false" ht="15.75" hidden="false" customHeight="true" outlineLevel="0" collapsed="false">
      <c r="Y31" s="1"/>
      <c r="Z31" s="1"/>
    </row>
    <row r="32" customFormat="false" ht="15.75" hidden="false" customHeight="true" outlineLevel="0" collapsed="false">
      <c r="A32" s="9" t="s">
        <v>370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"/>
      <c r="Z32" s="1"/>
    </row>
    <row r="33" customFormat="false" ht="60" hidden="false" customHeight="true" outlineLevel="0" collapsed="false">
      <c r="A33" s="10" t="s">
        <v>371</v>
      </c>
      <c r="B33" s="10" t="s">
        <v>372</v>
      </c>
      <c r="C33" s="10" t="s">
        <v>373</v>
      </c>
      <c r="D33" s="10" t="s">
        <v>374</v>
      </c>
      <c r="E33" s="10" t="s">
        <v>375</v>
      </c>
      <c r="F33" s="10" t="s">
        <v>376</v>
      </c>
      <c r="G33" s="10" t="s">
        <v>377</v>
      </c>
      <c r="H33" s="10" t="s">
        <v>378</v>
      </c>
      <c r="I33" s="10" t="s">
        <v>379</v>
      </c>
      <c r="J33" s="10" t="s">
        <v>380</v>
      </c>
      <c r="K33" s="10" t="s">
        <v>381</v>
      </c>
      <c r="L33" s="10" t="s">
        <v>234</v>
      </c>
      <c r="M33" s="10" t="s">
        <v>235</v>
      </c>
      <c r="N33" s="10" t="s">
        <v>236</v>
      </c>
      <c r="O33" s="10" t="s">
        <v>382</v>
      </c>
      <c r="P33" s="10" t="s">
        <v>383</v>
      </c>
      <c r="Q33" s="10" t="s">
        <v>384</v>
      </c>
      <c r="R33" s="10" t="s">
        <v>385</v>
      </c>
      <c r="S33" s="10" t="s">
        <v>386</v>
      </c>
      <c r="T33" s="10" t="s">
        <v>387</v>
      </c>
      <c r="U33" s="10" t="s">
        <v>388</v>
      </c>
      <c r="V33" s="10" t="s">
        <v>389</v>
      </c>
      <c r="W33" s="10" t="s">
        <v>390</v>
      </c>
      <c r="X33" s="10" t="s">
        <v>391</v>
      </c>
      <c r="Y33" s="1"/>
      <c r="Z33" s="1"/>
    </row>
    <row r="34" customFormat="false" ht="15.75" hidden="false" customHeight="true" outlineLevel="0" collapsed="false">
      <c r="A34" s="42" t="n">
        <v>1</v>
      </c>
      <c r="B34" s="12" t="s">
        <v>392</v>
      </c>
      <c r="C34" s="41" t="s">
        <v>393</v>
      </c>
      <c r="D34" s="49" t="s">
        <v>394</v>
      </c>
      <c r="E34" s="50" t="n">
        <v>1</v>
      </c>
      <c r="F34" s="51" t="n">
        <v>1</v>
      </c>
      <c r="G34" s="38" t="n">
        <v>60</v>
      </c>
      <c r="H34" s="38" t="n">
        <v>60</v>
      </c>
      <c r="I34" s="38" t="n">
        <v>60</v>
      </c>
      <c r="J34" s="38" t="n">
        <v>60</v>
      </c>
      <c r="K34" s="14" t="n">
        <f aca="false">IF(G34&gt;0,IF($D34="Terminados",$D$14,$F$14)*$E34*$F34,0)</f>
        <v>911.7928760985</v>
      </c>
      <c r="L34" s="14" t="n">
        <f aca="false">IF(H34&gt;0,IF($D34="Terminados",$D$15,$F$15)*$E34*$F34,0)</f>
        <v>63.56852299845</v>
      </c>
      <c r="M34" s="14" t="n">
        <f aca="false">IF(I34&gt;0,IF($D34="Terminados",$D$16,$F$16)*$E34*$F34,0)</f>
        <v>287.3369642445</v>
      </c>
      <c r="N34" s="14" t="n">
        <f aca="false">IF(J34&gt;0,IF($D34="Terminados",$D$17,$F$17)*$E34*$F34,0)</f>
        <v>17.38317635415</v>
      </c>
      <c r="O34" s="14" t="n">
        <f aca="false">SUMPRODUCT(G34:J34,K34:N34)/60</f>
        <v>1280.0815396956</v>
      </c>
      <c r="P34" s="14" t="n">
        <v>0</v>
      </c>
      <c r="Q34" s="43" t="n">
        <f aca="false">O34+P34</f>
        <v>1280.0815396956</v>
      </c>
      <c r="R34" s="42" t="n">
        <f aca="false" t="array" ref="R34:R34">INDEX(Datos!$B$187:$K$187,1,ANIO-2025)</f>
        <v>2</v>
      </c>
      <c r="S34" s="42" t="n">
        <f aca="false" t="array" ref="S34:S34">INDEX(Datos!$L$187:$U$187,1,ANIO-2025)</f>
        <v>2</v>
      </c>
      <c r="T34" s="14" t="n">
        <f aca="false">R34*S34*MIN_TURNO</f>
        <v>1800</v>
      </c>
      <c r="U34" s="52" t="n">
        <v>1</v>
      </c>
      <c r="V34" s="44" t="n">
        <f aca="false">IF(T34=0,0,Q34/(T34*U34))</f>
        <v>0.711156410942</v>
      </c>
      <c r="W34" s="53" t="str">
        <f aca="false">IF(V34=MAX($V$34:$V$59),"◀ cuello","")</f>
        <v/>
      </c>
      <c r="X34" s="12"/>
      <c r="Y34" s="1"/>
      <c r="Z34" s="1"/>
    </row>
    <row r="35" customFormat="false" ht="15.75" hidden="false" customHeight="true" outlineLevel="0" collapsed="false">
      <c r="A35" s="42" t="n">
        <v>2</v>
      </c>
      <c r="B35" s="12" t="s">
        <v>395</v>
      </c>
      <c r="C35" s="41" t="s">
        <v>396</v>
      </c>
      <c r="D35" s="49" t="s">
        <v>394</v>
      </c>
      <c r="E35" s="50" t="n">
        <v>1</v>
      </c>
      <c r="F35" s="51" t="n">
        <v>1</v>
      </c>
      <c r="G35" s="38" t="n">
        <v>4.933333333</v>
      </c>
      <c r="H35" s="38" t="n">
        <v>8.222222222</v>
      </c>
      <c r="I35" s="38" t="n">
        <v>11</v>
      </c>
      <c r="J35" s="38" t="n">
        <v>14</v>
      </c>
      <c r="K35" s="14" t="n">
        <f aca="false">IF(G35&gt;0,IF($D35="Terminados",$D$14,$F$14)*$E35*$F35,0)</f>
        <v>911.7928760985</v>
      </c>
      <c r="L35" s="14" t="n">
        <f aca="false">IF(H35&gt;0,IF($D35="Terminados",$D$15,$F$15)*$E35*$F35,0)</f>
        <v>63.56852299845</v>
      </c>
      <c r="M35" s="14" t="n">
        <f aca="false">IF(I35&gt;0,IF($D35="Terminados",$D$16,$F$16)*$E35*$F35,0)</f>
        <v>287.3369642445</v>
      </c>
      <c r="N35" s="14" t="n">
        <f aca="false">IF(J35&gt;0,IF($D35="Terminados",$D$17,$F$17)*$E35*$F35,0)</f>
        <v>17.38317635415</v>
      </c>
      <c r="O35" s="14" t="n">
        <f aca="false">SUMPRODUCT(G35:J35,K35:N35)/60</f>
        <v>140.415396441897</v>
      </c>
      <c r="P35" s="14" t="n">
        <f aca="false">Lotes!$H$16</f>
        <v>10.5721015837221</v>
      </c>
      <c r="Q35" s="43" t="n">
        <f aca="false">O35+P35</f>
        <v>150.98749802562</v>
      </c>
      <c r="R35" s="42" t="n">
        <f aca="false" t="array" ref="R35:R35">INDEX(Datos!$B$188:$K$188,1,ANIO-2025)</f>
        <v>1</v>
      </c>
      <c r="S35" s="42" t="n">
        <f aca="false" t="array" ref="S35:S35">INDEX(Datos!$L$188:$U$188,1,ANIO-2025)</f>
        <v>1</v>
      </c>
      <c r="T35" s="14" t="n">
        <f aca="false">R35*S35*MIN_TURNO</f>
        <v>450</v>
      </c>
      <c r="U35" s="52" t="n">
        <v>0.9742222222</v>
      </c>
      <c r="V35" s="44" t="n">
        <f aca="false">IF(T35=0,0,Q35/(T35*U35))</f>
        <v>0.344405789299871</v>
      </c>
      <c r="W35" s="53" t="str">
        <f aca="false">IF(V35=MAX($V$34:$V$59),"◀ cuello","")</f>
        <v/>
      </c>
      <c r="X35" s="12" t="s">
        <v>397</v>
      </c>
      <c r="Y35" s="1"/>
      <c r="Z35" s="1"/>
    </row>
    <row r="36" customFormat="false" ht="15.75" hidden="false" customHeight="true" outlineLevel="0" collapsed="false">
      <c r="A36" s="42" t="n">
        <v>3</v>
      </c>
      <c r="B36" s="12" t="s">
        <v>398</v>
      </c>
      <c r="C36" s="41" t="s">
        <v>396</v>
      </c>
      <c r="D36" s="49" t="s">
        <v>394</v>
      </c>
      <c r="E36" s="50" t="n">
        <v>1</v>
      </c>
      <c r="F36" s="51" t="n">
        <v>1</v>
      </c>
      <c r="G36" s="38" t="n">
        <v>3.333333333</v>
      </c>
      <c r="H36" s="38" t="n">
        <v>4.222222222</v>
      </c>
      <c r="I36" s="38" t="n">
        <v>9.5</v>
      </c>
      <c r="J36" s="38" t="n">
        <v>12</v>
      </c>
      <c r="K36" s="14" t="n">
        <f aca="false">IF(G36&gt;0,IF($D36="Terminados",$D$14,$F$14)*$E36*$F36,0)</f>
        <v>911.7928760985</v>
      </c>
      <c r="L36" s="14" t="n">
        <f aca="false">IF(H36&gt;0,IF($D36="Terminados",$D$15,$F$15)*$E36*$F36,0)</f>
        <v>63.56852299845</v>
      </c>
      <c r="M36" s="14" t="n">
        <f aca="false">IF(I36&gt;0,IF($D36="Terminados",$D$16,$F$16)*$E36*$F36,0)</f>
        <v>287.3369642445</v>
      </c>
      <c r="N36" s="14" t="n">
        <f aca="false">IF(J36&gt;0,IF($D36="Terminados",$D$17,$F$17)*$E36*$F36,0)</f>
        <v>17.38317635415</v>
      </c>
      <c r="O36" s="14" t="n">
        <f aca="false">SUMPRODUCT(G36:J36,K36:N36)/60</f>
        <v>104.10015489479</v>
      </c>
      <c r="P36" s="14" t="n">
        <f aca="false">Lotes!$I$16</f>
        <v>10.1761356111924</v>
      </c>
      <c r="Q36" s="43" t="n">
        <f aca="false">O36+P36</f>
        <v>114.276290505982</v>
      </c>
      <c r="R36" s="42" t="n">
        <f aca="false" t="array" ref="R36:R36">INDEX(Datos!$B$189:$K$189,1,ANIO-2025)</f>
        <v>1</v>
      </c>
      <c r="S36" s="42" t="n">
        <f aca="false" t="array" ref="S36:S36">INDEX(Datos!$L$189:$U$189,1,ANIO-2025)</f>
        <v>1</v>
      </c>
      <c r="T36" s="14" t="n">
        <f aca="false">R36*S36*MIN_TURNO</f>
        <v>450</v>
      </c>
      <c r="U36" s="52" t="n">
        <v>0.9933333333</v>
      </c>
      <c r="V36" s="44" t="n">
        <f aca="false">IF(T36=0,0,Q36/(T36*U36))</f>
        <v>0.255651656621515</v>
      </c>
      <c r="W36" s="53" t="str">
        <f aca="false">IF(V36=MAX($V$34:$V$59),"◀ cuello","")</f>
        <v/>
      </c>
      <c r="X36" s="12" t="s">
        <v>399</v>
      </c>
      <c r="Y36" s="1"/>
      <c r="Z36" s="1"/>
    </row>
    <row r="37" customFormat="false" ht="15.75" hidden="false" customHeight="true" outlineLevel="0" collapsed="false">
      <c r="A37" s="42" t="n">
        <v>4</v>
      </c>
      <c r="B37" s="12" t="s">
        <v>400</v>
      </c>
      <c r="C37" s="41" t="s">
        <v>401</v>
      </c>
      <c r="D37" s="49" t="s">
        <v>394</v>
      </c>
      <c r="E37" s="50" t="n">
        <v>2</v>
      </c>
      <c r="F37" s="51" t="n">
        <v>1</v>
      </c>
      <c r="G37" s="38" t="n">
        <v>8</v>
      </c>
      <c r="H37" s="38" t="n">
        <v>8</v>
      </c>
      <c r="I37" s="38" t="n">
        <v>8</v>
      </c>
      <c r="J37" s="38" t="n">
        <v>8</v>
      </c>
      <c r="K37" s="14" t="n">
        <f aca="false">IF(G37&gt;0,IF($D37="Terminados",$D$14,$F$14)*$E37*$F37,0)</f>
        <v>1823.585752197</v>
      </c>
      <c r="L37" s="14" t="n">
        <f aca="false">IF(H37&gt;0,IF($D37="Terminados",$D$15,$F$15)*$E37*$F37,0)</f>
        <v>127.1370459969</v>
      </c>
      <c r="M37" s="14" t="n">
        <f aca="false">IF(I37&gt;0,IF($D37="Terminados",$D$16,$F$16)*$E37*$F37,0)</f>
        <v>574.673928489</v>
      </c>
      <c r="N37" s="14" t="n">
        <f aca="false">IF(J37&gt;0,IF($D37="Terminados",$D$17,$F$17)*$E37*$F37,0)</f>
        <v>34.7663527083</v>
      </c>
      <c r="O37" s="14" t="n">
        <f aca="false">SUMPRODUCT(G37:J37,K37:N37)/60</f>
        <v>341.35507725216</v>
      </c>
      <c r="P37" s="14" t="n">
        <v>0</v>
      </c>
      <c r="Q37" s="43" t="n">
        <f aca="false">O37+P37</f>
        <v>341.35507725216</v>
      </c>
      <c r="R37" s="42" t="n">
        <f aca="false" t="array" ref="R37:R37">INDEX(Datos!$B$190:$K$190,1,ANIO-2025)</f>
        <v>1</v>
      </c>
      <c r="S37" s="42" t="n">
        <f aca="false" t="array" ref="S37:S37">INDEX(Datos!$L$190:$U$190,1,ANIO-2025)</f>
        <v>2</v>
      </c>
      <c r="T37" s="14" t="n">
        <f aca="false">R37*S37*MIN_TURNO</f>
        <v>900</v>
      </c>
      <c r="U37" s="52" t="n">
        <v>0.68</v>
      </c>
      <c r="V37" s="44" t="n">
        <f aca="false">IF(T37=0,0,Q37/(T37*U37))</f>
        <v>0.557769734072157</v>
      </c>
      <c r="W37" s="53" t="str">
        <f aca="false">IF(V37=MAX($V$34:$V$59),"◀ cuello","")</f>
        <v/>
      </c>
      <c r="X37" s="12" t="s">
        <v>402</v>
      </c>
      <c r="Y37" s="1"/>
      <c r="Z37" s="1"/>
    </row>
    <row r="38" customFormat="false" ht="15.75" hidden="false" customHeight="true" outlineLevel="0" collapsed="false">
      <c r="A38" s="42" t="n">
        <v>5</v>
      </c>
      <c r="B38" s="12" t="s">
        <v>403</v>
      </c>
      <c r="C38" s="41" t="s">
        <v>264</v>
      </c>
      <c r="D38" s="49" t="s">
        <v>394</v>
      </c>
      <c r="E38" s="50" t="n">
        <v>1</v>
      </c>
      <c r="F38" s="51" t="n">
        <v>1</v>
      </c>
      <c r="G38" s="38" t="n">
        <v>60</v>
      </c>
      <c r="H38" s="38" t="n">
        <v>60</v>
      </c>
      <c r="I38" s="38" t="n">
        <v>60</v>
      </c>
      <c r="J38" s="38" t="n">
        <v>60</v>
      </c>
      <c r="K38" s="14" t="n">
        <f aca="false">IF(G38&gt;0,IF($D38="Terminados",$D$14,$F$14)*$E38*$F38,0)</f>
        <v>911.7928760985</v>
      </c>
      <c r="L38" s="14" t="n">
        <f aca="false">IF(H38&gt;0,IF($D38="Terminados",$D$15,$F$15)*$E38*$F38,0)</f>
        <v>63.56852299845</v>
      </c>
      <c r="M38" s="14" t="n">
        <f aca="false">IF(I38&gt;0,IF($D38="Terminados",$D$16,$F$16)*$E38*$F38,0)</f>
        <v>287.3369642445</v>
      </c>
      <c r="N38" s="14" t="n">
        <f aca="false">IF(J38&gt;0,IF($D38="Terminados",$D$17,$F$17)*$E38*$F38,0)</f>
        <v>17.38317635415</v>
      </c>
      <c r="O38" s="14" t="n">
        <f aca="false">SUMPRODUCT(G38:J38,K38:N38)/60</f>
        <v>1280.0815396956</v>
      </c>
      <c r="P38" s="14" t="n">
        <v>0</v>
      </c>
      <c r="Q38" s="43" t="n">
        <f aca="false">O38+P38</f>
        <v>1280.0815396956</v>
      </c>
      <c r="R38" s="42" t="n">
        <f aca="false" t="array" ref="R38:R38">INDEX(Datos!$B$191:$K$191,1,ANIO-2025)</f>
        <v>2</v>
      </c>
      <c r="S38" s="42" t="n">
        <f aca="false" t="array" ref="S38:S38">INDEX(Datos!$L$191:$U$191,1,ANIO-2025)</f>
        <v>2</v>
      </c>
      <c r="T38" s="14" t="n">
        <f aca="false">R38*S38*MIN_TURNO</f>
        <v>1800</v>
      </c>
      <c r="U38" s="52" t="n">
        <v>1</v>
      </c>
      <c r="V38" s="44" t="n">
        <f aca="false">IF(T38=0,0,Q38/(T38*U38))</f>
        <v>0.711156410942</v>
      </c>
      <c r="W38" s="53" t="str">
        <f aca="false">IF(V38=MAX($V$34:$V$59),"◀ cuello","")</f>
        <v/>
      </c>
      <c r="X38" s="12"/>
      <c r="Y38" s="1"/>
      <c r="Z38" s="1"/>
    </row>
    <row r="39" customFormat="false" ht="15.75" hidden="false" customHeight="true" outlineLevel="0" collapsed="false">
      <c r="A39" s="42" t="n">
        <v>6</v>
      </c>
      <c r="B39" s="12" t="s">
        <v>404</v>
      </c>
      <c r="C39" s="41" t="s">
        <v>396</v>
      </c>
      <c r="D39" s="49" t="s">
        <v>394</v>
      </c>
      <c r="E39" s="50" t="n">
        <v>1</v>
      </c>
      <c r="F39" s="51" t="n">
        <v>1</v>
      </c>
      <c r="G39" s="38" t="n">
        <v>20</v>
      </c>
      <c r="H39" s="38" t="n">
        <v>20</v>
      </c>
      <c r="I39" s="38" t="n">
        <v>20</v>
      </c>
      <c r="J39" s="38" t="n">
        <v>20</v>
      </c>
      <c r="K39" s="14" t="n">
        <f aca="false">IF(G39&gt;0,IF($D39="Terminados",$D$14,$F$14)*$E39*$F39,0)</f>
        <v>911.7928760985</v>
      </c>
      <c r="L39" s="14" t="n">
        <f aca="false">IF(H39&gt;0,IF($D39="Terminados",$D$15,$F$15)*$E39*$F39,0)</f>
        <v>63.56852299845</v>
      </c>
      <c r="M39" s="14" t="n">
        <f aca="false">IF(I39&gt;0,IF($D39="Terminados",$D$16,$F$16)*$E39*$F39,0)</f>
        <v>287.3369642445</v>
      </c>
      <c r="N39" s="14" t="n">
        <f aca="false">IF(J39&gt;0,IF($D39="Terminados",$D$17,$F$17)*$E39*$F39,0)</f>
        <v>17.38317635415</v>
      </c>
      <c r="O39" s="14" t="n">
        <f aca="false">SUMPRODUCT(G39:J39,K39:N39)/60</f>
        <v>426.6938465652</v>
      </c>
      <c r="P39" s="14" t="n">
        <f aca="false">H76+K76</f>
        <v>24.60168854215</v>
      </c>
      <c r="Q39" s="43" t="n">
        <f aca="false">O39+P39</f>
        <v>451.29553510735</v>
      </c>
      <c r="R39" s="42" t="n">
        <f aca="false" t="array" ref="R39:R39">INDEX(Datos!$B$192:$K$192,1,ANIO-2025)</f>
        <v>2</v>
      </c>
      <c r="S39" s="42" t="n">
        <f aca="false" t="array" ref="S39:S39">INDEX(Datos!$L$192:$U$192,1,ANIO-2025)</f>
        <v>1</v>
      </c>
      <c r="T39" s="14" t="n">
        <f aca="false">R39*S39*MIN_TURNO</f>
        <v>900</v>
      </c>
      <c r="U39" s="52" t="n">
        <v>1</v>
      </c>
      <c r="V39" s="44" t="n">
        <f aca="false">IF(T39=0,0,Q39/(T39*U39))</f>
        <v>0.501439483452611</v>
      </c>
      <c r="W39" s="53" t="str">
        <f aca="false">IF(V39=MAX($V$34:$V$59),"◀ cuello","")</f>
        <v/>
      </c>
      <c r="X39" s="12" t="s">
        <v>405</v>
      </c>
      <c r="Y39" s="1"/>
      <c r="Z39" s="1"/>
    </row>
    <row r="40" customFormat="false" ht="15.75" hidden="false" customHeight="true" outlineLevel="0" collapsed="false">
      <c r="A40" s="42" t="n">
        <v>7</v>
      </c>
      <c r="B40" s="12" t="s">
        <v>406</v>
      </c>
      <c r="C40" s="41" t="s">
        <v>264</v>
      </c>
      <c r="D40" s="49" t="s">
        <v>394</v>
      </c>
      <c r="E40" s="50" t="n">
        <v>1</v>
      </c>
      <c r="F40" s="51" t="n">
        <v>1</v>
      </c>
      <c r="G40" s="38" t="n">
        <v>25</v>
      </c>
      <c r="H40" s="38" t="n">
        <v>25</v>
      </c>
      <c r="I40" s="38" t="n">
        <v>25</v>
      </c>
      <c r="J40" s="38" t="n">
        <v>25</v>
      </c>
      <c r="K40" s="14" t="n">
        <f aca="false">IF(G40&gt;0,IF($D40="Terminados",$D$14,$F$14)*$E40*$F40,0)</f>
        <v>911.7928760985</v>
      </c>
      <c r="L40" s="14" t="n">
        <f aca="false">IF(H40&gt;0,IF($D40="Terminados",$D$15,$F$15)*$E40*$F40,0)</f>
        <v>63.56852299845</v>
      </c>
      <c r="M40" s="14" t="n">
        <f aca="false">IF(I40&gt;0,IF($D40="Terminados",$D$16,$F$16)*$E40*$F40,0)</f>
        <v>287.3369642445</v>
      </c>
      <c r="N40" s="14" t="n">
        <f aca="false">IF(J40&gt;0,IF($D40="Terminados",$D$17,$F$17)*$E40*$F40,0)</f>
        <v>17.38317635415</v>
      </c>
      <c r="O40" s="14" t="n">
        <f aca="false">SUMPRODUCT(G40:J40,K40:N40)/60</f>
        <v>533.3673082065</v>
      </c>
      <c r="P40" s="14" t="n">
        <v>0</v>
      </c>
      <c r="Q40" s="43" t="n">
        <f aca="false">O40+P40</f>
        <v>533.3673082065</v>
      </c>
      <c r="R40" s="42" t="n">
        <f aca="false" t="array" ref="R40:R40">INDEX(Datos!$B$193:$K$193,1,ANIO-2025)</f>
        <v>1</v>
      </c>
      <c r="S40" s="42" t="n">
        <f aca="false" t="array" ref="S40:S40">INDEX(Datos!$L$193:$U$193,1,ANIO-2025)</f>
        <v>2</v>
      </c>
      <c r="T40" s="14" t="n">
        <f aca="false">R40*S40*MIN_TURNO</f>
        <v>900</v>
      </c>
      <c r="U40" s="52" t="n">
        <v>0.9733333333</v>
      </c>
      <c r="V40" s="44" t="n">
        <f aca="false">IF(T40=0,0,Q40/(T40*U40))</f>
        <v>0.60886679021092</v>
      </c>
      <c r="W40" s="53" t="str">
        <f aca="false">IF(V40=MAX($V$34:$V$59),"◀ cuello","")</f>
        <v/>
      </c>
      <c r="X40" s="12"/>
      <c r="Y40" s="1"/>
      <c r="Z40" s="1"/>
    </row>
    <row r="41" customFormat="false" ht="15.75" hidden="false" customHeight="true" outlineLevel="0" collapsed="false">
      <c r="A41" s="42" t="n">
        <v>8</v>
      </c>
      <c r="B41" s="12" t="s">
        <v>407</v>
      </c>
      <c r="C41" s="41" t="s">
        <v>396</v>
      </c>
      <c r="D41" s="49" t="s">
        <v>394</v>
      </c>
      <c r="E41" s="50" t="n">
        <v>1</v>
      </c>
      <c r="F41" s="51" t="n">
        <v>1</v>
      </c>
      <c r="G41" s="38" t="n">
        <v>15</v>
      </c>
      <c r="H41" s="38" t="n">
        <v>15</v>
      </c>
      <c r="I41" s="38" t="n">
        <v>15</v>
      </c>
      <c r="J41" s="38" t="n">
        <v>15</v>
      </c>
      <c r="K41" s="14" t="n">
        <f aca="false">IF(G41&gt;0,IF($D41="Terminados",$D$14,$F$14)*$E41*$F41,0)</f>
        <v>911.7928760985</v>
      </c>
      <c r="L41" s="14" t="n">
        <f aca="false">IF(H41&gt;0,IF($D41="Terminados",$D$15,$F$15)*$E41*$F41,0)</f>
        <v>63.56852299845</v>
      </c>
      <c r="M41" s="14" t="n">
        <f aca="false">IF(I41&gt;0,IF($D41="Terminados",$D$16,$F$16)*$E41*$F41,0)</f>
        <v>287.3369642445</v>
      </c>
      <c r="N41" s="14" t="n">
        <f aca="false">IF(J41&gt;0,IF($D41="Terminados",$D$17,$F$17)*$E41*$F41,0)</f>
        <v>17.38317635415</v>
      </c>
      <c r="O41" s="14" t="n">
        <f aca="false">SUMPRODUCT(G41:J41,K41:N41)/60</f>
        <v>320.0203849239</v>
      </c>
      <c r="P41" s="14" t="n">
        <v>0</v>
      </c>
      <c r="Q41" s="43" t="n">
        <f aca="false">O41+P41</f>
        <v>320.0203849239</v>
      </c>
      <c r="R41" s="42" t="n">
        <f aca="false" t="array" ref="R41:R41">INDEX(Datos!$B$194:$K$194,1,ANIO-2025)</f>
        <v>1</v>
      </c>
      <c r="S41" s="42" t="n">
        <f aca="false" t="array" ref="S41:S41">INDEX(Datos!$L$194:$U$194,1,ANIO-2025)</f>
        <v>1</v>
      </c>
      <c r="T41" s="14" t="n">
        <f aca="false">R41*S41*MIN_TURNO</f>
        <v>450</v>
      </c>
      <c r="U41" s="52" t="n">
        <v>0.9866666667</v>
      </c>
      <c r="V41" s="44" t="n">
        <f aca="false">IF(T41=0,0,Q41/(T41*U41))</f>
        <v>0.720766632687136</v>
      </c>
      <c r="W41" s="53" t="str">
        <f aca="false">IF(V41=MAX($V$34:$V$59),"◀ cuello","")</f>
        <v/>
      </c>
      <c r="X41" s="12" t="s">
        <v>408</v>
      </c>
      <c r="Y41" s="1"/>
      <c r="Z41" s="1"/>
    </row>
    <row r="42" customFormat="false" ht="15.75" hidden="false" customHeight="true" outlineLevel="0" collapsed="false">
      <c r="A42" s="42" t="n">
        <v>9</v>
      </c>
      <c r="B42" s="12" t="s">
        <v>409</v>
      </c>
      <c r="C42" s="41" t="s">
        <v>396</v>
      </c>
      <c r="D42" s="49" t="s">
        <v>394</v>
      </c>
      <c r="E42" s="50" t="n">
        <v>1</v>
      </c>
      <c r="F42" s="51" t="n">
        <v>1</v>
      </c>
      <c r="G42" s="38" t="n">
        <v>0</v>
      </c>
      <c r="H42" s="38" t="n">
        <v>115</v>
      </c>
      <c r="I42" s="38" t="n">
        <v>115</v>
      </c>
      <c r="J42" s="38" t="n">
        <v>115</v>
      </c>
      <c r="K42" s="14" t="n">
        <f aca="false">IF(G42&gt;0,IF($D42="Terminados",$D$14,$F$14)*$E42*$F42,0)</f>
        <v>0</v>
      </c>
      <c r="L42" s="14" t="n">
        <f aca="false">IF(H42&gt;0,IF($D42="Terminados",$D$15,$F$15)*$E42*$F42,0)</f>
        <v>63.56852299845</v>
      </c>
      <c r="M42" s="14" t="n">
        <f aca="false">IF(I42&gt;0,IF($D42="Terminados",$D$16,$F$16)*$E42*$F42,0)</f>
        <v>287.3369642445</v>
      </c>
      <c r="N42" s="14" t="n">
        <f aca="false">IF(J42&gt;0,IF($D42="Terminados",$D$17,$F$17)*$E42*$F42,0)</f>
        <v>17.38317635415</v>
      </c>
      <c r="O42" s="14" t="n">
        <f aca="false">SUMPRODUCT(G42:J42,K42:N42)/60</f>
        <v>705.886605227775</v>
      </c>
      <c r="P42" s="14" t="n">
        <v>0</v>
      </c>
      <c r="Q42" s="43" t="n">
        <f aca="false">O42+P42</f>
        <v>705.886605227775</v>
      </c>
      <c r="R42" s="42" t="n">
        <f aca="false" t="array" ref="R42:R42">INDEX(Datos!$B$195:$K$195,1,ANIO-2025)</f>
        <v>1</v>
      </c>
      <c r="S42" s="42" t="n">
        <f aca="false" t="array" ref="S42:S42">INDEX(Datos!$L$195:$U$195,1,ANIO-2025)</f>
        <v>2</v>
      </c>
      <c r="T42" s="14" t="n">
        <f aca="false">R42*S42*MIN_TURNO</f>
        <v>900</v>
      </c>
      <c r="U42" s="52" t="n">
        <v>0.9866666667</v>
      </c>
      <c r="V42" s="44" t="n">
        <f aca="false">IF(T42=0,0,Q42/(T42*U42))</f>
        <v>0.794917348202621</v>
      </c>
      <c r="W42" s="53" t="str">
        <f aca="false">IF(V42=MAX($V$34:$V$59),"◀ cuello","")</f>
        <v>◀ cuello</v>
      </c>
      <c r="X42" s="12" t="s">
        <v>410</v>
      </c>
      <c r="Y42" s="1"/>
      <c r="Z42" s="1"/>
    </row>
    <row r="43" customFormat="false" ht="15.75" hidden="false" customHeight="true" outlineLevel="0" collapsed="false">
      <c r="A43" s="42" t="n">
        <v>10</v>
      </c>
      <c r="B43" s="12" t="s">
        <v>411</v>
      </c>
      <c r="C43" s="41" t="s">
        <v>396</v>
      </c>
      <c r="D43" s="49" t="s">
        <v>394</v>
      </c>
      <c r="E43" s="50" t="n">
        <v>1</v>
      </c>
      <c r="F43" s="51" t="n">
        <v>1</v>
      </c>
      <c r="G43" s="38" t="n">
        <v>30</v>
      </c>
      <c r="H43" s="38" t="n">
        <v>0</v>
      </c>
      <c r="I43" s="38" t="n">
        <v>0</v>
      </c>
      <c r="J43" s="38" t="n">
        <v>0</v>
      </c>
      <c r="K43" s="14" t="n">
        <f aca="false">IF(G43&gt;0,IF($D43="Terminados",$D$14,$F$14)*$E43*$F43,0)</f>
        <v>911.7928760985</v>
      </c>
      <c r="L43" s="14" t="n">
        <f aca="false">IF(H43&gt;0,IF($D43="Terminados",$D$15,$F$15)*$E43*$F43,0)</f>
        <v>0</v>
      </c>
      <c r="M43" s="14" t="n">
        <f aca="false">IF(I43&gt;0,IF($D43="Terminados",$D$16,$F$16)*$E43*$F43,0)</f>
        <v>0</v>
      </c>
      <c r="N43" s="14" t="n">
        <f aca="false">IF(J43&gt;0,IF($D43="Terminados",$D$17,$F$17)*$E43*$F43,0)</f>
        <v>0</v>
      </c>
      <c r="O43" s="14" t="n">
        <f aca="false">SUMPRODUCT(G43:J43,K43:N43)/60</f>
        <v>455.89643804925</v>
      </c>
      <c r="P43" s="14" t="n">
        <v>0</v>
      </c>
      <c r="Q43" s="43" t="n">
        <f aca="false">O43+P43</f>
        <v>455.89643804925</v>
      </c>
      <c r="R43" s="42" t="n">
        <f aca="false" t="array" ref="R43:R43">INDEX(Datos!$B$196:$K$196,1,ANIO-2025)</f>
        <v>1</v>
      </c>
      <c r="S43" s="42" t="n">
        <f aca="false" t="array" ref="S43:S43">INDEX(Datos!$L$196:$U$196,1,ANIO-2025)</f>
        <v>2</v>
      </c>
      <c r="T43" s="14" t="n">
        <f aca="false">R43*S43*MIN_TURNO</f>
        <v>900</v>
      </c>
      <c r="U43" s="52" t="n">
        <v>1</v>
      </c>
      <c r="V43" s="44" t="n">
        <f aca="false">IF(T43=0,0,Q43/(T43*U43))</f>
        <v>0.5065515978325</v>
      </c>
      <c r="W43" s="53" t="str">
        <f aca="false">IF(V43=MAX($V$34:$V$59),"◀ cuello","")</f>
        <v/>
      </c>
      <c r="X43" s="12" t="s">
        <v>412</v>
      </c>
      <c r="Y43" s="1"/>
      <c r="Z43" s="1"/>
    </row>
    <row r="44" customFormat="false" ht="15.75" hidden="false" customHeight="true" outlineLevel="0" collapsed="false">
      <c r="A44" s="42" t="n">
        <v>11</v>
      </c>
      <c r="B44" s="12" t="s">
        <v>413</v>
      </c>
      <c r="C44" s="41" t="s">
        <v>414</v>
      </c>
      <c r="D44" s="49" t="s">
        <v>394</v>
      </c>
      <c r="E44" s="50" t="n">
        <v>1</v>
      </c>
      <c r="F44" s="51" t="n">
        <v>1</v>
      </c>
      <c r="G44" s="38" t="n">
        <v>30</v>
      </c>
      <c r="H44" s="38" t="n">
        <v>30</v>
      </c>
      <c r="I44" s="38" t="n">
        <v>30</v>
      </c>
      <c r="J44" s="38" t="n">
        <v>30</v>
      </c>
      <c r="K44" s="14" t="n">
        <f aca="false">IF(G44&gt;0,IF($D44="Terminados",$D$14,$F$14)*$E44*$F44,0)</f>
        <v>911.7928760985</v>
      </c>
      <c r="L44" s="14" t="n">
        <f aca="false">IF(H44&gt;0,IF($D44="Terminados",$D$15,$F$15)*$E44*$F44,0)</f>
        <v>63.56852299845</v>
      </c>
      <c r="M44" s="14" t="n">
        <f aca="false">IF(I44&gt;0,IF($D44="Terminados",$D$16,$F$16)*$E44*$F44,0)</f>
        <v>287.3369642445</v>
      </c>
      <c r="N44" s="14" t="n">
        <f aca="false">IF(J44&gt;0,IF($D44="Terminados",$D$17,$F$17)*$E44*$F44,0)</f>
        <v>17.38317635415</v>
      </c>
      <c r="O44" s="14" t="n">
        <f aca="false">SUMPRODUCT(G44:J44,K44:N44)/60</f>
        <v>640.0407698478</v>
      </c>
      <c r="P44" s="14" t="n">
        <v>0</v>
      </c>
      <c r="Q44" s="43" t="n">
        <f aca="false">O44+P44</f>
        <v>640.0407698478</v>
      </c>
      <c r="R44" s="42" t="n">
        <f aca="false" t="array" ref="R44:R44">INDEX(Datos!$B$197:$K$197,1,ANIO-2025)</f>
        <v>1</v>
      </c>
      <c r="S44" s="42" t="n">
        <f aca="false" t="array" ref="S44:S44">INDEX(Datos!$L$197:$U$197,1,ANIO-2025)</f>
        <v>2</v>
      </c>
      <c r="T44" s="14" t="n">
        <f aca="false">R44*S44*MIN_TURNO</f>
        <v>900</v>
      </c>
      <c r="U44" s="52" t="n">
        <v>0.9822222222</v>
      </c>
      <c r="V44" s="44" t="n">
        <f aca="false">IF(T44=0,0,Q44/(T44*U44))</f>
        <v>0.7240280202062</v>
      </c>
      <c r="W44" s="53" t="str">
        <f aca="false">IF(V44=MAX($V$34:$V$59),"◀ cuello","")</f>
        <v/>
      </c>
      <c r="X44" s="12"/>
      <c r="Y44" s="1"/>
      <c r="Z44" s="1"/>
    </row>
    <row r="45" customFormat="false" ht="15.75" hidden="false" customHeight="true" outlineLevel="0" collapsed="false">
      <c r="A45" s="42" t="n">
        <v>12</v>
      </c>
      <c r="B45" s="12" t="s">
        <v>415</v>
      </c>
      <c r="C45" s="41" t="s">
        <v>416</v>
      </c>
      <c r="D45" s="49" t="s">
        <v>394</v>
      </c>
      <c r="E45" s="50" t="n">
        <v>1</v>
      </c>
      <c r="F45" s="51" t="n">
        <v>1</v>
      </c>
      <c r="G45" s="38" t="n">
        <v>20</v>
      </c>
      <c r="H45" s="38" t="n">
        <v>20</v>
      </c>
      <c r="I45" s="38" t="n">
        <v>20</v>
      </c>
      <c r="J45" s="38" t="n">
        <v>20</v>
      </c>
      <c r="K45" s="14" t="n">
        <f aca="false">IF(G45&gt;0,IF($D45="Terminados",$D$14,$F$14)*$E45*$F45,0)</f>
        <v>911.7928760985</v>
      </c>
      <c r="L45" s="14" t="n">
        <f aca="false">IF(H45&gt;0,IF($D45="Terminados",$D$15,$F$15)*$E45*$F45,0)</f>
        <v>63.56852299845</v>
      </c>
      <c r="M45" s="14" t="n">
        <f aca="false">IF(I45&gt;0,IF($D45="Terminados",$D$16,$F$16)*$E45*$F45,0)</f>
        <v>287.3369642445</v>
      </c>
      <c r="N45" s="14" t="n">
        <f aca="false">IF(J45&gt;0,IF($D45="Terminados",$D$17,$F$17)*$E45*$F45,0)</f>
        <v>17.38317635415</v>
      </c>
      <c r="O45" s="14" t="n">
        <f aca="false">SUMPRODUCT(G45:J45,K45:N45)/60</f>
        <v>426.6938465652</v>
      </c>
      <c r="P45" s="14" t="n">
        <v>0</v>
      </c>
      <c r="Q45" s="43" t="n">
        <f aca="false">O45+P45</f>
        <v>426.6938465652</v>
      </c>
      <c r="R45" s="42" t="n">
        <f aca="false" t="array" ref="R45:R45">INDEX(Datos!$B$198:$K$198,1,ANIO-2025)</f>
        <v>1</v>
      </c>
      <c r="S45" s="42" t="n">
        <f aca="false" t="array" ref="S45:S45">INDEX(Datos!$L$198:$U$198,1,ANIO-2025)</f>
        <v>2</v>
      </c>
      <c r="T45" s="14" t="n">
        <f aca="false">R45*S45*MIN_TURNO</f>
        <v>900</v>
      </c>
      <c r="U45" s="52" t="n">
        <v>0.9822222222</v>
      </c>
      <c r="V45" s="44" t="n">
        <f aca="false">IF(T45=0,0,Q45/(T45*U45))</f>
        <v>0.482685346804133</v>
      </c>
      <c r="W45" s="53" t="str">
        <f aca="false">IF(V45=MAX($V$34:$V$59),"◀ cuello","")</f>
        <v/>
      </c>
      <c r="X45" s="12"/>
      <c r="Y45" s="1"/>
      <c r="Z45" s="1"/>
    </row>
    <row r="46" customFormat="false" ht="15.75" hidden="false" customHeight="true" outlineLevel="0" collapsed="false">
      <c r="A46" s="42" t="n">
        <v>13</v>
      </c>
      <c r="B46" s="12" t="s">
        <v>417</v>
      </c>
      <c r="C46" s="41" t="s">
        <v>418</v>
      </c>
      <c r="D46" s="49" t="s">
        <v>394</v>
      </c>
      <c r="E46" s="50" t="n">
        <v>1</v>
      </c>
      <c r="F46" s="51" t="n">
        <v>1</v>
      </c>
      <c r="G46" s="38" t="n">
        <v>60</v>
      </c>
      <c r="H46" s="38" t="n">
        <v>60</v>
      </c>
      <c r="I46" s="38" t="n">
        <v>60</v>
      </c>
      <c r="J46" s="38" t="n">
        <v>60</v>
      </c>
      <c r="K46" s="14" t="n">
        <f aca="false">IF(G46&gt;0,IF($D46="Terminados",$D$14,$F$14)*$E46*$F46,0)</f>
        <v>911.7928760985</v>
      </c>
      <c r="L46" s="14" t="n">
        <f aca="false">IF(H46&gt;0,IF($D46="Terminados",$D$15,$F$15)*$E46*$F46,0)</f>
        <v>63.56852299845</v>
      </c>
      <c r="M46" s="14" t="n">
        <f aca="false">IF(I46&gt;0,IF($D46="Terminados",$D$16,$F$16)*$E46*$F46,0)</f>
        <v>287.3369642445</v>
      </c>
      <c r="N46" s="14" t="n">
        <f aca="false">IF(J46&gt;0,IF($D46="Terminados",$D$17,$F$17)*$E46*$F46,0)</f>
        <v>17.38317635415</v>
      </c>
      <c r="O46" s="14" t="n">
        <f aca="false">SUMPRODUCT(G46:J46,K46:N46)/60</f>
        <v>1280.0815396956</v>
      </c>
      <c r="P46" s="14" t="n">
        <v>0</v>
      </c>
      <c r="Q46" s="43" t="n">
        <f aca="false">O46+P46</f>
        <v>1280.0815396956</v>
      </c>
      <c r="R46" s="42" t="n">
        <f aca="false" t="array" ref="R46:R46">INDEX(Datos!$B$199:$K$199,1,ANIO-2025)</f>
        <v>2</v>
      </c>
      <c r="S46" s="42" t="n">
        <f aca="false" t="array" ref="S46:S46">INDEX(Datos!$L$199:$U$199,1,ANIO-2025)</f>
        <v>2</v>
      </c>
      <c r="T46" s="14" t="n">
        <f aca="false">R46*S46*MIN_TURNO</f>
        <v>1800</v>
      </c>
      <c r="U46" s="52" t="n">
        <v>0.9822222222</v>
      </c>
      <c r="V46" s="44" t="n">
        <f aca="false">IF(T46=0,0,Q46/(T46*U46))</f>
        <v>0.7240280202062</v>
      </c>
      <c r="W46" s="53" t="str">
        <f aca="false">IF(V46=MAX($V$34:$V$59),"◀ cuello","")</f>
        <v/>
      </c>
      <c r="X46" s="12" t="s">
        <v>419</v>
      </c>
      <c r="Y46" s="1"/>
      <c r="Z46" s="1"/>
    </row>
    <row r="47" customFormat="false" ht="15.75" hidden="false" customHeight="true" outlineLevel="0" collapsed="false">
      <c r="A47" s="42" t="n">
        <v>14</v>
      </c>
      <c r="B47" s="12" t="s">
        <v>420</v>
      </c>
      <c r="C47" s="41" t="s">
        <v>421</v>
      </c>
      <c r="D47" s="49" t="s">
        <v>394</v>
      </c>
      <c r="E47" s="50" t="n">
        <v>1</v>
      </c>
      <c r="F47" s="51" t="n">
        <v>0.02</v>
      </c>
      <c r="G47" s="38" t="n">
        <v>120</v>
      </c>
      <c r="H47" s="38" t="n">
        <v>120</v>
      </c>
      <c r="I47" s="38" t="n">
        <v>120</v>
      </c>
      <c r="J47" s="38" t="n">
        <v>120</v>
      </c>
      <c r="K47" s="14" t="n">
        <f aca="false">IF(G47&gt;0,IF($D47="Terminados",$D$14,$F$14)*$E47*$F47,0)</f>
        <v>18.23585752197</v>
      </c>
      <c r="L47" s="14" t="n">
        <f aca="false">IF(H47&gt;0,IF($D47="Terminados",$D$15,$F$15)*$E47*$F47,0)</f>
        <v>1.271370459969</v>
      </c>
      <c r="M47" s="14" t="n">
        <f aca="false">IF(I47&gt;0,IF($D47="Terminados",$D$16,$F$16)*$E47*$F47,0)</f>
        <v>5.74673928489</v>
      </c>
      <c r="N47" s="14" t="n">
        <f aca="false">IF(J47&gt;0,IF($D47="Terminados",$D$17,$F$17)*$E47*$F47,0)</f>
        <v>0.347663527083</v>
      </c>
      <c r="O47" s="14" t="n">
        <f aca="false">SUMPRODUCT(G47:J47,K47:N47)/60</f>
        <v>51.203261587824</v>
      </c>
      <c r="P47" s="14" t="n">
        <v>0</v>
      </c>
      <c r="Q47" s="43" t="n">
        <f aca="false">O47+P47</f>
        <v>51.203261587824</v>
      </c>
      <c r="R47" s="42" t="n">
        <f aca="false" t="array" ref="R47:R47">INDEX(Datos!$B$200:$K$200,1,ANIO-2025)</f>
        <v>1</v>
      </c>
      <c r="S47" s="42" t="n">
        <f aca="false" t="array" ref="S47:S47">INDEX(Datos!$L$200:$U$200,1,ANIO-2025)</f>
        <v>1</v>
      </c>
      <c r="T47" s="14" t="n">
        <f aca="false">R47*S47*MIN_TURNO</f>
        <v>450</v>
      </c>
      <c r="U47" s="52" t="n">
        <v>1</v>
      </c>
      <c r="V47" s="44" t="n">
        <f aca="false">IF(T47=0,0,Q47/(T47*U47))</f>
        <v>0.11378502575072</v>
      </c>
      <c r="W47" s="53" t="str">
        <f aca="false">IF(V47=MAX($V$34:$V$59),"◀ cuello","")</f>
        <v/>
      </c>
      <c r="X47" s="12" t="s">
        <v>422</v>
      </c>
      <c r="Y47" s="1"/>
      <c r="Z47" s="1"/>
    </row>
    <row r="48" customFormat="false" ht="15.75" hidden="false" customHeight="true" outlineLevel="0" collapsed="false">
      <c r="A48" s="42" t="n">
        <v>15</v>
      </c>
      <c r="B48" s="12" t="s">
        <v>423</v>
      </c>
      <c r="C48" s="41" t="s">
        <v>421</v>
      </c>
      <c r="D48" s="49" t="s">
        <v>394</v>
      </c>
      <c r="E48" s="50" t="n">
        <v>1</v>
      </c>
      <c r="F48" s="51" t="n">
        <v>1</v>
      </c>
      <c r="G48" s="38" t="n">
        <v>60</v>
      </c>
      <c r="H48" s="38" t="n">
        <v>60</v>
      </c>
      <c r="I48" s="38" t="n">
        <v>60</v>
      </c>
      <c r="J48" s="38" t="n">
        <v>60</v>
      </c>
      <c r="K48" s="14" t="n">
        <f aca="false">IF(G48&gt;0,IF($D48="Terminados",$D$14,$F$14)*$E48*$F48,0)</f>
        <v>911.7928760985</v>
      </c>
      <c r="L48" s="14" t="n">
        <f aca="false">IF(H48&gt;0,IF($D48="Terminados",$D$15,$F$15)*$E48*$F48,0)</f>
        <v>63.56852299845</v>
      </c>
      <c r="M48" s="14" t="n">
        <f aca="false">IF(I48&gt;0,IF($D48="Terminados",$D$16,$F$16)*$E48*$F48,0)</f>
        <v>287.3369642445</v>
      </c>
      <c r="N48" s="14" t="n">
        <f aca="false">IF(J48&gt;0,IF($D48="Terminados",$D$17,$F$17)*$E48*$F48,0)</f>
        <v>17.38317635415</v>
      </c>
      <c r="O48" s="14" t="n">
        <f aca="false">SUMPRODUCT(G48:J48,K48:N48)/60</f>
        <v>1280.0815396956</v>
      </c>
      <c r="P48" s="14" t="n">
        <v>0</v>
      </c>
      <c r="Q48" s="43" t="n">
        <f aca="false">O48+P48</f>
        <v>1280.0815396956</v>
      </c>
      <c r="R48" s="42" t="n">
        <f aca="false" t="array" ref="R48:R48">INDEX(Datos!$B$201:$K$201,1,ANIO-2025)</f>
        <v>2</v>
      </c>
      <c r="S48" s="42" t="n">
        <f aca="false" t="array" ref="S48:S48">INDEX(Datos!$L$201:$U$201,1,ANIO-2025)</f>
        <v>2</v>
      </c>
      <c r="T48" s="14" t="n">
        <f aca="false">R48*S48*MIN_TURNO</f>
        <v>1800</v>
      </c>
      <c r="U48" s="52" t="n">
        <v>0.9822222222</v>
      </c>
      <c r="V48" s="44" t="n">
        <f aca="false">IF(T48=0,0,Q48/(T48*U48))</f>
        <v>0.7240280202062</v>
      </c>
      <c r="W48" s="53" t="str">
        <f aca="false">IF(V48=MAX($V$34:$V$59),"◀ cuello","")</f>
        <v/>
      </c>
      <c r="X48" s="12"/>
      <c r="Y48" s="1"/>
      <c r="Z48" s="1"/>
    </row>
    <row r="49" customFormat="false" ht="15.75" hidden="false" customHeight="true" outlineLevel="0" collapsed="false">
      <c r="A49" s="42" t="n">
        <v>16</v>
      </c>
      <c r="B49" s="12" t="s">
        <v>424</v>
      </c>
      <c r="C49" s="41" t="s">
        <v>421</v>
      </c>
      <c r="D49" s="49" t="s">
        <v>394</v>
      </c>
      <c r="E49" s="50" t="n">
        <v>1</v>
      </c>
      <c r="F49" s="51" t="n">
        <v>1</v>
      </c>
      <c r="G49" s="38" t="n">
        <v>120</v>
      </c>
      <c r="H49" s="38" t="n">
        <v>120</v>
      </c>
      <c r="I49" s="38" t="n">
        <v>120</v>
      </c>
      <c r="J49" s="38" t="n">
        <v>120</v>
      </c>
      <c r="K49" s="14" t="n">
        <f aca="false">IF(G49&gt;0,IF($D49="Terminados",$D$14,$F$14)*$E49*$F49,0)</f>
        <v>911.7928760985</v>
      </c>
      <c r="L49" s="14" t="n">
        <f aca="false">IF(H49&gt;0,IF($D49="Terminados",$D$15,$F$15)*$E49*$F49,0)</f>
        <v>63.56852299845</v>
      </c>
      <c r="M49" s="14" t="n">
        <f aca="false">IF(I49&gt;0,IF($D49="Terminados",$D$16,$F$16)*$E49*$F49,0)</f>
        <v>287.3369642445</v>
      </c>
      <c r="N49" s="14" t="n">
        <f aca="false">IF(J49&gt;0,IF($D49="Terminados",$D$17,$F$17)*$E49*$F49,0)</f>
        <v>17.38317635415</v>
      </c>
      <c r="O49" s="14" t="n">
        <f aca="false">SUMPRODUCT(G49:J49,K49:N49)/60</f>
        <v>2560.1630793912</v>
      </c>
      <c r="P49" s="14" t="n">
        <v>0</v>
      </c>
      <c r="Q49" s="43" t="n">
        <f aca="false">O49+P49</f>
        <v>2560.1630793912</v>
      </c>
      <c r="R49" s="42" t="n">
        <f aca="false" t="array" ref="R49:R49">INDEX(Datos!$B$202:$K$202,1,ANIO-2025)</f>
        <v>4</v>
      </c>
      <c r="S49" s="42" t="n">
        <f aca="false" t="array" ref="S49:S49">INDEX(Datos!$L$202:$U$202,1,ANIO-2025)</f>
        <v>2</v>
      </c>
      <c r="T49" s="14" t="n">
        <f aca="false">R49*S49*MIN_TURNO</f>
        <v>3600</v>
      </c>
      <c r="U49" s="52" t="n">
        <v>1</v>
      </c>
      <c r="V49" s="44" t="n">
        <f aca="false">IF(T49=0,0,Q49/(T49*U49))</f>
        <v>0.711156410942</v>
      </c>
      <c r="W49" s="53" t="str">
        <f aca="false">IF(V49=MAX($V$34:$V$59),"◀ cuello","")</f>
        <v/>
      </c>
      <c r="X49" s="12"/>
      <c r="Y49" s="1"/>
      <c r="Z49" s="1"/>
    </row>
    <row r="50" customFormat="false" ht="15.75" hidden="false" customHeight="true" outlineLevel="0" collapsed="false">
      <c r="A50" s="42" t="n">
        <v>17</v>
      </c>
      <c r="B50" s="12" t="s">
        <v>425</v>
      </c>
      <c r="C50" s="41" t="s">
        <v>421</v>
      </c>
      <c r="D50" s="49" t="s">
        <v>394</v>
      </c>
      <c r="E50" s="50" t="n">
        <v>1</v>
      </c>
      <c r="F50" s="51" t="n">
        <v>1</v>
      </c>
      <c r="G50" s="38" t="n">
        <v>30</v>
      </c>
      <c r="H50" s="38" t="n">
        <v>30</v>
      </c>
      <c r="I50" s="38" t="n">
        <v>30</v>
      </c>
      <c r="J50" s="38" t="n">
        <v>30</v>
      </c>
      <c r="K50" s="14" t="n">
        <f aca="false">IF(G50&gt;0,IF($D50="Terminados",$D$14,$F$14)*$E50*$F50,0)</f>
        <v>911.7928760985</v>
      </c>
      <c r="L50" s="14" t="n">
        <f aca="false">IF(H50&gt;0,IF($D50="Terminados",$D$15,$F$15)*$E50*$F50,0)</f>
        <v>63.56852299845</v>
      </c>
      <c r="M50" s="14" t="n">
        <f aca="false">IF(I50&gt;0,IF($D50="Terminados",$D$16,$F$16)*$E50*$F50,0)</f>
        <v>287.3369642445</v>
      </c>
      <c r="N50" s="14" t="n">
        <f aca="false">IF(J50&gt;0,IF($D50="Terminados",$D$17,$F$17)*$E50*$F50,0)</f>
        <v>17.38317635415</v>
      </c>
      <c r="O50" s="14" t="n">
        <f aca="false">SUMPRODUCT(G50:J50,K50:N50)/60</f>
        <v>640.0407698478</v>
      </c>
      <c r="P50" s="14" t="n">
        <v>0</v>
      </c>
      <c r="Q50" s="43" t="n">
        <f aca="false">O50+P50</f>
        <v>640.0407698478</v>
      </c>
      <c r="R50" s="42" t="n">
        <f aca="false" t="array" ref="R50:R50">INDEX(Datos!$B$203:$K$203,1,ANIO-2025)</f>
        <v>1</v>
      </c>
      <c r="S50" s="42" t="n">
        <f aca="false" t="array" ref="S50:S50">INDEX(Datos!$L$203:$U$203,1,ANIO-2025)</f>
        <v>2</v>
      </c>
      <c r="T50" s="14" t="n">
        <f aca="false">R50*S50*MIN_TURNO</f>
        <v>900</v>
      </c>
      <c r="U50" s="52" t="n">
        <v>1</v>
      </c>
      <c r="V50" s="44" t="n">
        <f aca="false">IF(T50=0,0,Q50/(T50*U50))</f>
        <v>0.711156410942</v>
      </c>
      <c r="W50" s="53" t="str">
        <f aca="false">IF(V50=MAX($V$34:$V$59),"◀ cuello","")</f>
        <v/>
      </c>
      <c r="X50" s="12"/>
      <c r="Y50" s="1"/>
      <c r="Z50" s="1"/>
    </row>
    <row r="51" customFormat="false" ht="15.75" hidden="false" customHeight="true" outlineLevel="0" collapsed="false">
      <c r="A51" s="42" t="n">
        <v>18</v>
      </c>
      <c r="B51" s="12" t="s">
        <v>426</v>
      </c>
      <c r="C51" s="41" t="s">
        <v>421</v>
      </c>
      <c r="D51" s="49" t="s">
        <v>394</v>
      </c>
      <c r="E51" s="50" t="n">
        <v>1</v>
      </c>
      <c r="F51" s="51" t="n">
        <v>1</v>
      </c>
      <c r="G51" s="38" t="n">
        <v>20</v>
      </c>
      <c r="H51" s="38" t="n">
        <v>20</v>
      </c>
      <c r="I51" s="38" t="n">
        <v>20</v>
      </c>
      <c r="J51" s="38" t="n">
        <v>20</v>
      </c>
      <c r="K51" s="14" t="n">
        <f aca="false">IF(G51&gt;0,IF($D51="Terminados",$D$14,$F$14)*$E51*$F51,0)</f>
        <v>911.7928760985</v>
      </c>
      <c r="L51" s="14" t="n">
        <f aca="false">IF(H51&gt;0,IF($D51="Terminados",$D$15,$F$15)*$E51*$F51,0)</f>
        <v>63.56852299845</v>
      </c>
      <c r="M51" s="14" t="n">
        <f aca="false">IF(I51&gt;0,IF($D51="Terminados",$D$16,$F$16)*$E51*$F51,0)</f>
        <v>287.3369642445</v>
      </c>
      <c r="N51" s="14" t="n">
        <f aca="false">IF(J51&gt;0,IF($D51="Terminados",$D$17,$F$17)*$E51*$F51,0)</f>
        <v>17.38317635415</v>
      </c>
      <c r="O51" s="14" t="n">
        <f aca="false">SUMPRODUCT(G51:J51,K51:N51)/60</f>
        <v>426.6938465652</v>
      </c>
      <c r="P51" s="14" t="n">
        <v>0</v>
      </c>
      <c r="Q51" s="43" t="n">
        <f aca="false">O51+P51</f>
        <v>426.6938465652</v>
      </c>
      <c r="R51" s="42" t="n">
        <f aca="false" t="array" ref="R51:R51">INDEX(Datos!$B$204:$K$204,1,ANIO-2025)</f>
        <v>1</v>
      </c>
      <c r="S51" s="42" t="n">
        <f aca="false" t="array" ref="S51:S51">INDEX(Datos!$L$204:$U$204,1,ANIO-2025)</f>
        <v>2</v>
      </c>
      <c r="T51" s="14" t="n">
        <f aca="false">R51*S51*MIN_TURNO</f>
        <v>900</v>
      </c>
      <c r="U51" s="52" t="n">
        <v>1</v>
      </c>
      <c r="V51" s="44" t="n">
        <f aca="false">IF(T51=0,0,Q51/(T51*U51))</f>
        <v>0.474104273961333</v>
      </c>
      <c r="W51" s="53" t="str">
        <f aca="false">IF(V51=MAX($V$34:$V$59),"◀ cuello","")</f>
        <v/>
      </c>
      <c r="X51" s="12"/>
      <c r="Y51" s="1"/>
      <c r="Z51" s="1"/>
    </row>
    <row r="52" customFormat="false" ht="15.75" hidden="false" customHeight="true" outlineLevel="0" collapsed="false">
      <c r="A52" s="42" t="n">
        <v>19</v>
      </c>
      <c r="B52" s="12" t="s">
        <v>427</v>
      </c>
      <c r="C52" s="41" t="s">
        <v>421</v>
      </c>
      <c r="D52" s="49" t="s">
        <v>394</v>
      </c>
      <c r="E52" s="50" t="n">
        <v>1</v>
      </c>
      <c r="F52" s="51" t="n">
        <v>0.05</v>
      </c>
      <c r="G52" s="38" t="n">
        <v>180</v>
      </c>
      <c r="H52" s="38" t="n">
        <v>180</v>
      </c>
      <c r="I52" s="38" t="n">
        <v>180</v>
      </c>
      <c r="J52" s="38" t="n">
        <v>180</v>
      </c>
      <c r="K52" s="14" t="n">
        <f aca="false">IF(G52&gt;0,IF($D52="Terminados",$D$14,$F$14)*$E52*$F52,0)</f>
        <v>45.589643804925</v>
      </c>
      <c r="L52" s="14" t="n">
        <f aca="false">IF(H52&gt;0,IF($D52="Terminados",$D$15,$F$15)*$E52*$F52,0)</f>
        <v>3.1784261499225</v>
      </c>
      <c r="M52" s="14" t="n">
        <f aca="false">IF(I52&gt;0,IF($D52="Terminados",$D$16,$F$16)*$E52*$F52,0)</f>
        <v>14.366848212225</v>
      </c>
      <c r="N52" s="14" t="n">
        <f aca="false">IF(J52&gt;0,IF($D52="Terminados",$D$17,$F$17)*$E52*$F52,0)</f>
        <v>0.8691588177075</v>
      </c>
      <c r="O52" s="14" t="n">
        <f aca="false">SUMPRODUCT(G52:J52,K52:N52)/60</f>
        <v>192.01223095434</v>
      </c>
      <c r="P52" s="14" t="n">
        <v>0</v>
      </c>
      <c r="Q52" s="43" t="n">
        <f aca="false">O52+P52</f>
        <v>192.01223095434</v>
      </c>
      <c r="R52" s="42" t="n">
        <f aca="false" t="array" ref="R52:R52">INDEX(Datos!$B$205:$K$205,1,ANIO-2025)</f>
        <v>1</v>
      </c>
      <c r="S52" s="42" t="n">
        <f aca="false" t="array" ref="S52:S52">INDEX(Datos!$L$205:$U$205,1,ANIO-2025)</f>
        <v>1</v>
      </c>
      <c r="T52" s="14" t="n">
        <f aca="false">R52*S52*MIN_TURNO</f>
        <v>450</v>
      </c>
      <c r="U52" s="52" t="n">
        <v>1</v>
      </c>
      <c r="V52" s="44" t="n">
        <f aca="false">IF(T52=0,0,Q52/(T52*U52))</f>
        <v>0.4266938465652</v>
      </c>
      <c r="W52" s="53" t="str">
        <f aca="false">IF(V52=MAX($V$34:$V$59),"◀ cuello","")</f>
        <v/>
      </c>
      <c r="X52" s="12" t="s">
        <v>428</v>
      </c>
      <c r="Y52" s="1"/>
      <c r="Z52" s="1"/>
    </row>
    <row r="53" customFormat="false" ht="15.75" hidden="false" customHeight="true" outlineLevel="0" collapsed="false">
      <c r="A53" s="42" t="n">
        <v>20</v>
      </c>
      <c r="B53" s="12" t="s">
        <v>429</v>
      </c>
      <c r="C53" s="41" t="s">
        <v>421</v>
      </c>
      <c r="D53" s="49" t="s">
        <v>394</v>
      </c>
      <c r="E53" s="50" t="n">
        <v>1</v>
      </c>
      <c r="F53" s="51" t="n">
        <v>1</v>
      </c>
      <c r="G53" s="38" t="n">
        <v>25</v>
      </c>
      <c r="H53" s="38" t="n">
        <v>25</v>
      </c>
      <c r="I53" s="38" t="n">
        <v>25</v>
      </c>
      <c r="J53" s="38" t="n">
        <v>25</v>
      </c>
      <c r="K53" s="14" t="n">
        <f aca="false">IF(G53&gt;0,IF($D53="Terminados",$D$14,$F$14)*$E53*$F53,0)</f>
        <v>911.7928760985</v>
      </c>
      <c r="L53" s="14" t="n">
        <f aca="false">IF(H53&gt;0,IF($D53="Terminados",$D$15,$F$15)*$E53*$F53,0)</f>
        <v>63.56852299845</v>
      </c>
      <c r="M53" s="14" t="n">
        <f aca="false">IF(I53&gt;0,IF($D53="Terminados",$D$16,$F$16)*$E53*$F53,0)</f>
        <v>287.3369642445</v>
      </c>
      <c r="N53" s="14" t="n">
        <f aca="false">IF(J53&gt;0,IF($D53="Terminados",$D$17,$F$17)*$E53*$F53,0)</f>
        <v>17.38317635415</v>
      </c>
      <c r="O53" s="14" t="n">
        <f aca="false">SUMPRODUCT(G53:J53,K53:N53)/60</f>
        <v>533.3673082065</v>
      </c>
      <c r="P53" s="14" t="n">
        <v>0</v>
      </c>
      <c r="Q53" s="43" t="n">
        <f aca="false">O53+P53</f>
        <v>533.3673082065</v>
      </c>
      <c r="R53" s="42" t="n">
        <f aca="false" t="array" ref="R53:R53">INDEX(Datos!$B$206:$K$206,1,ANIO-2025)</f>
        <v>1</v>
      </c>
      <c r="S53" s="42" t="n">
        <f aca="false" t="array" ref="S53:S53">INDEX(Datos!$L$206:$U$206,1,ANIO-2025)</f>
        <v>2</v>
      </c>
      <c r="T53" s="14" t="n">
        <f aca="false">R53*S53*MIN_TURNO</f>
        <v>900</v>
      </c>
      <c r="U53" s="52" t="n">
        <v>0.9466666667</v>
      </c>
      <c r="V53" s="44" t="n">
        <f aca="false">IF(T53=0,0,Q53/(T53*U53))</f>
        <v>0.626017967356478</v>
      </c>
      <c r="W53" s="53" t="str">
        <f aca="false">IF(V53=MAX($V$34:$V$59),"◀ cuello","")</f>
        <v/>
      </c>
      <c r="X53" s="12"/>
      <c r="Y53" s="1"/>
      <c r="Z53" s="1"/>
    </row>
    <row r="54" customFormat="false" ht="15.75" hidden="false" customHeight="true" outlineLevel="0" collapsed="false">
      <c r="A54" s="42" t="n">
        <v>21</v>
      </c>
      <c r="B54" s="12" t="s">
        <v>430</v>
      </c>
      <c r="C54" s="41" t="s">
        <v>431</v>
      </c>
      <c r="D54" s="49" t="s">
        <v>432</v>
      </c>
      <c r="E54" s="50" t="n">
        <v>1</v>
      </c>
      <c r="F54" s="51" t="n">
        <v>1</v>
      </c>
      <c r="G54" s="38" t="n">
        <v>45</v>
      </c>
      <c r="H54" s="38" t="n">
        <v>45</v>
      </c>
      <c r="I54" s="38" t="n">
        <v>45</v>
      </c>
      <c r="J54" s="38" t="n">
        <v>45</v>
      </c>
      <c r="K54" s="14" t="n">
        <f aca="false">IF(G54&gt;0,IF($D54="Terminados",$D$14,$F$14)*$E54*$F54,0)</f>
        <v>144.3268760985</v>
      </c>
      <c r="L54" s="14" t="n">
        <f aca="false">IF(H54&gt;0,IF($D54="Terminados",$D$15,$F$15)*$E54*$F54,0)</f>
        <v>33.46406299845</v>
      </c>
      <c r="M54" s="14" t="n">
        <f aca="false">IF(I54&gt;0,IF($D54="Terminados",$D$16,$F$16)*$E54*$F54,0)</f>
        <v>138.6674042445</v>
      </c>
      <c r="N54" s="14" t="n">
        <f aca="false">IF(J54&gt;0,IF($D54="Terminados",$D$17,$F$17)*$E54*$F54,0)</f>
        <v>8.30217635415</v>
      </c>
      <c r="O54" s="14" t="n">
        <f aca="false">SUMPRODUCT(G54:J54,K54:N54)/60</f>
        <v>243.5703897717</v>
      </c>
      <c r="P54" s="14" t="n">
        <v>0</v>
      </c>
      <c r="Q54" s="43" t="n">
        <f aca="false">O54+P54</f>
        <v>243.5703897717</v>
      </c>
      <c r="R54" s="42" t="n">
        <f aca="false" t="array" ref="R54:R54">INDEX(Datos!$B$207:$K$207,1,ANIO-2025)</f>
        <v>1</v>
      </c>
      <c r="S54" s="42" t="n">
        <f aca="false" t="array" ref="S54:S54">INDEX(Datos!$L$207:$U$207,1,ANIO-2025)</f>
        <v>1</v>
      </c>
      <c r="T54" s="14" t="n">
        <f aca="false">R54*S54*MIN_TURNO</f>
        <v>450</v>
      </c>
      <c r="U54" s="52" t="n">
        <v>1</v>
      </c>
      <c r="V54" s="44" t="n">
        <f aca="false">IF(T54=0,0,Q54/(T54*U54))</f>
        <v>0.541267532826</v>
      </c>
      <c r="W54" s="53" t="str">
        <f aca="false">IF(V54=MAX($V$34:$V$59),"◀ cuello","")</f>
        <v/>
      </c>
      <c r="X54" s="12"/>
      <c r="Y54" s="1"/>
      <c r="Z54" s="1"/>
    </row>
    <row r="55" customFormat="false" ht="15.75" hidden="false" customHeight="true" outlineLevel="0" collapsed="false">
      <c r="A55" s="42" t="n">
        <v>22</v>
      </c>
      <c r="B55" s="12" t="s">
        <v>433</v>
      </c>
      <c r="C55" s="41" t="s">
        <v>431</v>
      </c>
      <c r="D55" s="49" t="s">
        <v>432</v>
      </c>
      <c r="E55" s="50" t="n">
        <v>1</v>
      </c>
      <c r="F55" s="51" t="n">
        <v>1</v>
      </c>
      <c r="G55" s="38" t="n">
        <v>100</v>
      </c>
      <c r="H55" s="38" t="n">
        <v>100</v>
      </c>
      <c r="I55" s="38" t="n">
        <v>100</v>
      </c>
      <c r="J55" s="38" t="n">
        <v>100</v>
      </c>
      <c r="K55" s="14" t="n">
        <f aca="false">IF(G55&gt;0,IF($D55="Terminados",$D$14,$F$14)*$E55*$F55,0)</f>
        <v>144.3268760985</v>
      </c>
      <c r="L55" s="14" t="n">
        <f aca="false">IF(H55&gt;0,IF($D55="Terminados",$D$15,$F$15)*$E55*$F55,0)</f>
        <v>33.46406299845</v>
      </c>
      <c r="M55" s="14" t="n">
        <f aca="false">IF(I55&gt;0,IF($D55="Terminados",$D$16,$F$16)*$E55*$F55,0)</f>
        <v>138.6674042445</v>
      </c>
      <c r="N55" s="14" t="n">
        <f aca="false">IF(J55&gt;0,IF($D55="Terminados",$D$17,$F$17)*$E55*$F55,0)</f>
        <v>8.30217635415</v>
      </c>
      <c r="O55" s="14" t="n">
        <f aca="false">SUMPRODUCT(G55:J55,K55:N55)/60</f>
        <v>541.267532826</v>
      </c>
      <c r="P55" s="14" t="n">
        <v>0</v>
      </c>
      <c r="Q55" s="43" t="n">
        <f aca="false">O55+P55</f>
        <v>541.267532826</v>
      </c>
      <c r="R55" s="42" t="n">
        <f aca="false" t="array" ref="R55:R55">INDEX(Datos!$B$208:$K$208,1,ANIO-2025)</f>
        <v>1</v>
      </c>
      <c r="S55" s="42" t="n">
        <f aca="false" t="array" ref="S55:S55">INDEX(Datos!$L$208:$U$208,1,ANIO-2025)</f>
        <v>2</v>
      </c>
      <c r="T55" s="14" t="n">
        <f aca="false">R55*S55*MIN_TURNO</f>
        <v>900</v>
      </c>
      <c r="U55" s="52" t="n">
        <v>0.9822222222</v>
      </c>
      <c r="V55" s="44" t="n">
        <f aca="false">IF(T55=0,0,Q55/(T55*U55))</f>
        <v>0.612293589183536</v>
      </c>
      <c r="W55" s="53" t="str">
        <f aca="false">IF(V55=MAX($V$34:$V$59),"◀ cuello","")</f>
        <v/>
      </c>
      <c r="X55" s="12"/>
      <c r="Y55" s="1"/>
      <c r="Z55" s="1"/>
    </row>
    <row r="56" customFormat="false" ht="15.75" hidden="false" customHeight="true" outlineLevel="0" collapsed="false">
      <c r="A56" s="42" t="n">
        <v>23</v>
      </c>
      <c r="B56" s="12" t="s">
        <v>434</v>
      </c>
      <c r="C56" s="41" t="s">
        <v>431</v>
      </c>
      <c r="D56" s="49" t="s">
        <v>432</v>
      </c>
      <c r="E56" s="50" t="n">
        <v>1</v>
      </c>
      <c r="F56" s="51" t="n">
        <v>1</v>
      </c>
      <c r="G56" s="38" t="n">
        <v>30</v>
      </c>
      <c r="H56" s="38" t="n">
        <v>30</v>
      </c>
      <c r="I56" s="38" t="n">
        <v>30</v>
      </c>
      <c r="J56" s="38" t="n">
        <v>30</v>
      </c>
      <c r="K56" s="14" t="n">
        <f aca="false">IF(G56&gt;0,IF($D56="Terminados",$D$14,$F$14)*$E56*$F56,0)</f>
        <v>144.3268760985</v>
      </c>
      <c r="L56" s="14" t="n">
        <f aca="false">IF(H56&gt;0,IF($D56="Terminados",$D$15,$F$15)*$E56*$F56,0)</f>
        <v>33.46406299845</v>
      </c>
      <c r="M56" s="14" t="n">
        <f aca="false">IF(I56&gt;0,IF($D56="Terminados",$D$16,$F$16)*$E56*$F56,0)</f>
        <v>138.6674042445</v>
      </c>
      <c r="N56" s="14" t="n">
        <f aca="false">IF(J56&gt;0,IF($D56="Terminados",$D$17,$F$17)*$E56*$F56,0)</f>
        <v>8.30217635415</v>
      </c>
      <c r="O56" s="14" t="n">
        <f aca="false">SUMPRODUCT(G56:J56,K56:N56)/60</f>
        <v>162.3802598478</v>
      </c>
      <c r="P56" s="14" t="n">
        <v>0</v>
      </c>
      <c r="Q56" s="43" t="n">
        <f aca="false">O56+P56</f>
        <v>162.3802598478</v>
      </c>
      <c r="R56" s="42" t="n">
        <f aca="false" t="array" ref="R56:R56">INDEX(Datos!$B$209:$K$209,1,ANIO-2025)</f>
        <v>1</v>
      </c>
      <c r="S56" s="42" t="n">
        <f aca="false" t="array" ref="S56:S56">INDEX(Datos!$L$209:$U$209,1,ANIO-2025)</f>
        <v>1</v>
      </c>
      <c r="T56" s="14" t="n">
        <f aca="false">R56*S56*MIN_TURNO</f>
        <v>450</v>
      </c>
      <c r="U56" s="52" t="n">
        <v>1</v>
      </c>
      <c r="V56" s="44" t="n">
        <f aca="false">IF(T56=0,0,Q56/(T56*U56))</f>
        <v>0.360845021884</v>
      </c>
      <c r="W56" s="53" t="str">
        <f aca="false">IF(V56=MAX($V$34:$V$59),"◀ cuello","")</f>
        <v/>
      </c>
      <c r="X56" s="12"/>
      <c r="Y56" s="1"/>
      <c r="Z56" s="1"/>
    </row>
    <row r="57" customFormat="false" ht="15.75" hidden="false" customHeight="true" outlineLevel="0" collapsed="false">
      <c r="A57" s="42" t="n">
        <v>24</v>
      </c>
      <c r="B57" s="12" t="s">
        <v>435</v>
      </c>
      <c r="C57" s="41" t="s">
        <v>431</v>
      </c>
      <c r="D57" s="49" t="s">
        <v>432</v>
      </c>
      <c r="E57" s="50" t="n">
        <v>1</v>
      </c>
      <c r="F57" s="51" t="n">
        <v>1</v>
      </c>
      <c r="G57" s="38" t="n">
        <v>40</v>
      </c>
      <c r="H57" s="38" t="n">
        <v>40</v>
      </c>
      <c r="I57" s="38" t="n">
        <v>40</v>
      </c>
      <c r="J57" s="38" t="n">
        <v>40</v>
      </c>
      <c r="K57" s="14" t="n">
        <f aca="false">IF(G57&gt;0,IF($D57="Terminados",$D$14,$F$14)*$E57*$F57,0)</f>
        <v>144.3268760985</v>
      </c>
      <c r="L57" s="14" t="n">
        <f aca="false">IF(H57&gt;0,IF($D57="Terminados",$D$15,$F$15)*$E57*$F57,0)</f>
        <v>33.46406299845</v>
      </c>
      <c r="M57" s="14" t="n">
        <f aca="false">IF(I57&gt;0,IF($D57="Terminados",$D$16,$F$16)*$E57*$F57,0)</f>
        <v>138.6674042445</v>
      </c>
      <c r="N57" s="14" t="n">
        <f aca="false">IF(J57&gt;0,IF($D57="Terminados",$D$17,$F$17)*$E57*$F57,0)</f>
        <v>8.30217635415</v>
      </c>
      <c r="O57" s="14" t="n">
        <f aca="false">SUMPRODUCT(G57:J57,K57:N57)/60</f>
        <v>216.5070131304</v>
      </c>
      <c r="P57" s="14" t="n">
        <v>0</v>
      </c>
      <c r="Q57" s="43" t="n">
        <f aca="false">O57+P57</f>
        <v>216.5070131304</v>
      </c>
      <c r="R57" s="42" t="n">
        <f aca="false" t="array" ref="R57:R57">INDEX(Datos!$B$210:$K$210,1,ANIO-2025)</f>
        <v>1</v>
      </c>
      <c r="S57" s="42" t="n">
        <f aca="false" t="array" ref="S57:S57">INDEX(Datos!$L$210:$U$210,1,ANIO-2025)</f>
        <v>1</v>
      </c>
      <c r="T57" s="14" t="n">
        <f aca="false">R57*S57*MIN_TURNO</f>
        <v>450</v>
      </c>
      <c r="U57" s="52" t="n">
        <v>1</v>
      </c>
      <c r="V57" s="44" t="n">
        <f aca="false">IF(T57=0,0,Q57/(T57*U57))</f>
        <v>0.481126695845333</v>
      </c>
      <c r="W57" s="53" t="str">
        <f aca="false">IF(V57=MAX($V$34:$V$59),"◀ cuello","")</f>
        <v/>
      </c>
      <c r="X57" s="12"/>
      <c r="Y57" s="1"/>
      <c r="Z57" s="1"/>
    </row>
    <row r="58" customFormat="false" ht="15.75" hidden="false" customHeight="true" outlineLevel="0" collapsed="false">
      <c r="A58" s="42" t="n">
        <v>25</v>
      </c>
      <c r="B58" s="12" t="s">
        <v>436</v>
      </c>
      <c r="C58" s="41" t="s">
        <v>431</v>
      </c>
      <c r="D58" s="49" t="s">
        <v>432</v>
      </c>
      <c r="E58" s="50" t="n">
        <v>1</v>
      </c>
      <c r="F58" s="51" t="n">
        <v>1</v>
      </c>
      <c r="G58" s="38" t="n">
        <v>60</v>
      </c>
      <c r="H58" s="38" t="n">
        <v>60</v>
      </c>
      <c r="I58" s="38" t="n">
        <v>60</v>
      </c>
      <c r="J58" s="38" t="n">
        <v>60</v>
      </c>
      <c r="K58" s="14" t="n">
        <f aca="false">IF(G58&gt;0,IF($D58="Terminados",$D$14,$F$14)*$E58*$F58,0)</f>
        <v>144.3268760985</v>
      </c>
      <c r="L58" s="14" t="n">
        <f aca="false">IF(H58&gt;0,IF($D58="Terminados",$D$15,$F$15)*$E58*$F58,0)</f>
        <v>33.46406299845</v>
      </c>
      <c r="M58" s="14" t="n">
        <f aca="false">IF(I58&gt;0,IF($D58="Terminados",$D$16,$F$16)*$E58*$F58,0)</f>
        <v>138.6674042445</v>
      </c>
      <c r="N58" s="14" t="n">
        <f aca="false">IF(J58&gt;0,IF($D58="Terminados",$D$17,$F$17)*$E58*$F58,0)</f>
        <v>8.30217635415</v>
      </c>
      <c r="O58" s="14" t="n">
        <f aca="false">SUMPRODUCT(G58:J58,K58:N58)/60</f>
        <v>324.7605196956</v>
      </c>
      <c r="P58" s="14" t="n">
        <v>0</v>
      </c>
      <c r="Q58" s="43" t="n">
        <f aca="false">O58+P58</f>
        <v>324.7605196956</v>
      </c>
      <c r="R58" s="42" t="n">
        <f aca="false" t="array" ref="R58:R58">INDEX(Datos!$B$211:$K$211,1,ANIO-2025)</f>
        <v>1</v>
      </c>
      <c r="S58" s="42" t="n">
        <f aca="false" t="array" ref="S58:S58">INDEX(Datos!$L$211:$U$211,1,ANIO-2025)</f>
        <v>1</v>
      </c>
      <c r="T58" s="14" t="n">
        <f aca="false">R58*S58*MIN_TURNO</f>
        <v>450</v>
      </c>
      <c r="U58" s="52" t="n">
        <v>1</v>
      </c>
      <c r="V58" s="44" t="n">
        <f aca="false">IF(T58=0,0,Q58/(T58*U58))</f>
        <v>0.721690043768</v>
      </c>
      <c r="W58" s="53" t="str">
        <f aca="false">IF(V58=MAX($V$34:$V$59),"◀ cuello","")</f>
        <v/>
      </c>
      <c r="X58" s="12"/>
      <c r="Y58" s="1"/>
      <c r="Z58" s="1"/>
    </row>
    <row r="59" customFormat="false" ht="15.75" hidden="false" customHeight="true" outlineLevel="0" collapsed="false">
      <c r="A59" s="42" t="n">
        <v>26</v>
      </c>
      <c r="B59" s="12" t="s">
        <v>437</v>
      </c>
      <c r="C59" s="41" t="s">
        <v>438</v>
      </c>
      <c r="D59" s="49" t="s">
        <v>394</v>
      </c>
      <c r="E59" s="50" t="n">
        <v>1</v>
      </c>
      <c r="F59" s="51" t="n">
        <v>1</v>
      </c>
      <c r="G59" s="38" t="n">
        <v>45</v>
      </c>
      <c r="H59" s="38" t="n">
        <v>45</v>
      </c>
      <c r="I59" s="38" t="n">
        <v>45</v>
      </c>
      <c r="J59" s="38" t="n">
        <v>45</v>
      </c>
      <c r="K59" s="14" t="n">
        <f aca="false">IF(G59&gt;0,IF($D59="Terminados",$D$14,$F$14)*$E59*$F59,0)</f>
        <v>911.7928760985</v>
      </c>
      <c r="L59" s="14" t="n">
        <f aca="false">IF(H59&gt;0,IF($D59="Terminados",$D$15,$F$15)*$E59*$F59,0)</f>
        <v>63.56852299845</v>
      </c>
      <c r="M59" s="14" t="n">
        <f aca="false">IF(I59&gt;0,IF($D59="Terminados",$D$16,$F$16)*$E59*$F59,0)</f>
        <v>287.3369642445</v>
      </c>
      <c r="N59" s="14" t="n">
        <f aca="false">IF(J59&gt;0,IF($D59="Terminados",$D$17,$F$17)*$E59*$F59,0)</f>
        <v>17.38317635415</v>
      </c>
      <c r="O59" s="14" t="n">
        <f aca="false">SUMPRODUCT(G59:J59,K59:N59)/60</f>
        <v>960.0611547717</v>
      </c>
      <c r="P59" s="14" t="n">
        <v>0</v>
      </c>
      <c r="Q59" s="43" t="n">
        <f aca="false">O59+P59</f>
        <v>960.0611547717</v>
      </c>
      <c r="R59" s="42" t="n">
        <f aca="false" t="array" ref="R59:R59">INDEX(Datos!$B$212:$K$212,1,ANIO-2025)</f>
        <v>2</v>
      </c>
      <c r="S59" s="42" t="n">
        <f aca="false" t="array" ref="S59:S59">INDEX(Datos!$L$212:$U$212,1,ANIO-2025)</f>
        <v>2</v>
      </c>
      <c r="T59" s="14" t="n">
        <f aca="false">R59*S59*MIN_TURNO</f>
        <v>1800</v>
      </c>
      <c r="U59" s="52" t="n">
        <v>0.9911111111</v>
      </c>
      <c r="V59" s="44" t="n">
        <f aca="false">IF(T59=0,0,Q59/(T59*U59))</f>
        <v>0.538150871514834</v>
      </c>
      <c r="W59" s="53" t="str">
        <f aca="false">IF(V59=MAX($V$34:$V$59),"◀ cuello","")</f>
        <v/>
      </c>
      <c r="X59" s="12"/>
      <c r="Y59" s="1"/>
      <c r="Z59" s="1"/>
    </row>
    <row r="60" customFormat="false" ht="15.75" hidden="false" customHeight="true" outlineLevel="0" collapsed="false">
      <c r="B60" s="4" t="s">
        <v>363</v>
      </c>
      <c r="O60" s="43" t="n">
        <f aca="false">SUM(O34:O59)</f>
        <v>16066.8233533529</v>
      </c>
      <c r="P60" s="43" t="n">
        <f aca="false">SUM(P34:P59)</f>
        <v>45.3499257370646</v>
      </c>
      <c r="Q60" s="43" t="n">
        <f aca="false">SUM(Q34:Q59)</f>
        <v>16112.17327909</v>
      </c>
      <c r="Y60" s="1"/>
      <c r="Z60" s="1"/>
    </row>
    <row r="61" customFormat="false" ht="15.75" hidden="false" customHeight="true" outlineLevel="0" collapsed="false">
      <c r="Y61" s="1"/>
      <c r="Z61" s="1"/>
    </row>
    <row r="62" customFormat="false" ht="15.75" hidden="false" customHeight="true" outlineLevel="0" collapsed="false">
      <c r="B62" s="11" t="s">
        <v>359</v>
      </c>
      <c r="C62" s="54" t="n">
        <f aca="false">F18</f>
        <v>1280.0815396956</v>
      </c>
      <c r="D62" s="54"/>
      <c r="E62" s="54"/>
      <c r="Y62" s="1"/>
      <c r="Z62" s="1"/>
    </row>
    <row r="63" customFormat="false" ht="15.75" hidden="false" customHeight="true" outlineLevel="0" collapsed="false">
      <c r="B63" s="11" t="s">
        <v>439</v>
      </c>
      <c r="C63" s="54" t="n">
        <f aca="false">MIN_TURNO*60/F18</f>
        <v>21.0924063528176</v>
      </c>
      <c r="D63" s="54"/>
      <c r="E63" s="54"/>
      <c r="Y63" s="1"/>
      <c r="Z63" s="1"/>
    </row>
    <row r="64" customFormat="false" ht="15.75" hidden="false" customHeight="true" outlineLevel="0" collapsed="false">
      <c r="B64" s="11" t="s">
        <v>440</v>
      </c>
      <c r="C64" s="54" t="n">
        <f aca="false">Q60*60/F18</f>
        <v>755.210013399057</v>
      </c>
      <c r="D64" s="54"/>
      <c r="E64" s="54"/>
      <c r="Y64" s="1"/>
      <c r="Z64" s="1"/>
    </row>
    <row r="65" customFormat="false" ht="15.75" hidden="false" customHeight="true" outlineLevel="0" collapsed="false">
      <c r="B65" s="11" t="s">
        <v>441</v>
      </c>
      <c r="C65" s="55" t="n">
        <f aca="false">SUMPRODUCT(R34:R59,S34:S59)</f>
        <v>59</v>
      </c>
      <c r="D65" s="55"/>
      <c r="E65" s="55"/>
      <c r="Y65" s="1"/>
      <c r="Z65" s="1"/>
    </row>
    <row r="66" customFormat="false" ht="15.75" hidden="false" customHeight="true" outlineLevel="0" collapsed="false">
      <c r="B66" s="11" t="s">
        <v>39</v>
      </c>
      <c r="C66" s="56" t="str">
        <f aca="false" t="array" ref="C66:C66">INDEX(B34:B59,MATCH(MAX(V34:V59),V34:V59,0))</f>
        <v>Soldadura longitudinal — 2,5 a 10 kg</v>
      </c>
      <c r="D66" s="56"/>
      <c r="E66" s="56"/>
      <c r="Y66" s="1"/>
      <c r="Z66" s="1"/>
    </row>
    <row r="67" customFormat="false" ht="15.75" hidden="false" customHeight="true" outlineLevel="0" collapsed="false">
      <c r="B67" s="11" t="s">
        <v>442</v>
      </c>
      <c r="C67" s="57" t="n">
        <f aca="false">MAX(V34:V59)</f>
        <v>0.794917348202621</v>
      </c>
      <c r="D67" s="57"/>
      <c r="E67" s="57"/>
      <c r="Y67" s="1"/>
      <c r="Z67" s="1"/>
    </row>
    <row r="68" customFormat="false" ht="15.75" hidden="false" customHeight="true" outlineLevel="0" collapsed="false">
      <c r="B68" s="11" t="s">
        <v>443</v>
      </c>
      <c r="C68" s="57" t="n">
        <f aca="false">SUMPRODUCT(V34:V59,R34:R59,S34:S59)/SUMPRODUCT(R34:R59,S34:S59)</f>
        <v>0.618461416821656</v>
      </c>
      <c r="D68" s="57"/>
      <c r="E68" s="57"/>
      <c r="Y68" s="1"/>
      <c r="Z68" s="1"/>
    </row>
    <row r="69" customFormat="false" ht="15.75" hidden="false" customHeight="true" outlineLevel="0" collapsed="false">
      <c r="B69" s="13" t="s">
        <v>444</v>
      </c>
      <c r="C69" s="57" t="n">
        <f aca="false">C68/C67</f>
        <v>0.778019775540252</v>
      </c>
      <c r="D69" s="57"/>
      <c r="E69" s="57"/>
      <c r="Y69" s="1"/>
      <c r="Z69" s="1"/>
    </row>
    <row r="70" customFormat="false" ht="15.75" hidden="false" customHeight="true" outlineLevel="0" collapsed="false">
      <c r="Y70" s="1"/>
      <c r="Z70" s="1"/>
    </row>
    <row r="71" customFormat="false" ht="15.75" hidden="false" customHeight="true" outlineLevel="0" collapsed="false">
      <c r="Y71" s="1"/>
      <c r="Z71" s="1"/>
    </row>
    <row r="72" customFormat="false" ht="15.75" hidden="false" customHeight="true" outlineLevel="0" collapsed="false">
      <c r="A72" s="9" t="s">
        <v>445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"/>
      <c r="Z72" s="1"/>
    </row>
    <row r="73" customFormat="false" ht="60" hidden="false" customHeight="true" outlineLevel="0" collapsed="false">
      <c r="A73" s="10" t="s">
        <v>371</v>
      </c>
      <c r="B73" s="10" t="s">
        <v>372</v>
      </c>
      <c r="C73" s="10" t="s">
        <v>374</v>
      </c>
      <c r="D73" s="10" t="s">
        <v>446</v>
      </c>
      <c r="E73" s="10" t="s">
        <v>447</v>
      </c>
      <c r="F73" s="10" t="s">
        <v>448</v>
      </c>
      <c r="G73" s="10" t="s">
        <v>449</v>
      </c>
      <c r="H73" s="10" t="s">
        <v>450</v>
      </c>
      <c r="I73" s="10" t="s">
        <v>451</v>
      </c>
      <c r="J73" s="10" t="s">
        <v>70</v>
      </c>
      <c r="K73" s="10" t="s">
        <v>452</v>
      </c>
      <c r="L73" s="10" t="s">
        <v>384</v>
      </c>
      <c r="M73" s="10" t="s">
        <v>385</v>
      </c>
      <c r="N73" s="10" t="s">
        <v>386</v>
      </c>
      <c r="O73" s="10" t="s">
        <v>387</v>
      </c>
      <c r="P73" s="10" t="s">
        <v>453</v>
      </c>
      <c r="Q73" s="10" t="s">
        <v>454</v>
      </c>
      <c r="R73" s="10" t="s">
        <v>390</v>
      </c>
      <c r="S73" s="10"/>
      <c r="T73" s="10"/>
      <c r="U73" s="10"/>
      <c r="V73" s="10"/>
      <c r="W73" s="10"/>
      <c r="X73" s="10" t="s">
        <v>391</v>
      </c>
      <c r="Y73" s="1"/>
      <c r="Z73" s="1"/>
    </row>
    <row r="74" customFormat="false" ht="15.75" hidden="false" customHeight="true" outlineLevel="0" collapsed="false">
      <c r="A74" s="16" t="s">
        <v>455</v>
      </c>
      <c r="B74" s="12" t="s">
        <v>392</v>
      </c>
      <c r="C74" s="49" t="s">
        <v>394</v>
      </c>
      <c r="D74" s="38" t="n">
        <v>1.7825</v>
      </c>
      <c r="E74" s="38" t="n">
        <v>1.7825</v>
      </c>
      <c r="F74" s="38" t="n">
        <v>1.7825</v>
      </c>
      <c r="G74" s="38" t="n">
        <v>1.7825</v>
      </c>
      <c r="H74" s="22" t="n">
        <f aca="false">IF(C74="Terminados",D74*$C$22+E74*$C$23+F74*$C$24+G74*$C$25,D74*$E$22+E74*$E$23+F74*$E$24+G74*$E$25)</f>
        <v>23.5399072342537</v>
      </c>
      <c r="I74" s="58" t="n">
        <v>0</v>
      </c>
      <c r="J74" s="58" t="n">
        <v>0</v>
      </c>
      <c r="K74" s="58" t="n">
        <v>21.65</v>
      </c>
      <c r="L74" s="45" t="n">
        <f aca="false">H74+I74*J74+K74</f>
        <v>45.1899072342537</v>
      </c>
      <c r="M74" s="42" t="n">
        <f aca="false" t="array" ref="M74:M74">INDEX(Datos!$B$216:$K$216,1,ANIO-2025)</f>
        <v>1</v>
      </c>
      <c r="N74" s="42" t="n">
        <f aca="false" t="array" ref="N74:N74">INDEX(Datos!$L$216:$U$216,1,ANIO-2025)</f>
        <v>1</v>
      </c>
      <c r="O74" s="14" t="n">
        <f aca="false">M74*N74*MIN_TURNO</f>
        <v>450</v>
      </c>
      <c r="P74" s="44" t="n">
        <f aca="false">IF(O74=0,0,L74/O74)</f>
        <v>0.100422016076119</v>
      </c>
      <c r="Q74" s="44" t="n">
        <f aca="false" t="array" ref="Q74:Q74">IF(O74=0,0,(H74*MAX($B$9:$M$9)/MAX(0.0001,INDEX($B$9:$M$9,1,MES))+I74*J74+K74)/O74)</f>
        <v>0.103499128131836</v>
      </c>
      <c r="R74" s="53" t="str">
        <f aca="false">IF(P74=MAX($P$74:$P$91),"◀ cuello","")</f>
        <v/>
      </c>
      <c r="S74" s="5"/>
      <c r="T74" s="5"/>
      <c r="U74" s="5"/>
      <c r="V74" s="5"/>
      <c r="W74" s="5"/>
      <c r="X74" s="12"/>
      <c r="Y74" s="1"/>
      <c r="Z74" s="1"/>
    </row>
    <row r="75" customFormat="false" ht="15.75" hidden="false" customHeight="true" outlineLevel="0" collapsed="false">
      <c r="A75" s="16" t="s">
        <v>456</v>
      </c>
      <c r="B75" s="12" t="s">
        <v>457</v>
      </c>
      <c r="C75" s="49" t="s">
        <v>394</v>
      </c>
      <c r="D75" s="38" t="n">
        <v>2.604413751</v>
      </c>
      <c r="E75" s="38" t="n">
        <v>3.047826888</v>
      </c>
      <c r="F75" s="38" t="n">
        <v>6.676449275</v>
      </c>
      <c r="G75" s="38" t="n">
        <v>6.676449275</v>
      </c>
      <c r="H75" s="22" t="n">
        <f aca="false">IF(C75="Terminados",D75*$C$22+E75*$C$23+F75*$C$24+G75*$C$25,D75*$E$22+E75*$E$23+F75*$E$24+G75*$E$25)</f>
        <v>48.3708496216837</v>
      </c>
      <c r="I75" s="58" t="n">
        <v>0.5</v>
      </c>
      <c r="J75" s="58" t="n">
        <v>6</v>
      </c>
      <c r="K75" s="58" t="n">
        <v>25</v>
      </c>
      <c r="L75" s="45" t="n">
        <f aca="false">H75+I75*J75+K75</f>
        <v>76.3708496216837</v>
      </c>
      <c r="M75" s="42" t="n">
        <f aca="false" t="array" ref="M75:M75">INDEX(Datos!$B$217:$K$217,1,ANIO-2025)</f>
        <v>1</v>
      </c>
      <c r="N75" s="42" t="n">
        <f aca="false" t="array" ref="N75:N75">INDEX(Datos!$L$217:$U$217,1,ANIO-2025)</f>
        <v>1</v>
      </c>
      <c r="O75" s="14" t="n">
        <f aca="false">M75*N75*MIN_TURNO</f>
        <v>450</v>
      </c>
      <c r="P75" s="44" t="n">
        <f aca="false">IF(O75=0,0,L75/O75)</f>
        <v>0.169712999159297</v>
      </c>
      <c r="Q75" s="44" t="n">
        <f aca="false" t="array" ref="Q75:Q75">IF(O75=0,0,(H75*MAX($B$9:$M$9)/MAX(0.0001,INDEX($B$9:$M$9,1,MES))+I75*J75+K75)/O75)</f>
        <v>0.176035986035794</v>
      </c>
      <c r="R75" s="53" t="str">
        <f aca="false">IF(P75=MAX($P$74:$P$91),"◀ cuello","")</f>
        <v/>
      </c>
      <c r="S75" s="5"/>
      <c r="T75" s="5"/>
      <c r="U75" s="5"/>
      <c r="V75" s="5"/>
      <c r="W75" s="5"/>
      <c r="X75" s="12" t="s">
        <v>458</v>
      </c>
      <c r="Y75" s="1"/>
      <c r="Z75" s="1"/>
    </row>
    <row r="76" customFormat="false" ht="15.75" hidden="false" customHeight="true" outlineLevel="0" collapsed="false">
      <c r="A76" s="16" t="s">
        <v>459</v>
      </c>
      <c r="B76" s="12" t="s">
        <v>460</v>
      </c>
      <c r="C76" s="49" t="s">
        <v>394</v>
      </c>
      <c r="D76" s="38" t="n">
        <v>1.5</v>
      </c>
      <c r="E76" s="38" t="n">
        <v>1.5</v>
      </c>
      <c r="F76" s="38" t="n">
        <v>1.8</v>
      </c>
      <c r="G76" s="38" t="n">
        <v>1.8</v>
      </c>
      <c r="H76" s="22" t="n">
        <f aca="false">IF(C76="Terminados",D76*$C$22+E76*$C$23+F76*$C$24+G76*$C$25,D76*$E$22+E76*$E$23+F76*$E$24+G76*$E$25)</f>
        <v>20.60168854215</v>
      </c>
      <c r="I76" s="58" t="n">
        <v>0.5</v>
      </c>
      <c r="J76" s="58" t="n">
        <v>3</v>
      </c>
      <c r="K76" s="58" t="n">
        <v>4</v>
      </c>
      <c r="L76" s="45" t="n">
        <f aca="false">H76+I76*J76+K76</f>
        <v>26.10168854215</v>
      </c>
      <c r="M76" s="42" t="n">
        <f aca="false" t="array" ref="M76:M76">INDEX(Datos!$B$218:$K$218,1,ANIO-2025)</f>
        <v>0</v>
      </c>
      <c r="N76" s="42" t="n">
        <f aca="false" t="array" ref="N76:N76">INDEX(Datos!$L$218:$U$218,1,ANIO-2025)</f>
        <v>1</v>
      </c>
      <c r="O76" s="14" t="n">
        <f aca="false">M76*N76*MIN_TURNO</f>
        <v>0</v>
      </c>
      <c r="P76" s="44" t="n">
        <f aca="false">IF(O76=0,0,L76/O76)</f>
        <v>0</v>
      </c>
      <c r="Q76" s="44" t="n">
        <f aca="false" t="array" ref="Q76:Q76">IF(O76=0,0,(H76*MAX($B$9:$M$9)/MAX(0.0001,INDEX($B$9:$M$9,1,MES))+I76*J76+K76)/O76)</f>
        <v>0</v>
      </c>
      <c r="R76" s="53" t="str">
        <f aca="false">IF(P76=MAX($P$74:$P$91),"◀ cuello","")</f>
        <v/>
      </c>
      <c r="S76" s="5"/>
      <c r="T76" s="5"/>
      <c r="U76" s="5"/>
      <c r="V76" s="5"/>
      <c r="W76" s="5"/>
      <c r="X76" s="12" t="s">
        <v>461</v>
      </c>
      <c r="Y76" s="1"/>
      <c r="Z76" s="1"/>
    </row>
    <row r="77" customFormat="false" ht="15.75" hidden="false" customHeight="true" outlineLevel="0" collapsed="false">
      <c r="A77" s="16" t="s">
        <v>462</v>
      </c>
      <c r="B77" s="12" t="s">
        <v>407</v>
      </c>
      <c r="C77" s="49" t="s">
        <v>394</v>
      </c>
      <c r="D77" s="38" t="n">
        <v>2.6</v>
      </c>
      <c r="E77" s="38" t="n">
        <v>2.8</v>
      </c>
      <c r="F77" s="38" t="n">
        <v>5.543478261</v>
      </c>
      <c r="G77" s="38" t="n">
        <v>6.043478261</v>
      </c>
      <c r="H77" s="22" t="n">
        <f aca="false">IF(C77="Terminados",D77*$C$22+E77*$C$23+F77*$C$24+G77*$C$25,D77*$E$22+E77*$E$23+F77*$E$24+G77*$E$25)</f>
        <v>44.0896894016533</v>
      </c>
      <c r="I77" s="58" t="n">
        <v>4</v>
      </c>
      <c r="J77" s="58" t="n">
        <v>3</v>
      </c>
      <c r="K77" s="58" t="n">
        <v>6</v>
      </c>
      <c r="L77" s="45" t="n">
        <f aca="false">H77+I77*J77+K77</f>
        <v>62.0896894016533</v>
      </c>
      <c r="M77" s="42" t="n">
        <f aca="false" t="array" ref="M77:M77">INDEX(Datos!$B$219:$K$219,1,ANIO-2025)</f>
        <v>1</v>
      </c>
      <c r="N77" s="42" t="n">
        <f aca="false" t="array" ref="N77:N77">INDEX(Datos!$L$219:$U$219,1,ANIO-2025)</f>
        <v>1</v>
      </c>
      <c r="O77" s="14" t="n">
        <f aca="false">M77*N77*MIN_TURNO</f>
        <v>450</v>
      </c>
      <c r="P77" s="44" t="n">
        <f aca="false">IF(O77=0,0,L77/O77)</f>
        <v>0.13797708755923</v>
      </c>
      <c r="Q77" s="44" t="n">
        <f aca="false" t="array" ref="Q77:Q77">IF(O77=0,0,(H77*MAX($B$9:$M$9)/MAX(0.0001,INDEX($B$9:$M$9,1,MES))+I77*J77+K77)/O77)</f>
        <v>0.143740445648985</v>
      </c>
      <c r="R77" s="53" t="str">
        <f aca="false">IF(P77=MAX($P$74:$P$91),"◀ cuello","")</f>
        <v/>
      </c>
      <c r="S77" s="5"/>
      <c r="T77" s="5"/>
      <c r="U77" s="5"/>
      <c r="V77" s="5"/>
      <c r="W77" s="5"/>
      <c r="X77" s="12"/>
      <c r="Y77" s="1"/>
      <c r="Z77" s="1"/>
    </row>
    <row r="78" customFormat="false" ht="15.75" hidden="false" customHeight="true" outlineLevel="0" collapsed="false">
      <c r="A78" s="16" t="s">
        <v>463</v>
      </c>
      <c r="B78" s="12" t="s">
        <v>464</v>
      </c>
      <c r="C78" s="49" t="s">
        <v>394</v>
      </c>
      <c r="D78" s="38" t="n">
        <v>3</v>
      </c>
      <c r="E78" s="38" t="n">
        <v>3.3</v>
      </c>
      <c r="F78" s="38" t="n">
        <v>11.84347826</v>
      </c>
      <c r="G78" s="38" t="n">
        <v>12.04347826</v>
      </c>
      <c r="H78" s="22" t="n">
        <f aca="false">IF(C78="Terminados",D78*$C$22+E78*$C$23+F78*$C$24+G78*$C$25,D78*$E$22+E78*$E$23+F78*$E$24+G78*$E$25)</f>
        <v>65.3687564930116</v>
      </c>
      <c r="I78" s="58" t="n">
        <v>0</v>
      </c>
      <c r="J78" s="58" t="n">
        <v>0</v>
      </c>
      <c r="K78" s="58" t="n">
        <v>5</v>
      </c>
      <c r="L78" s="45" t="n">
        <f aca="false">H78+I78*J78+K78</f>
        <v>70.3687564930116</v>
      </c>
      <c r="M78" s="42" t="n">
        <f aca="false" t="array" ref="M78:M78">INDEX(Datos!$B$220:$K$220,1,ANIO-2025)</f>
        <v>1</v>
      </c>
      <c r="N78" s="42" t="n">
        <f aca="false" t="array" ref="N78:N78">INDEX(Datos!$L$220:$U$220,1,ANIO-2025)</f>
        <v>1</v>
      </c>
      <c r="O78" s="14" t="n">
        <f aca="false">M78*N78*MIN_TURNO</f>
        <v>450</v>
      </c>
      <c r="P78" s="44" t="n">
        <f aca="false">IF(O78=0,0,L78/O78)</f>
        <v>0.156375014428915</v>
      </c>
      <c r="Q78" s="44" t="n">
        <f aca="false" t="array" ref="Q78:Q78">IF(O78=0,0,(H78*MAX($B$9:$M$9)/MAX(0.0001,INDEX($B$9:$M$9,1,MES))+I78*J78+K78)/O78)</f>
        <v>0.164919949915285</v>
      </c>
      <c r="R78" s="53" t="str">
        <f aca="false">IF(P78=MAX($P$74:$P$91),"◀ cuello","")</f>
        <v/>
      </c>
      <c r="S78" s="5"/>
      <c r="T78" s="5"/>
      <c r="U78" s="5"/>
      <c r="V78" s="5"/>
      <c r="W78" s="5"/>
      <c r="X78" s="12"/>
      <c r="Y78" s="1"/>
      <c r="Z78" s="1"/>
    </row>
    <row r="79" customFormat="false" ht="15.75" hidden="false" customHeight="true" outlineLevel="0" collapsed="false">
      <c r="A79" s="16" t="s">
        <v>465</v>
      </c>
      <c r="B79" s="12" t="s">
        <v>466</v>
      </c>
      <c r="C79" s="49" t="s">
        <v>394</v>
      </c>
      <c r="D79" s="38" t="n">
        <v>3</v>
      </c>
      <c r="E79" s="38" t="n">
        <v>3.3</v>
      </c>
      <c r="F79" s="38" t="n">
        <v>3.9</v>
      </c>
      <c r="G79" s="38" t="n">
        <v>4.6</v>
      </c>
      <c r="H79" s="22" t="n">
        <f aca="false">IF(C79="Terminados",D79*$C$22+E79*$C$23+F79*$C$24+G79*$C$25,D79*$E$22+E79*$E$23+F79*$E$24+G79*$E$25)</f>
        <v>44.9102954215</v>
      </c>
      <c r="I79" s="58" t="n">
        <v>1</v>
      </c>
      <c r="J79" s="58" t="n">
        <v>3</v>
      </c>
      <c r="K79" s="58" t="n">
        <v>5</v>
      </c>
      <c r="L79" s="45" t="n">
        <f aca="false">H79+I79*J79+K79</f>
        <v>52.9102954215</v>
      </c>
      <c r="M79" s="42" t="n">
        <f aca="false" t="array" ref="M79:M79">INDEX(Datos!$B$221:$K$221,1,ANIO-2025)</f>
        <v>1</v>
      </c>
      <c r="N79" s="42" t="n">
        <f aca="false" t="array" ref="N79:N79">INDEX(Datos!$L$221:$U$221,1,ANIO-2025)</f>
        <v>1</v>
      </c>
      <c r="O79" s="14" t="n">
        <f aca="false">M79*N79*MIN_TURNO</f>
        <v>450</v>
      </c>
      <c r="P79" s="44" t="n">
        <f aca="false">IF(O79=0,0,L79/O79)</f>
        <v>0.11757843427</v>
      </c>
      <c r="Q79" s="44" t="n">
        <f aca="false" t="array" ref="Q79:Q79">IF(O79=0,0,(H79*MAX($B$9:$M$9)/MAX(0.0001,INDEX($B$9:$M$9,1,MES))+I79*J79+K79)/O79)</f>
        <v>0.123449061120483</v>
      </c>
      <c r="R79" s="53" t="str">
        <f aca="false">IF(P79=MAX($P$74:$P$91),"◀ cuello","")</f>
        <v/>
      </c>
      <c r="S79" s="5"/>
      <c r="T79" s="5"/>
      <c r="U79" s="5"/>
      <c r="V79" s="5"/>
      <c r="W79" s="5"/>
      <c r="X79" s="12"/>
      <c r="Y79" s="1"/>
      <c r="Z79" s="1"/>
    </row>
    <row r="80" customFormat="false" ht="15.75" hidden="false" customHeight="true" outlineLevel="0" collapsed="false">
      <c r="A80" s="16" t="s">
        <v>467</v>
      </c>
      <c r="B80" s="12" t="s">
        <v>468</v>
      </c>
      <c r="C80" s="49" t="s">
        <v>394</v>
      </c>
      <c r="D80" s="38" t="n">
        <v>3.2</v>
      </c>
      <c r="E80" s="38" t="n">
        <v>3.2</v>
      </c>
      <c r="F80" s="38" t="n">
        <v>4</v>
      </c>
      <c r="G80" s="38" t="n">
        <v>4</v>
      </c>
      <c r="H80" s="22" t="n">
        <f aca="false">IF(C80="Terminados",D80*$C$22+E80*$C$23+F80*$C$24+G80*$C$25,D80*$E$22+E80*$E$23+F80*$E$24+G80*$E$25)</f>
        <v>44.37294086</v>
      </c>
      <c r="I80" s="58" t="n">
        <v>2</v>
      </c>
      <c r="J80" s="58" t="n">
        <v>2</v>
      </c>
      <c r="K80" s="58" t="n">
        <v>5</v>
      </c>
      <c r="L80" s="45" t="n">
        <f aca="false">H80+I80*J80+K80</f>
        <v>53.37294086</v>
      </c>
      <c r="M80" s="42" t="n">
        <f aca="false" t="array" ref="M80:M80">INDEX(Datos!$B$222:$K$222,1,ANIO-2025)</f>
        <v>1</v>
      </c>
      <c r="N80" s="42" t="n">
        <f aca="false" t="array" ref="N80:N80">INDEX(Datos!$L$222:$U$222,1,ANIO-2025)</f>
        <v>1</v>
      </c>
      <c r="O80" s="14" t="n">
        <f aca="false">M80*N80*MIN_TURNO</f>
        <v>450</v>
      </c>
      <c r="P80" s="44" t="n">
        <f aca="false">IF(O80=0,0,L80/O80)</f>
        <v>0.118606535244444</v>
      </c>
      <c r="Q80" s="44" t="n">
        <f aca="false" t="array" ref="Q80:Q80">IF(O80=0,0,(H80*MAX($B$9:$M$9)/MAX(0.0001,INDEX($B$9:$M$9,1,MES))+I80*J80+K80)/O80)</f>
        <v>0.124406919668612</v>
      </c>
      <c r="R80" s="53" t="str">
        <f aca="false">IF(P80=MAX($P$74:$P$91),"◀ cuello","")</f>
        <v/>
      </c>
      <c r="S80" s="5"/>
      <c r="T80" s="5"/>
      <c r="U80" s="5"/>
      <c r="V80" s="5"/>
      <c r="W80" s="5"/>
      <c r="X80" s="12"/>
      <c r="Y80" s="1"/>
      <c r="Z80" s="1"/>
    </row>
    <row r="81" customFormat="false" ht="15.75" hidden="false" customHeight="true" outlineLevel="0" collapsed="false">
      <c r="A81" s="16" t="s">
        <v>469</v>
      </c>
      <c r="B81" s="12" t="s">
        <v>470</v>
      </c>
      <c r="C81" s="49" t="s">
        <v>394</v>
      </c>
      <c r="D81" s="38" t="n">
        <v>14.6</v>
      </c>
      <c r="E81" s="38" t="n">
        <v>15.2</v>
      </c>
      <c r="F81" s="38" t="n">
        <v>19.4</v>
      </c>
      <c r="G81" s="38" t="n">
        <v>19.4</v>
      </c>
      <c r="H81" s="22" t="n">
        <f aca="false">IF(C81="Terminados",D81*$C$22+E81*$C$23+F81*$C$24+G81*$C$25,D81*$E$22+E81*$E$23+F81*$E$24+G81*$E$25)</f>
        <v>209.8460071503</v>
      </c>
      <c r="I81" s="58" t="n">
        <v>2</v>
      </c>
      <c r="J81" s="58" t="n">
        <v>2</v>
      </c>
      <c r="K81" s="58" t="n">
        <v>5</v>
      </c>
      <c r="L81" s="45" t="n">
        <f aca="false">H81+I81*J81+K81</f>
        <v>218.8460071503</v>
      </c>
      <c r="M81" s="42" t="n">
        <f aca="false" t="array" ref="M81:M81">INDEX(Datos!$B$223:$K$223,1,ANIO-2025)</f>
        <v>1</v>
      </c>
      <c r="N81" s="42" t="n">
        <f aca="false" t="array" ref="N81:N81">INDEX(Datos!$L$223:$U$223,1,ANIO-2025)</f>
        <v>1</v>
      </c>
      <c r="O81" s="14" t="n">
        <f aca="false">M81*N81*MIN_TURNO</f>
        <v>450</v>
      </c>
      <c r="P81" s="44" t="n">
        <f aca="false">IF(O81=0,0,L81/O81)</f>
        <v>0.486324460334</v>
      </c>
      <c r="Q81" s="44" t="n">
        <f aca="false" t="array" ref="Q81:Q81">IF(O81=0,0,(H81*MAX($B$9:$M$9)/MAX(0.0001,INDEX($B$9:$M$9,1,MES))+I81*J81+K81)/O81)</f>
        <v>0.513755310932535</v>
      </c>
      <c r="R81" s="53" t="str">
        <f aca="false">IF(P81=MAX($P$74:$P$91),"◀ cuello","")</f>
        <v/>
      </c>
      <c r="S81" s="5"/>
      <c r="T81" s="5"/>
      <c r="U81" s="5"/>
      <c r="V81" s="5"/>
      <c r="W81" s="5"/>
      <c r="X81" s="12"/>
      <c r="Y81" s="1"/>
      <c r="Z81" s="1"/>
    </row>
    <row r="82" customFormat="false" ht="15.75" hidden="false" customHeight="true" outlineLevel="0" collapsed="false">
      <c r="A82" s="16" t="s">
        <v>471</v>
      </c>
      <c r="B82" s="12" t="s">
        <v>472</v>
      </c>
      <c r="C82" s="49" t="s">
        <v>394</v>
      </c>
      <c r="D82" s="38" t="n">
        <v>15.7</v>
      </c>
      <c r="E82" s="38" t="n">
        <v>15.9</v>
      </c>
      <c r="F82" s="38" t="n">
        <v>17.6</v>
      </c>
      <c r="G82" s="38" t="n">
        <v>17.6</v>
      </c>
      <c r="H82" s="22" t="n">
        <f aca="false">IF(C82="Terminados",D82*$C$22+E82*$C$23+F82*$C$24+G82*$C$25,D82*$E$22+E82*$E$23+F82*$E$24+G82*$E$25)</f>
        <v>213.80746887025</v>
      </c>
      <c r="I82" s="58" t="n">
        <v>2</v>
      </c>
      <c r="J82" s="58" t="n">
        <v>2</v>
      </c>
      <c r="K82" s="58" t="n">
        <v>5</v>
      </c>
      <c r="L82" s="45" t="n">
        <f aca="false">H82+I82*J82+K82</f>
        <v>222.80746887025</v>
      </c>
      <c r="M82" s="42" t="n">
        <f aca="false" t="array" ref="M82:M82">INDEX(Datos!$B$224:$K$224,1,ANIO-2025)</f>
        <v>1</v>
      </c>
      <c r="N82" s="42" t="n">
        <f aca="false" t="array" ref="N82:N82">INDEX(Datos!$L$224:$U$224,1,ANIO-2025)</f>
        <v>1</v>
      </c>
      <c r="O82" s="14" t="n">
        <f aca="false">M82*N82*MIN_TURNO</f>
        <v>450</v>
      </c>
      <c r="P82" s="44" t="n">
        <f aca="false">IF(O82=0,0,L82/O82)</f>
        <v>0.495127708600556</v>
      </c>
      <c r="Q82" s="44" t="n">
        <f aca="false" t="array" ref="Q82:Q82">IF(O82=0,0,(H82*MAX($B$9:$M$9)/MAX(0.0001,INDEX($B$9:$M$9,1,MES))+I82*J82+K82)/O82)</f>
        <v>0.523076397332241</v>
      </c>
      <c r="R82" s="53" t="str">
        <f aca="false">IF(P82=MAX($P$74:$P$91),"◀ cuello","")</f>
        <v>◀ cuello</v>
      </c>
      <c r="S82" s="5"/>
      <c r="T82" s="5"/>
      <c r="U82" s="5"/>
      <c r="V82" s="5"/>
      <c r="W82" s="5"/>
      <c r="X82" s="12"/>
      <c r="Y82" s="1"/>
      <c r="Z82" s="1"/>
    </row>
    <row r="83" customFormat="false" ht="15.75" hidden="false" customHeight="true" outlineLevel="0" collapsed="false">
      <c r="A83" s="16" t="s">
        <v>473</v>
      </c>
      <c r="B83" s="12" t="s">
        <v>474</v>
      </c>
      <c r="C83" s="49" t="s">
        <v>394</v>
      </c>
      <c r="D83" s="38" t="n">
        <v>11</v>
      </c>
      <c r="E83" s="38" t="n">
        <v>11</v>
      </c>
      <c r="F83" s="38" t="n">
        <v>11</v>
      </c>
      <c r="G83" s="38" t="n">
        <v>11</v>
      </c>
      <c r="H83" s="22" t="n">
        <f aca="false">IF(C83="Terminados",D83*$C$22+E83*$C$23+F83*$C$24+G83*$C$25,D83*$E$22+E83*$E$23+F83*$E$24+G83*$E$25)</f>
        <v>145.2673097205</v>
      </c>
      <c r="I83" s="58" t="n">
        <v>2</v>
      </c>
      <c r="J83" s="58" t="n">
        <v>3</v>
      </c>
      <c r="K83" s="58" t="n">
        <v>9</v>
      </c>
      <c r="L83" s="45" t="n">
        <f aca="false">H83+I83*J83+K83</f>
        <v>160.2673097205</v>
      </c>
      <c r="M83" s="42" t="n">
        <f aca="false" t="array" ref="M83:M83">INDEX(Datos!$B$225:$K$225,1,ANIO-2025)</f>
        <v>1</v>
      </c>
      <c r="N83" s="42" t="n">
        <f aca="false" t="array" ref="N83:N83">INDEX(Datos!$L$225:$U$225,1,ANIO-2025)</f>
        <v>1</v>
      </c>
      <c r="O83" s="14" t="n">
        <f aca="false">M83*N83*MIN_TURNO</f>
        <v>450</v>
      </c>
      <c r="P83" s="44" t="n">
        <f aca="false">IF(O83=0,0,L83/O83)</f>
        <v>0.356149577156667</v>
      </c>
      <c r="Q83" s="44" t="n">
        <f aca="false" t="array" ref="Q83:Q83">IF(O83=0,0,(H83*MAX($B$9:$M$9)/MAX(0.0001,INDEX($B$9:$M$9,1,MES))+I83*J83+K83)/O83)</f>
        <v>0.375138767963333</v>
      </c>
      <c r="R83" s="53" t="str">
        <f aca="false">IF(P83=MAX($P$74:$P$91),"◀ cuello","")</f>
        <v/>
      </c>
      <c r="S83" s="5"/>
      <c r="T83" s="5"/>
      <c r="U83" s="5"/>
      <c r="V83" s="5"/>
      <c r="W83" s="5"/>
      <c r="X83" s="12"/>
      <c r="Y83" s="1"/>
      <c r="Z83" s="1"/>
    </row>
    <row r="84" customFormat="false" ht="15.75" hidden="false" customHeight="true" outlineLevel="0" collapsed="false">
      <c r="A84" s="16" t="s">
        <v>475</v>
      </c>
      <c r="B84" s="12" t="s">
        <v>423</v>
      </c>
      <c r="C84" s="49" t="s">
        <v>394</v>
      </c>
      <c r="D84" s="38" t="n">
        <v>8.38</v>
      </c>
      <c r="E84" s="38" t="n">
        <v>9.18</v>
      </c>
      <c r="F84" s="38" t="n">
        <v>9.18</v>
      </c>
      <c r="G84" s="38" t="n">
        <v>9.18</v>
      </c>
      <c r="H84" s="22" t="n">
        <f aca="false">IF(C84="Terminados",D84*$C$22+E84*$C$23+F84*$C$24+G84*$C$25,D84*$E$22+E84*$E$23+F84*$E$24+G84*$E$25)</f>
        <v>118.58931720809</v>
      </c>
      <c r="I84" s="58" t="n">
        <v>0</v>
      </c>
      <c r="J84" s="58" t="n">
        <v>0</v>
      </c>
      <c r="K84" s="58" t="n">
        <v>10</v>
      </c>
      <c r="L84" s="45" t="n">
        <f aca="false">H84+I84*J84+K84</f>
        <v>128.58931720809</v>
      </c>
      <c r="M84" s="42" t="n">
        <f aca="false" t="array" ref="M84:M84">INDEX(Datos!$B$226:$K$226,1,ANIO-2025)</f>
        <v>1</v>
      </c>
      <c r="N84" s="42" t="n">
        <f aca="false" t="array" ref="N84:N84">INDEX(Datos!$L$226:$U$226,1,ANIO-2025)</f>
        <v>1</v>
      </c>
      <c r="O84" s="14" t="n">
        <f aca="false">M84*N84*MIN_TURNO</f>
        <v>450</v>
      </c>
      <c r="P84" s="44" t="n">
        <f aca="false">IF(O84=0,0,L84/O84)</f>
        <v>0.2857540382402</v>
      </c>
      <c r="Q84" s="44" t="n">
        <f aca="false" t="array" ref="Q84:Q84">IF(O84=0,0,(H84*MAX($B$9:$M$9)/MAX(0.0001,INDEX($B$9:$M$9,1,MES))+I84*J84+K84)/O84)</f>
        <v>0.301255909765387</v>
      </c>
      <c r="R84" s="53" t="str">
        <f aca="false">IF(P84=MAX($P$74:$P$91),"◀ cuello","")</f>
        <v/>
      </c>
      <c r="S84" s="5"/>
      <c r="T84" s="5"/>
      <c r="U84" s="5"/>
      <c r="V84" s="5"/>
      <c r="W84" s="5"/>
      <c r="X84" s="12"/>
      <c r="Y84" s="1"/>
      <c r="Z84" s="1"/>
    </row>
    <row r="85" customFormat="false" ht="15.75" hidden="false" customHeight="true" outlineLevel="0" collapsed="false">
      <c r="A85" s="16" t="s">
        <v>476</v>
      </c>
      <c r="B85" s="12" t="s">
        <v>424</v>
      </c>
      <c r="C85" s="49" t="s">
        <v>394</v>
      </c>
      <c r="D85" s="38" t="n">
        <v>8</v>
      </c>
      <c r="E85" s="38" t="n">
        <v>10</v>
      </c>
      <c r="F85" s="38" t="n">
        <v>12</v>
      </c>
      <c r="G85" s="38" t="n">
        <v>14</v>
      </c>
      <c r="H85" s="22" t="n">
        <f aca="false">IF(C85="Terminados",D85*$C$22+E85*$C$23+F85*$C$24+G85*$C$25,D85*$E$22+E85*$E$23+F85*$E$24+G85*$E$25)</f>
        <v>132.840746598</v>
      </c>
      <c r="I85" s="58" t="n">
        <v>0</v>
      </c>
      <c r="J85" s="58" t="n">
        <v>0</v>
      </c>
      <c r="K85" s="58" t="n">
        <v>0</v>
      </c>
      <c r="L85" s="45" t="n">
        <f aca="false">H85+I85*J85+K85</f>
        <v>132.840746598</v>
      </c>
      <c r="M85" s="42" t="n">
        <f aca="false" t="array" ref="M85:M85">INDEX(Datos!$B$227:$K$227,1,ANIO-2025)</f>
        <v>1</v>
      </c>
      <c r="N85" s="42" t="n">
        <f aca="false" t="array" ref="N85:N85">INDEX(Datos!$L$227:$U$227,1,ANIO-2025)</f>
        <v>1</v>
      </c>
      <c r="O85" s="14" t="n">
        <f aca="false">M85*N85*MIN_TURNO</f>
        <v>450</v>
      </c>
      <c r="P85" s="44" t="n">
        <f aca="false">IF(O85=0,0,L85/O85)</f>
        <v>0.295201659106667</v>
      </c>
      <c r="Q85" s="44" t="n">
        <f aca="false" t="array" ref="Q85:Q85">IF(O85=0,0,(H85*MAX($B$9:$M$9)/MAX(0.0001,INDEX($B$9:$M$9,1,MES))+I85*J85+K85)/O85)</f>
        <v>0.312566462577612</v>
      </c>
      <c r="R85" s="53" t="str">
        <f aca="false">IF(P85=MAX($P$74:$P$91),"◀ cuello","")</f>
        <v/>
      </c>
      <c r="S85" s="5"/>
      <c r="T85" s="5"/>
      <c r="U85" s="5"/>
      <c r="V85" s="5"/>
      <c r="W85" s="5"/>
      <c r="X85" s="12"/>
      <c r="Y85" s="1"/>
      <c r="Z85" s="1"/>
    </row>
    <row r="86" customFormat="false" ht="15.75" hidden="false" customHeight="true" outlineLevel="0" collapsed="false">
      <c r="A86" s="16" t="s">
        <v>477</v>
      </c>
      <c r="B86" s="12" t="s">
        <v>478</v>
      </c>
      <c r="C86" s="49" t="s">
        <v>394</v>
      </c>
      <c r="D86" s="38" t="n">
        <v>1.45</v>
      </c>
      <c r="E86" s="38" t="n">
        <v>1.45</v>
      </c>
      <c r="F86" s="38" t="n">
        <v>2.2</v>
      </c>
      <c r="G86" s="38" t="n">
        <v>2.2</v>
      </c>
      <c r="H86" s="22" t="n">
        <f aca="false">IF(C86="Terminados",D86*$C$22+E86*$C$23+F86*$C$24+G86*$C$25,D86*$E$22+E86*$E$23+F86*$E$24+G86*$E$25)</f>
        <v>21.130147504725</v>
      </c>
      <c r="I86" s="58" t="n">
        <v>0</v>
      </c>
      <c r="J86" s="58" t="n">
        <v>0</v>
      </c>
      <c r="K86" s="58" t="n">
        <v>4</v>
      </c>
      <c r="L86" s="45" t="n">
        <f aca="false">H86+I86*J86+K86</f>
        <v>25.130147504725</v>
      </c>
      <c r="M86" s="42" t="n">
        <f aca="false" t="array" ref="M86:M86">INDEX(Datos!$B$228:$K$228,1,ANIO-2025)</f>
        <v>1</v>
      </c>
      <c r="N86" s="42" t="n">
        <f aca="false" t="array" ref="N86:N86">INDEX(Datos!$L$228:$U$228,1,ANIO-2025)</f>
        <v>1</v>
      </c>
      <c r="O86" s="14" t="n">
        <f aca="false">M86*N86*MIN_TURNO</f>
        <v>450</v>
      </c>
      <c r="P86" s="44" t="n">
        <f aca="false">IF(O86=0,0,L86/O86)</f>
        <v>0.0558447722327222</v>
      </c>
      <c r="Q86" s="44" t="n">
        <f aca="false" t="array" ref="Q86:Q86">IF(O86=0,0,(H86*MAX($B$9:$M$9)/MAX(0.0001,INDEX($B$9:$M$9,1,MES))+I86*J86+K86)/O86)</f>
        <v>0.0586068830167124</v>
      </c>
      <c r="R86" s="53" t="str">
        <f aca="false">IF(P86=MAX($P$74:$P$91),"◀ cuello","")</f>
        <v/>
      </c>
      <c r="S86" s="5"/>
      <c r="T86" s="5"/>
      <c r="U86" s="5"/>
      <c r="V86" s="5"/>
      <c r="W86" s="5"/>
      <c r="X86" s="12"/>
      <c r="Y86" s="1"/>
      <c r="Z86" s="1"/>
    </row>
    <row r="87" customFormat="false" ht="15.75" hidden="false" customHeight="true" outlineLevel="0" collapsed="false">
      <c r="A87" s="16" t="s">
        <v>479</v>
      </c>
      <c r="B87" s="12" t="s">
        <v>480</v>
      </c>
      <c r="C87" s="49" t="s">
        <v>394</v>
      </c>
      <c r="D87" s="38" t="n">
        <v>2.95</v>
      </c>
      <c r="E87" s="38" t="n">
        <v>2.95</v>
      </c>
      <c r="F87" s="38" t="n">
        <v>3.85</v>
      </c>
      <c r="G87" s="38" t="n">
        <v>3.85</v>
      </c>
      <c r="H87" s="22" t="n">
        <f aca="false">IF(C87="Terminados",D87*$C$22+E87*$C$23+F87*$C$24+G87*$C$25,D87*$E$22+E87*$E$23+F87*$E$24+G87*$E$25)</f>
        <v>41.335581074925</v>
      </c>
      <c r="I87" s="58" t="n">
        <v>0</v>
      </c>
      <c r="J87" s="58" t="n">
        <v>0</v>
      </c>
      <c r="K87" s="58" t="n">
        <v>4</v>
      </c>
      <c r="L87" s="45" t="n">
        <f aca="false">H87+I87*J87+K87</f>
        <v>45.335581074925</v>
      </c>
      <c r="M87" s="42" t="n">
        <f aca="false" t="array" ref="M87:M87">INDEX(Datos!$B$229:$K$229,1,ANIO-2025)</f>
        <v>1</v>
      </c>
      <c r="N87" s="42" t="n">
        <f aca="false" t="array" ref="N87:N87">INDEX(Datos!$L$229:$U$229,1,ANIO-2025)</f>
        <v>1</v>
      </c>
      <c r="O87" s="14" t="n">
        <f aca="false">M87*N87*MIN_TURNO</f>
        <v>450</v>
      </c>
      <c r="P87" s="44" t="n">
        <f aca="false">IF(O87=0,0,L87/O87)</f>
        <v>0.100745735722056</v>
      </c>
      <c r="Q87" s="44" t="n">
        <f aca="false" t="array" ref="Q87:Q87">IF(O87=0,0,(H87*MAX($B$9:$M$9)/MAX(0.0001,INDEX($B$9:$M$9,1,MES))+I87*J87+K87)/O87)</f>
        <v>0.106149079651577</v>
      </c>
      <c r="R87" s="53" t="str">
        <f aca="false">IF(P87=MAX($P$74:$P$91),"◀ cuello","")</f>
        <v/>
      </c>
      <c r="S87" s="5"/>
      <c r="T87" s="5"/>
      <c r="U87" s="5"/>
      <c r="V87" s="5"/>
      <c r="W87" s="5"/>
      <c r="X87" s="12" t="s">
        <v>481</v>
      </c>
      <c r="Y87" s="1"/>
      <c r="Z87" s="1"/>
    </row>
    <row r="88" customFormat="false" ht="15.75" hidden="false" customHeight="true" outlineLevel="0" collapsed="false">
      <c r="A88" s="16" t="s">
        <v>482</v>
      </c>
      <c r="B88" s="12" t="s">
        <v>483</v>
      </c>
      <c r="C88" s="49" t="s">
        <v>432</v>
      </c>
      <c r="D88" s="38" t="n">
        <v>8.3</v>
      </c>
      <c r="E88" s="38" t="n">
        <v>11.3</v>
      </c>
      <c r="F88" s="38" t="n">
        <v>13.8</v>
      </c>
      <c r="G88" s="38" t="n">
        <v>17.3</v>
      </c>
      <c r="H88" s="22" t="n">
        <f aca="false">IF(C88="Terminados",D88*$C$22+E88*$C$23+F88*$C$24+G88*$C$25,D88*$E$22+E88*$E$23+F88*$E$24+G88*$E$25)</f>
        <v>87.38280741065</v>
      </c>
      <c r="I88" s="58" t="n">
        <v>0</v>
      </c>
      <c r="J88" s="58" t="n">
        <v>0</v>
      </c>
      <c r="K88" s="58" t="n">
        <v>48</v>
      </c>
      <c r="L88" s="45" t="n">
        <f aca="false">H88+I88*J88+K88</f>
        <v>135.38280741065</v>
      </c>
      <c r="M88" s="42" t="n">
        <f aca="false" t="array" ref="M88:M88">INDEX(Datos!$B$230:$K$230,1,ANIO-2025)</f>
        <v>1</v>
      </c>
      <c r="N88" s="42" t="n">
        <f aca="false" t="array" ref="N88:N88">INDEX(Datos!$L$230:$U$230,1,ANIO-2025)</f>
        <v>1</v>
      </c>
      <c r="O88" s="14" t="n">
        <f aca="false">M88*N88*MIN_TURNO</f>
        <v>450</v>
      </c>
      <c r="P88" s="44" t="n">
        <f aca="false">IF(O88=0,0,L88/O88)</f>
        <v>0.300850683134778</v>
      </c>
      <c r="Q88" s="44" t="n">
        <f aca="false" t="array" ref="Q88:Q88">IF(O88=0,0,(H88*MAX($B$9:$M$9)/MAX(0.0001,INDEX($B$9:$M$9,1,MES))+I88*J88+K88)/O88)</f>
        <v>0.312273272334892</v>
      </c>
      <c r="R88" s="53" t="str">
        <f aca="false">IF(P88=MAX($P$74:$P$91),"◀ cuello","")</f>
        <v/>
      </c>
      <c r="S88" s="5"/>
      <c r="T88" s="5"/>
      <c r="U88" s="5"/>
      <c r="V88" s="5"/>
      <c r="W88" s="5"/>
      <c r="X88" s="12"/>
      <c r="Y88" s="1"/>
      <c r="Z88" s="1"/>
    </row>
    <row r="89" customFormat="false" ht="15.75" hidden="false" customHeight="true" outlineLevel="0" collapsed="false">
      <c r="A89" s="16" t="s">
        <v>484</v>
      </c>
      <c r="B89" s="12" t="s">
        <v>485</v>
      </c>
      <c r="C89" s="49" t="s">
        <v>432</v>
      </c>
      <c r="D89" s="38" t="n">
        <v>6.1</v>
      </c>
      <c r="E89" s="38" t="n">
        <v>6.1</v>
      </c>
      <c r="F89" s="38" t="n">
        <v>6.8</v>
      </c>
      <c r="G89" s="38" t="n">
        <v>7.8</v>
      </c>
      <c r="H89" s="22" t="n">
        <f aca="false">IF(C89="Terminados",D89*$C$22+E89*$C$23+F89*$C$24+G89*$C$25,D89*$E$22+E89*$E$23+F89*$E$24+G89*$E$25)</f>
        <v>48.74273609365</v>
      </c>
      <c r="I89" s="58" t="n">
        <v>0</v>
      </c>
      <c r="J89" s="58" t="n">
        <v>0</v>
      </c>
      <c r="K89" s="58" t="n">
        <v>21</v>
      </c>
      <c r="L89" s="45" t="n">
        <f aca="false">H89+I89*J89+K89</f>
        <v>69.74273609365</v>
      </c>
      <c r="M89" s="42" t="n">
        <f aca="false" t="array" ref="M89:M89">INDEX(Datos!$B$231:$K$231,1,ANIO-2025)</f>
        <v>1</v>
      </c>
      <c r="N89" s="42" t="n">
        <f aca="false" t="array" ref="N89:N89">INDEX(Datos!$L$231:$U$231,1,ANIO-2025)</f>
        <v>1</v>
      </c>
      <c r="O89" s="14" t="n">
        <f aca="false">M89*N89*MIN_TURNO</f>
        <v>450</v>
      </c>
      <c r="P89" s="44" t="n">
        <f aca="false">IF(O89=0,0,L89/O89)</f>
        <v>0.154983857985889</v>
      </c>
      <c r="Q89" s="44" t="n">
        <f aca="false" t="array" ref="Q89:Q89">IF(O89=0,0,(H89*MAX($B$9:$M$9)/MAX(0.0001,INDEX($B$9:$M$9,1,MES))+I89*J89+K89)/O89)</f>
        <v>0.161355457473084</v>
      </c>
      <c r="R89" s="53" t="str">
        <f aca="false">IF(P89=MAX($P$74:$P$91),"◀ cuello","")</f>
        <v/>
      </c>
      <c r="S89" s="5"/>
      <c r="T89" s="5"/>
      <c r="U89" s="5"/>
      <c r="V89" s="5"/>
      <c r="W89" s="5"/>
      <c r="X89" s="12"/>
      <c r="Y89" s="1"/>
      <c r="Z89" s="1"/>
    </row>
    <row r="90" customFormat="false" ht="15.75" hidden="false" customHeight="true" outlineLevel="0" collapsed="false">
      <c r="A90" s="16" t="s">
        <v>486</v>
      </c>
      <c r="B90" s="12" t="s">
        <v>487</v>
      </c>
      <c r="C90" s="49" t="s">
        <v>432</v>
      </c>
      <c r="D90" s="38" t="n">
        <v>4.79</v>
      </c>
      <c r="E90" s="38" t="n">
        <v>4.79</v>
      </c>
      <c r="F90" s="38" t="n">
        <v>4.79</v>
      </c>
      <c r="G90" s="38" t="n">
        <v>4.79</v>
      </c>
      <c r="H90" s="22" t="n">
        <f aca="false">IF(C90="Terminados",D90*$C$22+E90*$C$23+F90*$C$24+G90*$C$25,D90*$E$22+E90*$E$23+F90*$E$24+G90*$E$25)</f>
        <v>36.942391523745</v>
      </c>
      <c r="I90" s="58" t="n">
        <v>0</v>
      </c>
      <c r="J90" s="58" t="n">
        <v>0</v>
      </c>
      <c r="K90" s="58" t="n">
        <v>166.6</v>
      </c>
      <c r="L90" s="45" t="n">
        <f aca="false">H90+I90*J90+K90</f>
        <v>203.542391523745</v>
      </c>
      <c r="M90" s="42" t="n">
        <f aca="false" t="array" ref="M90:M90">INDEX(Datos!$B$232:$K$232,1,ANIO-2025)</f>
        <v>1</v>
      </c>
      <c r="N90" s="42" t="n">
        <f aca="false" t="array" ref="N90:N90">INDEX(Datos!$L$232:$U$232,1,ANIO-2025)</f>
        <v>1</v>
      </c>
      <c r="O90" s="14" t="n">
        <f aca="false">M90*N90*MIN_TURNO</f>
        <v>450</v>
      </c>
      <c r="P90" s="44" t="n">
        <f aca="false">IF(O90=0,0,L90/O90)</f>
        <v>0.452316425608322</v>
      </c>
      <c r="Q90" s="44" t="n">
        <f aca="false" t="array" ref="Q90:Q90">IF(O90=0,0,(H90*MAX($B$9:$M$9)/MAX(0.0001,INDEX($B$9:$M$9,1,MES))+I90*J90+K90)/O90)</f>
        <v>0.457145496394094</v>
      </c>
      <c r="R90" s="53" t="str">
        <f aca="false">IF(P90=MAX($P$74:$P$91),"◀ cuello","")</f>
        <v/>
      </c>
      <c r="S90" s="5"/>
      <c r="T90" s="5"/>
      <c r="U90" s="5"/>
      <c r="V90" s="5"/>
      <c r="W90" s="5"/>
      <c r="X90" s="12" t="s">
        <v>488</v>
      </c>
      <c r="Y90" s="1"/>
      <c r="Z90" s="1"/>
    </row>
    <row r="91" customFormat="false" ht="15.75" hidden="false" customHeight="true" outlineLevel="0" collapsed="false">
      <c r="A91" s="16" t="s">
        <v>489</v>
      </c>
      <c r="B91" s="12" t="s">
        <v>490</v>
      </c>
      <c r="C91" s="49" t="s">
        <v>394</v>
      </c>
      <c r="D91" s="38" t="n">
        <v>1.2</v>
      </c>
      <c r="E91" s="38" t="n">
        <v>1.2</v>
      </c>
      <c r="F91" s="38" t="n">
        <v>2</v>
      </c>
      <c r="G91" s="38" t="n">
        <v>2</v>
      </c>
      <c r="H91" s="22" t="n">
        <f aca="false">IF(C91="Terminados",D91*$C$22+E91*$C$23+F91*$C$24+G91*$C$25,D91*$E$22+E91*$E$23+F91*$E$24+G91*$E$25)</f>
        <v>17.960702729</v>
      </c>
      <c r="I91" s="58" t="n">
        <v>0</v>
      </c>
      <c r="J91" s="58" t="n">
        <v>0</v>
      </c>
      <c r="K91" s="58" t="n">
        <v>10</v>
      </c>
      <c r="L91" s="45" t="n">
        <f aca="false">H91+I91*J91+K91</f>
        <v>27.960702729</v>
      </c>
      <c r="M91" s="42" t="n">
        <f aca="false" t="array" ref="M91:M91">INDEX(Datos!$B$233:$K$233,1,ANIO-2025)</f>
        <v>1</v>
      </c>
      <c r="N91" s="42" t="n">
        <f aca="false" t="array" ref="N91:N91">INDEX(Datos!$L$233:$U$233,1,ANIO-2025)</f>
        <v>1</v>
      </c>
      <c r="O91" s="14" t="n">
        <f aca="false">M91*N91*MIN_TURNO</f>
        <v>450</v>
      </c>
      <c r="P91" s="44" t="n">
        <f aca="false">IF(O91=0,0,L91/O91)</f>
        <v>0.0621348949533333</v>
      </c>
      <c r="Q91" s="44" t="n">
        <f aca="false" t="array" ref="Q91:Q91">IF(O91=0,0,(H91*MAX($B$9:$M$9)/MAX(0.0001,INDEX($B$9:$M$9,1,MES))+I91*J91+K91)/O91)</f>
        <v>0.064482699230834</v>
      </c>
      <c r="R91" s="53" t="str">
        <f aca="false">IF(P91=MAX($P$74:$P$91),"◀ cuello","")</f>
        <v/>
      </c>
      <c r="S91" s="5"/>
      <c r="T91" s="5"/>
      <c r="U91" s="5"/>
      <c r="V91" s="5"/>
      <c r="W91" s="5"/>
      <c r="X91" s="12"/>
      <c r="Y91" s="1"/>
      <c r="Z91" s="1"/>
    </row>
    <row r="92" customFormat="false" ht="15.75" hidden="false" customHeight="true" outlineLevel="0" collapsed="false">
      <c r="Y92" s="1"/>
      <c r="Z92" s="1"/>
    </row>
    <row r="93" customFormat="false" ht="15.75" hidden="false" customHeight="true" outlineLevel="0" collapsed="false">
      <c r="B93" s="13" t="s">
        <v>366</v>
      </c>
      <c r="C93" s="59" t="n">
        <f aca="false">E26</f>
        <v>13.2061190655</v>
      </c>
      <c r="D93" s="59"/>
      <c r="E93" s="59"/>
      <c r="Y93" s="1"/>
      <c r="Z93" s="1"/>
    </row>
    <row r="94" customFormat="false" ht="15.75" hidden="false" customHeight="true" outlineLevel="0" collapsed="false">
      <c r="B94" s="13" t="s">
        <v>491</v>
      </c>
      <c r="C94" s="54" t="n">
        <f aca="false">MIN_TURNO/E26</f>
        <v>34.075113041771</v>
      </c>
      <c r="D94" s="54"/>
      <c r="E94" s="54"/>
      <c r="Y94" s="1"/>
      <c r="Z94" s="1"/>
    </row>
    <row r="95" customFormat="false" ht="15.75" hidden="false" customHeight="true" outlineLevel="0" collapsed="false">
      <c r="B95" s="13" t="s">
        <v>39</v>
      </c>
      <c r="C95" s="56" t="str">
        <f aca="false" t="array" ref="C95:C95">INDEX(B74:B91,MATCH(MAX(P74:P91),P74:P91,0))</f>
        <v>Soldadura de accesorios</v>
      </c>
      <c r="D95" s="56"/>
      <c r="E95" s="56"/>
      <c r="Y95" s="1"/>
      <c r="Z95" s="1"/>
    </row>
    <row r="96" customFormat="false" ht="15.75" hidden="false" customHeight="true" outlineLevel="0" collapsed="false">
      <c r="B96" s="13" t="s">
        <v>492</v>
      </c>
      <c r="C96" s="57" t="n">
        <f aca="false">MAX(P74:P91)</f>
        <v>0.495127708600556</v>
      </c>
      <c r="D96" s="57"/>
      <c r="E96" s="57"/>
      <c r="Y96" s="1"/>
      <c r="Z96" s="1"/>
    </row>
    <row r="97" customFormat="false" ht="15.75" hidden="false" customHeight="true" outlineLevel="0" collapsed="false">
      <c r="B97" s="13" t="s">
        <v>493</v>
      </c>
      <c r="C97" s="57" t="n">
        <f aca="false">MAX(Q74:Q91)</f>
        <v>0.523076397332241</v>
      </c>
      <c r="D97" s="57"/>
      <c r="E97" s="57"/>
      <c r="Y97" s="1"/>
      <c r="Z97" s="1"/>
    </row>
    <row r="98" customFormat="false" ht="15.75" hidden="false" customHeight="true" outlineLevel="0" collapsed="false">
      <c r="B98" s="13" t="s">
        <v>494</v>
      </c>
      <c r="C98" s="57" t="n">
        <f aca="false">SUMPRODUCT(P74:P91,M74:M91,N74:N91)/SUMPRODUCT(M74:M91,N74:N91)</f>
        <v>0.226241523518423</v>
      </c>
      <c r="D98" s="57"/>
      <c r="E98" s="57"/>
      <c r="Y98" s="1"/>
      <c r="Z98" s="1"/>
    </row>
    <row r="99" customFormat="false" ht="15.75" hidden="false" customHeight="true" outlineLevel="0" collapsed="false">
      <c r="B99" s="13" t="s">
        <v>444</v>
      </c>
      <c r="C99" s="57" t="n">
        <f aca="false">C98/C96</f>
        <v>0.456935694748087</v>
      </c>
      <c r="D99" s="57"/>
      <c r="E99" s="57"/>
      <c r="Y99" s="1"/>
      <c r="Z99" s="1"/>
    </row>
    <row r="100" customFormat="false" ht="15.75" hidden="false" customHeight="true" outlineLevel="0" collapsed="false">
      <c r="Y100" s="1"/>
      <c r="Z100" s="1"/>
    </row>
    <row r="101" customFormat="false" ht="15.75" hidden="false" customHeight="true" outlineLevel="0" collapsed="false">
      <c r="Y101" s="1"/>
      <c r="Z101" s="1"/>
    </row>
    <row r="102" customFormat="false" ht="15.75" hidden="false" customHeight="true" outlineLevel="0" collapsed="false">
      <c r="A102" s="9" t="s">
        <v>495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"/>
      <c r="Z102" s="1"/>
    </row>
    <row r="103" customFormat="false" ht="60" hidden="false" customHeight="true" outlineLevel="0" collapsed="false">
      <c r="A103" s="10" t="s">
        <v>371</v>
      </c>
      <c r="B103" s="10" t="s">
        <v>372</v>
      </c>
      <c r="C103" s="10" t="s">
        <v>496</v>
      </c>
      <c r="D103" s="10" t="s">
        <v>497</v>
      </c>
      <c r="E103" s="10" t="s">
        <v>498</v>
      </c>
      <c r="F103" s="10" t="s">
        <v>385</v>
      </c>
      <c r="G103" s="10" t="s">
        <v>386</v>
      </c>
      <c r="H103" s="10" t="s">
        <v>453</v>
      </c>
      <c r="I103" s="10" t="s">
        <v>499</v>
      </c>
      <c r="J103" s="10" t="s">
        <v>390</v>
      </c>
      <c r="K103" s="10" t="s">
        <v>500</v>
      </c>
      <c r="L103" s="10" t="s">
        <v>501</v>
      </c>
      <c r="M103" s="10" t="s">
        <v>502</v>
      </c>
      <c r="N103" s="10" t="s">
        <v>83</v>
      </c>
      <c r="Y103" s="1"/>
      <c r="Z103" s="1"/>
    </row>
    <row r="104" customFormat="false" ht="15.75" hidden="false" customHeight="true" outlineLevel="0" collapsed="false">
      <c r="A104" s="42" t="n">
        <v>1</v>
      </c>
      <c r="B104" s="12" t="s">
        <v>503</v>
      </c>
      <c r="C104" s="40" t="n">
        <v>75</v>
      </c>
      <c r="D104" s="14" t="n">
        <f aca="false" t="array" ref="D104:D104">SUMIFS(INDEX(Datos!$C$312:$N$541,0,MES),Datos!$A$312:$A$541,$B104,Datos!$B$312:$B$541,ANIO)</f>
        <v>10822.07538</v>
      </c>
      <c r="E104" s="22" t="n">
        <f aca="false">D104/DIAS</f>
        <v>541.103769</v>
      </c>
      <c r="F104" s="42" t="n">
        <f aca="false" t="array" ref="F104:F104">INDEX(Datos!$B$237:$K$237,1,ANIO-2025)</f>
        <v>2</v>
      </c>
      <c r="G104" s="42" t="n">
        <f aca="false" t="array" ref="G104:G104">INDEX(Datos!$L$237:$U$237,1,ANIO-2025)</f>
        <v>1</v>
      </c>
      <c r="H104" s="44" t="n">
        <f aca="false">IF(F104*G104=0,0,D104*C104/3600/(HORAS_MES*F104*G104))</f>
        <v>0.7515330125</v>
      </c>
      <c r="I104" s="44" t="n">
        <f aca="false" t="array" ref="I104:I104">IF(F104*G104=0,0,SUMIFS(INDEX(Datos!$C$312:$N$541,0,$N$10),Datos!$A$312:$A$541,$B104,Datos!$B$312:$B$541,ANIO)*C104/3600/(HORAS_MES*F104*G104))</f>
        <v>0.81813919375</v>
      </c>
      <c r="J104" s="53" t="str">
        <f aca="false">IF(H104=MAX($H$104:$H$126),"◀ cuello","")</f>
        <v/>
      </c>
      <c r="K104" s="24" t="n">
        <f aca="false">ESPERA_REC_H</f>
        <v>0.5</v>
      </c>
      <c r="L104" s="14" t="n">
        <f aca="false">IF(G104=0,0,E104/(G104*MIN_TURNO/60)*(C104/3600+K104))</f>
        <v>37.576650625</v>
      </c>
      <c r="M104" s="14" t="n">
        <f aca="false">IF(L104=0,0,ROUNDUP(L104/U_JAULA,0))</f>
        <v>2</v>
      </c>
      <c r="N104" s="22" t="n">
        <f aca="false">M104*M2_JAULA</f>
        <v>4.8</v>
      </c>
      <c r="Y104" s="1"/>
      <c r="Z104" s="1"/>
    </row>
    <row r="105" customFormat="false" ht="15.75" hidden="false" customHeight="true" outlineLevel="0" collapsed="false">
      <c r="A105" s="42" t="n">
        <v>2</v>
      </c>
      <c r="B105" s="12" t="s">
        <v>504</v>
      </c>
      <c r="C105" s="40" t="n">
        <v>90</v>
      </c>
      <c r="D105" s="14" t="n">
        <f aca="false" t="array" ref="D105:D105">SUMIFS(INDEX(Datos!$C$312:$N$541,0,MES),Datos!$A$312:$A$541,$B105,Datos!$B$312:$B$541,ANIO)</f>
        <v>10822.07538</v>
      </c>
      <c r="E105" s="22" t="n">
        <f aca="false">D105/DIAS</f>
        <v>541.103769</v>
      </c>
      <c r="F105" s="42" t="n">
        <f aca="false" t="array" ref="F105:F105">INDEX(Datos!$B$238:$K$238,1,ANIO-2025)</f>
        <v>2</v>
      </c>
      <c r="G105" s="42" t="n">
        <f aca="false" t="array" ref="G105:G105">INDEX(Datos!$L$238:$U$238,1,ANIO-2025)</f>
        <v>2</v>
      </c>
      <c r="H105" s="44" t="n">
        <f aca="false">IF(F105*G105=0,0,D105*C105/3600/(HORAS_MES*F105*G105))</f>
        <v>0.4509198075</v>
      </c>
      <c r="I105" s="44" t="n">
        <f aca="false" t="array" ref="I105:I105">IF(F105*G105=0,0,SUMIFS(INDEX(Datos!$C$312:$N$541,0,$N$10),Datos!$A$312:$A$541,$B105,Datos!$B$312:$B$541,ANIO)*C105/3600/(HORAS_MES*F105*G105))</f>
        <v>0.49088351625</v>
      </c>
      <c r="J105" s="53" t="str">
        <f aca="false">IF(H105=MAX($H$104:$H$126),"◀ cuello","")</f>
        <v/>
      </c>
      <c r="K105" s="24" t="n">
        <f aca="false">ESPERA_REC_H</f>
        <v>0.5</v>
      </c>
      <c r="L105" s="14" t="n">
        <f aca="false">IF(G105=0,0,E105/(G105*MIN_TURNO/60)*(C105/3600+K105))</f>
        <v>18.938631915</v>
      </c>
      <c r="M105" s="14" t="n">
        <f aca="false">IF(L105=0,0,ROUNDUP(L105/U_JAULA,0))</f>
        <v>1</v>
      </c>
      <c r="N105" s="22" t="n">
        <f aca="false">M105*M2_JAULA</f>
        <v>2.4</v>
      </c>
      <c r="Y105" s="1"/>
      <c r="Z105" s="1"/>
    </row>
    <row r="106" customFormat="false" ht="15.75" hidden="false" customHeight="true" outlineLevel="0" collapsed="false">
      <c r="A106" s="42" t="n">
        <v>3</v>
      </c>
      <c r="B106" s="12" t="s">
        <v>505</v>
      </c>
      <c r="C106" s="40" t="n">
        <v>85</v>
      </c>
      <c r="D106" s="14" t="n">
        <f aca="false" t="array" ref="D106:D106">SUMIFS(INDEX(Datos!$C$312:$N$541,0,MES),Datos!$A$312:$A$541,$B106,Datos!$B$312:$B$541,ANIO)</f>
        <v>8342.078209</v>
      </c>
      <c r="E106" s="22" t="n">
        <f aca="false">D106/DIAS</f>
        <v>417.10391045</v>
      </c>
      <c r="F106" s="42" t="n">
        <f aca="false" t="array" ref="F106:F106">INDEX(Datos!$B$239:$K$239,1,ANIO-2025)</f>
        <v>1</v>
      </c>
      <c r="G106" s="42" t="n">
        <f aca="false" t="array" ref="G106:G106">INDEX(Datos!$L$239:$U$239,1,ANIO-2025)</f>
        <v>2</v>
      </c>
      <c r="H106" s="44" t="n">
        <f aca="false">IF(F106*G106=0,0,D106*C106/3600/(HORAS_MES*F106*G106))</f>
        <v>0.656552451634259</v>
      </c>
      <c r="I106" s="44" t="n">
        <f aca="false" t="array" ref="I106:I106">IF(F106*G106=0,0,SUMIFS(INDEX(Datos!$C$312:$N$541,0,$N$10),Datos!$A$312:$A$541,$B106,Datos!$B$312:$B$541,ANIO)*C106/3600/(HORAS_MES*F106*G106))</f>
        <v>0.706947899050926</v>
      </c>
      <c r="J106" s="53" t="str">
        <f aca="false">IF(H106=MAX($H$104:$H$126),"◀ cuello","")</f>
        <v/>
      </c>
      <c r="K106" s="24" t="n">
        <f aca="false">ESPERA_REC_H</f>
        <v>0.5</v>
      </c>
      <c r="L106" s="14" t="n">
        <f aca="false">IF(G106=0,0,E106/(G106*MIN_TURNO/60)*(C106/3600+K106))</f>
        <v>14.5600161333009</v>
      </c>
      <c r="M106" s="14" t="n">
        <f aca="false">IF(L106=0,0,ROUNDUP(L106/U_JAULA,0))</f>
        <v>1</v>
      </c>
      <c r="N106" s="22" t="n">
        <f aca="false">M106*M2_JAULA</f>
        <v>2.4</v>
      </c>
      <c r="Y106" s="1"/>
      <c r="Z106" s="1"/>
    </row>
    <row r="107" customFormat="false" ht="15.75" hidden="false" customHeight="true" outlineLevel="0" collapsed="false">
      <c r="A107" s="42" t="n">
        <v>4</v>
      </c>
      <c r="B107" s="12" t="s">
        <v>506</v>
      </c>
      <c r="C107" s="40" t="n">
        <v>85</v>
      </c>
      <c r="D107" s="14" t="n">
        <f aca="false" t="array" ref="D107:D107">SUMIFS(INDEX(Datos!$C$312:$N$541,0,MES),Datos!$A$312:$A$541,$B107,Datos!$B$312:$B$541,ANIO)</f>
        <v>948.2112586</v>
      </c>
      <c r="E107" s="22" t="n">
        <f aca="false">D107/DIAS</f>
        <v>47.41056293</v>
      </c>
      <c r="F107" s="42" t="n">
        <f aca="false" t="array" ref="F107:F107">INDEX(Datos!$B$240:$K$240,1,ANIO-2025)</f>
        <v>1</v>
      </c>
      <c r="G107" s="42" t="n">
        <f aca="false" t="array" ref="G107:G107">INDEX(Datos!$L$240:$U$240,1,ANIO-2025)</f>
        <v>1</v>
      </c>
      <c r="H107" s="44" t="n">
        <f aca="false">IF(F107*G107=0,0,D107*C107/3600/(HORAS_MES*F107*G107))</f>
        <v>0.149255475890741</v>
      </c>
      <c r="I107" s="44" t="n">
        <f aca="false" t="array" ref="I107:I107">IF(F107*G107=0,0,SUMIFS(INDEX(Datos!$C$312:$N$541,0,$N$10),Datos!$A$312:$A$541,$B107,Datos!$B$312:$B$541,ANIO)*C107/3600/(HORAS_MES*F107*G107))</f>
        <v>0.160454464268519</v>
      </c>
      <c r="J107" s="53" t="str">
        <f aca="false">IF(H107=MAX($H$104:$H$126),"◀ cuello","")</f>
        <v/>
      </c>
      <c r="K107" s="24" t="n">
        <f aca="false">ESPERA_REC_H</f>
        <v>0.5</v>
      </c>
      <c r="L107" s="14" t="n">
        <f aca="false">IF(G107=0,0,E107/(G107*MIN_TURNO/60)*(C107/3600+K107))</f>
        <v>3.30995967122407</v>
      </c>
      <c r="M107" s="14" t="n">
        <f aca="false">IF(L107=0,0,ROUNDUP(L107/U_JAULA,0))</f>
        <v>1</v>
      </c>
      <c r="N107" s="22" t="n">
        <f aca="false">M107*M2_JAULA</f>
        <v>2.4</v>
      </c>
      <c r="Y107" s="1"/>
      <c r="Z107" s="1"/>
    </row>
    <row r="108" customFormat="false" ht="15.75" hidden="false" customHeight="true" outlineLevel="0" collapsed="false">
      <c r="A108" s="42" t="n">
        <v>5</v>
      </c>
      <c r="B108" s="12" t="s">
        <v>507</v>
      </c>
      <c r="C108" s="40" t="n">
        <v>205</v>
      </c>
      <c r="D108" s="14" t="n">
        <f aca="false" t="array" ref="D108:D108">SUMIFS(INDEX(Datos!$C$312:$N$541,0,MES),Datos!$A$312:$A$541,$B108,Datos!$B$312:$B$541,ANIO)</f>
        <v>398.7181703</v>
      </c>
      <c r="E108" s="22" t="n">
        <f aca="false">D108/DIAS</f>
        <v>19.935908515</v>
      </c>
      <c r="F108" s="42" t="n">
        <f aca="false" t="array" ref="F108:F108">INDEX(Datos!$B$241:$K$241,1,ANIO-2025)</f>
        <v>1</v>
      </c>
      <c r="G108" s="42" t="n">
        <f aca="false" t="array" ref="G108:G108">INDEX(Datos!$L$241:$U$241,1,ANIO-2025)</f>
        <v>1</v>
      </c>
      <c r="H108" s="44" t="n">
        <f aca="false">IF(F108*G108=0,0,D108*C108/3600/(HORAS_MES*F108*G108))</f>
        <v>0.151365231317593</v>
      </c>
      <c r="I108" s="44" t="n">
        <f aca="false" t="array" ref="I108:I108">IF(F108*G108=0,0,SUMIFS(INDEX(Datos!$C$312:$N$541,0,$N$10),Datos!$A$312:$A$541,$B108,Datos!$B$312:$B$541,ANIO)*C108/3600/(HORAS_MES*F108*G108))</f>
        <v>0.172239218322222</v>
      </c>
      <c r="J108" s="53" t="str">
        <f aca="false">IF(H108=MAX($H$104:$H$126),"◀ cuello","")</f>
        <v/>
      </c>
      <c r="K108" s="24" t="n">
        <f aca="false">ESPERA_REC_H</f>
        <v>0.5</v>
      </c>
      <c r="L108" s="14" t="n">
        <f aca="false">IF(G108=0,0,E108/(G108*MIN_TURNO/60)*(C108/3600+K108))</f>
        <v>1.48042579898426</v>
      </c>
      <c r="M108" s="14" t="n">
        <f aca="false">IF(L108=0,0,ROUNDUP(L108/U_JAULA,0))</f>
        <v>1</v>
      </c>
      <c r="N108" s="22" t="n">
        <f aca="false">M108*M2_JAULA</f>
        <v>2.4</v>
      </c>
      <c r="Y108" s="1"/>
      <c r="Z108" s="1"/>
    </row>
    <row r="109" customFormat="false" ht="15.75" hidden="false" customHeight="true" outlineLevel="0" collapsed="false">
      <c r="A109" s="42" t="n">
        <v>6</v>
      </c>
      <c r="B109" s="12" t="s">
        <v>508</v>
      </c>
      <c r="C109" s="40" t="n">
        <v>240</v>
      </c>
      <c r="D109" s="14" t="n">
        <f aca="false" t="array" ref="D109:D109">SUMIFS(INDEX(Datos!$C$312:$N$541,0,MES),Datos!$A$312:$A$541,$B109,Datos!$B$312:$B$541,ANIO)</f>
        <v>357.241917</v>
      </c>
      <c r="E109" s="22" t="n">
        <f aca="false">D109/DIAS</f>
        <v>17.86209585</v>
      </c>
      <c r="F109" s="42" t="n">
        <f aca="false" t="array" ref="F109:F109">INDEX(Datos!$B$242:$K$242,1,ANIO-2025)</f>
        <v>1</v>
      </c>
      <c r="G109" s="42" t="n">
        <f aca="false" t="array" ref="G109:G109">INDEX(Datos!$L$242:$U$242,1,ANIO-2025)</f>
        <v>1</v>
      </c>
      <c r="H109" s="44" t="n">
        <f aca="false">IF(F109*G109=0,0,D109*C109/3600/(HORAS_MES*F109*G109))</f>
        <v>0.158774185333333</v>
      </c>
      <c r="I109" s="44" t="n">
        <f aca="false" t="array" ref="I109:I109">IF(F109*G109=0,0,SUMIFS(INDEX(Datos!$C$312:$N$541,0,$N$10),Datos!$A$312:$A$541,$B109,Datos!$B$312:$B$541,ANIO)*C109/3600/(HORAS_MES*F109*G109))</f>
        <v>0.199821149111111</v>
      </c>
      <c r="J109" s="53" t="str">
        <f aca="false">IF(H109=MAX($H$104:$H$126),"◀ cuello","")</f>
        <v/>
      </c>
      <c r="K109" s="24" t="n">
        <f aca="false">ESPERA_REC_H</f>
        <v>0.5</v>
      </c>
      <c r="L109" s="14" t="n">
        <f aca="false">IF(G109=0,0,E109/(G109*MIN_TURNO/60)*(C109/3600+K109))</f>
        <v>1.34958057533333</v>
      </c>
      <c r="M109" s="14" t="n">
        <f aca="false">IF(L109=0,0,ROUNDUP(L109/U_JAULA,0))</f>
        <v>1</v>
      </c>
      <c r="N109" s="22" t="n">
        <f aca="false">M109*M2_JAULA</f>
        <v>2.4</v>
      </c>
      <c r="Y109" s="1"/>
      <c r="Z109" s="1"/>
    </row>
    <row r="110" customFormat="false" ht="15.75" hidden="false" customHeight="true" outlineLevel="0" collapsed="false">
      <c r="A110" s="42" t="n">
        <v>7</v>
      </c>
      <c r="B110" s="12" t="s">
        <v>509</v>
      </c>
      <c r="C110" s="40" t="n">
        <v>895</v>
      </c>
      <c r="D110" s="14" t="n">
        <f aca="false" t="array" ref="D110:D110">SUMIFS(INDEX(Datos!$C$312:$N$541,0,MES),Datos!$A$312:$A$541,$B110,Datos!$B$312:$B$541,ANIO)</f>
        <v>11.84923458</v>
      </c>
      <c r="E110" s="22" t="n">
        <f aca="false">D110/DIAS</f>
        <v>0.592461729</v>
      </c>
      <c r="F110" s="42" t="n">
        <f aca="false" t="array" ref="F110:F110">INDEX(Datos!$B$243:$K$243,1,ANIO-2025)</f>
        <v>1</v>
      </c>
      <c r="G110" s="42" t="n">
        <f aca="false" t="array" ref="G110:G110">INDEX(Datos!$L$243:$U$243,1,ANIO-2025)</f>
        <v>1</v>
      </c>
      <c r="H110" s="44" t="n">
        <f aca="false">IF(F110*G110=0,0,D110*C110/3600/(HORAS_MES*F110*G110))</f>
        <v>0.019639009165</v>
      </c>
      <c r="I110" s="44" t="n">
        <f aca="false" t="array" ref="I110:I110">IF(F110*G110=0,0,SUMIFS(INDEX(Datos!$C$312:$N$541,0,$N$10),Datos!$A$312:$A$541,$B110,Datos!$B$312:$B$541,ANIO)*C110/3600/(HORAS_MES*F110*G110))</f>
        <v>0.019639009165</v>
      </c>
      <c r="J110" s="53" t="str">
        <f aca="false">IF(H110=MAX($H$104:$H$126),"◀ cuello","")</f>
        <v/>
      </c>
      <c r="K110" s="24" t="n">
        <f aca="false">ESPERA_REC_H</f>
        <v>0.5</v>
      </c>
      <c r="L110" s="14" t="n">
        <f aca="false">IF(G110=0,0,E110/(G110*MIN_TURNO/60)*(C110/3600+K110))</f>
        <v>0.059136457765</v>
      </c>
      <c r="M110" s="14" t="n">
        <f aca="false">IF(L110=0,0,ROUNDUP(L110/U_JAULA,0))</f>
        <v>1</v>
      </c>
      <c r="N110" s="22" t="n">
        <f aca="false">M110*M2_JAULA</f>
        <v>2.4</v>
      </c>
      <c r="Y110" s="1"/>
      <c r="Z110" s="1"/>
    </row>
    <row r="111" customFormat="false" ht="15.75" hidden="false" customHeight="true" outlineLevel="0" collapsed="false">
      <c r="A111" s="42" t="n">
        <v>8</v>
      </c>
      <c r="B111" s="12" t="s">
        <v>510</v>
      </c>
      <c r="C111" s="40" t="n">
        <v>105</v>
      </c>
      <c r="D111" s="14" t="n">
        <f aca="false" t="array" ref="D111:D111">SUMIFS(INDEX(Datos!$C$312:$N$541,0,MES),Datos!$A$312:$A$541,$B111,Datos!$B$312:$B$541,ANIO)</f>
        <v>9779.252072</v>
      </c>
      <c r="E111" s="22" t="n">
        <f aca="false">D111/DIAS</f>
        <v>488.9626036</v>
      </c>
      <c r="F111" s="42" t="n">
        <f aca="false" t="array" ref="F111:F111">INDEX(Datos!$B$244:$K$244,1,ANIO-2025)</f>
        <v>2</v>
      </c>
      <c r="G111" s="42" t="n">
        <f aca="false" t="array" ref="G111:G111">INDEX(Datos!$L$244:$U$244,1,ANIO-2025)</f>
        <v>2</v>
      </c>
      <c r="H111" s="44" t="n">
        <f aca="false">IF(F111*G111=0,0,D111*C111/3600/(HORAS_MES*F111*G111))</f>
        <v>0.475380309055556</v>
      </c>
      <c r="I111" s="44" t="n">
        <f aca="false" t="array" ref="I111:I111">IF(F111*G111=0,0,SUMIFS(INDEX(Datos!$C$312:$N$541,0,$N$10),Datos!$A$312:$A$541,$B111,Datos!$B$312:$B$541,ANIO)*C111/3600/(HORAS_MES*F111*G111))</f>
        <v>0.51178568875</v>
      </c>
      <c r="J111" s="53" t="str">
        <f aca="false">IF(H111=MAX($H$104:$H$126),"◀ cuello","")</f>
        <v/>
      </c>
      <c r="K111" s="24" t="n">
        <f aca="false">ESPERA_REC_H</f>
        <v>0.5</v>
      </c>
      <c r="L111" s="14" t="n">
        <f aca="false">IF(G111=0,0,E111/(G111*MIN_TURNO/60)*(C111/3600+K111))</f>
        <v>17.2495140714444</v>
      </c>
      <c r="M111" s="14" t="n">
        <f aca="false">IF(L111=0,0,ROUNDUP(L111/U_JAULA,0))</f>
        <v>1</v>
      </c>
      <c r="N111" s="22" t="n">
        <f aca="false">M111*M2_JAULA</f>
        <v>2.4</v>
      </c>
      <c r="Y111" s="1"/>
      <c r="Z111" s="1"/>
    </row>
    <row r="112" customFormat="false" ht="15.75" hidden="false" customHeight="true" outlineLevel="0" collapsed="false">
      <c r="A112" s="42" t="n">
        <v>9</v>
      </c>
      <c r="B112" s="12" t="s">
        <v>511</v>
      </c>
      <c r="C112" s="40" t="n">
        <v>176</v>
      </c>
      <c r="D112" s="14" t="n">
        <f aca="false" t="array" ref="D112:D112">SUMIFS(INDEX(Datos!$C$312:$N$541,0,MES),Datos!$A$312:$A$541,$B112,Datos!$B$312:$B$541,ANIO)</f>
        <v>608.3320771</v>
      </c>
      <c r="E112" s="22" t="n">
        <f aca="false">D112/DIAS</f>
        <v>30.416603855</v>
      </c>
      <c r="F112" s="42" t="n">
        <f aca="false" t="array" ref="F112:F112">INDEX(Datos!$B$245:$K$245,1,ANIO-2025)</f>
        <v>1</v>
      </c>
      <c r="G112" s="42" t="n">
        <f aca="false" t="array" ref="G112:G112">INDEX(Datos!$L$245:$U$245,1,ANIO-2025)</f>
        <v>1</v>
      </c>
      <c r="H112" s="44" t="n">
        <f aca="false">IF(F112*G112=0,0,D112*C112/3600/(HORAS_MES*F112*G112))</f>
        <v>0.198271195499259</v>
      </c>
      <c r="I112" s="44" t="n">
        <f aca="false" t="array" ref="I112:I112">IF(F112*G112=0,0,SUMIFS(INDEX(Datos!$C$312:$N$541,0,$N$10),Datos!$A$312:$A$541,$B112,Datos!$B$312:$B$541,ANIO)*C112/3600/(HORAS_MES*F112*G112))</f>
        <v>0.232030884897778</v>
      </c>
      <c r="J112" s="53" t="str">
        <f aca="false">IF(H112=MAX($H$104:$H$126),"◀ cuello","")</f>
        <v/>
      </c>
      <c r="K112" s="24" t="n">
        <f aca="false">ESPERA_REC_H</f>
        <v>0.5</v>
      </c>
      <c r="L112" s="14" t="n">
        <f aca="false">IF(G112=0,0,E112/(G112*MIN_TURNO/60)*(C112/3600+K112))</f>
        <v>2.22604478583259</v>
      </c>
      <c r="M112" s="14" t="n">
        <f aca="false">IF(L112=0,0,ROUNDUP(L112/U_JAULA,0))</f>
        <v>1</v>
      </c>
      <c r="N112" s="22" t="n">
        <f aca="false">M112*M2_JAULA</f>
        <v>2.4</v>
      </c>
      <c r="Y112" s="1"/>
      <c r="Z112" s="1"/>
    </row>
    <row r="113" customFormat="false" ht="15.75" hidden="false" customHeight="true" outlineLevel="0" collapsed="false">
      <c r="A113" s="42" t="n">
        <v>10</v>
      </c>
      <c r="B113" s="12" t="s">
        <v>512</v>
      </c>
      <c r="C113" s="40" t="n">
        <v>3180</v>
      </c>
      <c r="D113" s="14" t="n">
        <f aca="false" t="array" ref="D113:D113">SUMIFS(INDEX(Datos!$C$312:$N$541,0,MES),Datos!$A$312:$A$541,$B113,Datos!$B$312:$B$541,ANIO)</f>
        <v>101.5371605</v>
      </c>
      <c r="E113" s="22" t="n">
        <f aca="false">D113/DIAS</f>
        <v>5.076858025</v>
      </c>
      <c r="F113" s="42" t="n">
        <f aca="false" t="array" ref="F113:F113">INDEX(Datos!$B$246:$K$246,1,ANIO-2025)</f>
        <v>1</v>
      </c>
      <c r="G113" s="42" t="n">
        <f aca="false" t="array" ref="G113:G113">INDEX(Datos!$L$246:$U$246,1,ANIO-2025)</f>
        <v>1</v>
      </c>
      <c r="H113" s="44" t="n">
        <f aca="false">IF(F113*G113=0,0,D113*C113/3600/(HORAS_MES*F113*G113))</f>
        <v>0.597941056277778</v>
      </c>
      <c r="I113" s="44" t="n">
        <f aca="false" t="array" ref="I113:I113">IF(F113*G113=0,0,SUMIFS(INDEX(Datos!$C$312:$N$541,0,$N$10),Datos!$A$312:$A$541,$B113,Datos!$B$312:$B$541,ANIO)*C113/3600/(HORAS_MES*F113*G113))</f>
        <v>0.643837628222222</v>
      </c>
      <c r="J113" s="53" t="str">
        <f aca="false">IF(H113=MAX($H$104:$H$126),"◀ cuello","")</f>
        <v/>
      </c>
      <c r="K113" s="24" t="n">
        <f aca="false">ESPERA_REC_H</f>
        <v>0.5</v>
      </c>
      <c r="L113" s="14" t="n">
        <f aca="false">IF(G113=0,0,E113/(G113*MIN_TURNO/60)*(C113/3600+K113))</f>
        <v>0.936398257944444</v>
      </c>
      <c r="M113" s="14" t="n">
        <f aca="false">IF(L113=0,0,ROUNDUP(L113/U_JAULA,0))</f>
        <v>1</v>
      </c>
      <c r="N113" s="22" t="n">
        <f aca="false">M113*M2_JAULA</f>
        <v>2.4</v>
      </c>
      <c r="Y113" s="1"/>
      <c r="Z113" s="1"/>
    </row>
    <row r="114" customFormat="false" ht="15.75" hidden="false" customHeight="true" outlineLevel="0" collapsed="false">
      <c r="A114" s="42" t="n">
        <v>11</v>
      </c>
      <c r="B114" s="12" t="s">
        <v>423</v>
      </c>
      <c r="C114" s="40" t="n">
        <v>302</v>
      </c>
      <c r="D114" s="14" t="n">
        <f aca="false" t="array" ref="D114:D114">SUMIFS(INDEX(Datos!$C$312:$N$541,0,MES),Datos!$A$312:$A$541,$B114,Datos!$B$312:$B$541,ANIO)</f>
        <v>2831.429847</v>
      </c>
      <c r="E114" s="22" t="n">
        <f aca="false">D114/DIAS</f>
        <v>141.57149235</v>
      </c>
      <c r="F114" s="42" t="n">
        <f aca="false" t="array" ref="F114:F114">INDEX(Datos!$B$247:$K$247,1,ANIO-2025)</f>
        <v>1</v>
      </c>
      <c r="G114" s="42" t="n">
        <f aca="false" t="array" ref="G114:G114">INDEX(Datos!$L$247:$U$247,1,ANIO-2025)</f>
        <v>2</v>
      </c>
      <c r="H114" s="44" t="n">
        <f aca="false">IF(F114*G114=0,0,D114*C114/3600/(HORAS_MES*F114*G114))</f>
        <v>0.791751679438889</v>
      </c>
      <c r="I114" s="44" t="n">
        <f aca="false" t="array" ref="I114:I114">IF(F114*G114=0,0,SUMIFS(INDEX(Datos!$C$312:$N$541,0,$N$10),Datos!$A$312:$A$541,$B114,Datos!$B$312:$B$541,ANIO)*C114/3600/(HORAS_MES*F114*G114))</f>
        <v>0.863657314587037</v>
      </c>
      <c r="J114" s="53" t="str">
        <f aca="false">IF(H114=MAX($H$104:$H$126),"◀ cuello","")</f>
        <v/>
      </c>
      <c r="K114" s="24" t="n">
        <f aca="false">ESPERA_REC_H</f>
        <v>0.5</v>
      </c>
      <c r="L114" s="14" t="n">
        <f aca="false">IF(G114=0,0,E114/(G114*MIN_TURNO/60)*(C114/3600+K114))</f>
        <v>5.51080142443889</v>
      </c>
      <c r="M114" s="14" t="n">
        <f aca="false">IF(L114=0,0,ROUNDUP(L114/U_JAULA,0))</f>
        <v>1</v>
      </c>
      <c r="N114" s="22" t="n">
        <f aca="false">M114*M2_JAULA</f>
        <v>2.4</v>
      </c>
      <c r="Y114" s="1"/>
      <c r="Z114" s="1"/>
    </row>
    <row r="115" customFormat="false" ht="15.75" hidden="false" customHeight="true" outlineLevel="0" collapsed="false">
      <c r="A115" s="42" t="n">
        <v>12</v>
      </c>
      <c r="B115" s="12" t="s">
        <v>424</v>
      </c>
      <c r="C115" s="40" t="n">
        <v>180</v>
      </c>
      <c r="D115" s="14" t="n">
        <f aca="false" t="array" ref="D115:D115">SUMIFS(INDEX(Datos!$C$312:$N$541,0,MES),Datos!$A$312:$A$541,$B115,Datos!$B$312:$B$541,ANIO)</f>
        <v>2698.385532</v>
      </c>
      <c r="E115" s="22" t="n">
        <f aca="false">D115/DIAS</f>
        <v>134.9192766</v>
      </c>
      <c r="F115" s="42" t="n">
        <f aca="false" t="array" ref="F115:F115">INDEX(Datos!$B$248:$K$248,1,ANIO-2025)</f>
        <v>1</v>
      </c>
      <c r="G115" s="42" t="n">
        <f aca="false" t="array" ref="G115:G115">INDEX(Datos!$L$248:$U$248,1,ANIO-2025)</f>
        <v>2</v>
      </c>
      <c r="H115" s="44" t="n">
        <f aca="false">IF(F115*G115=0,0,D115*C115/3600/(HORAS_MES*F115*G115))</f>
        <v>0.449730922</v>
      </c>
      <c r="I115" s="44" t="n">
        <f aca="false" t="array" ref="I115:I115">IF(F115*G115=0,0,SUMIFS(INDEX(Datos!$C$312:$N$541,0,$N$10),Datos!$A$312:$A$541,$B115,Datos!$B$312:$B$541,ANIO)*C115/3600/(HORAS_MES*F115*G115))</f>
        <v>0.4885311865</v>
      </c>
      <c r="J115" s="53" t="str">
        <f aca="false">IF(H115=MAX($H$104:$H$126),"◀ cuello","")</f>
        <v/>
      </c>
      <c r="K115" s="24" t="n">
        <f aca="false">ESPERA_REC_H</f>
        <v>0.5</v>
      </c>
      <c r="L115" s="14" t="n">
        <f aca="false">IF(G115=0,0,E115/(G115*MIN_TURNO/60)*(C115/3600+K115))</f>
        <v>4.947040142</v>
      </c>
      <c r="M115" s="14" t="n">
        <f aca="false">IF(L115=0,0,ROUNDUP(L115/U_JAULA,0))</f>
        <v>1</v>
      </c>
      <c r="N115" s="22" t="n">
        <f aca="false">M115*M2_JAULA</f>
        <v>2.4</v>
      </c>
      <c r="Y115" s="1"/>
      <c r="Z115" s="1"/>
    </row>
    <row r="116" customFormat="false" ht="15.75" hidden="false" customHeight="true" outlineLevel="0" collapsed="false">
      <c r="A116" s="42" t="n">
        <v>13</v>
      </c>
      <c r="B116" s="12" t="s">
        <v>513</v>
      </c>
      <c r="C116" s="40" t="n">
        <v>85</v>
      </c>
      <c r="D116" s="14" t="n">
        <f aca="false" t="array" ref="D116:D116">SUMIFS(INDEX(Datos!$C$312:$N$541,0,MES),Datos!$A$312:$A$541,$B116,Datos!$B$312:$B$541,ANIO)</f>
        <v>2698.385532</v>
      </c>
      <c r="E116" s="22" t="n">
        <f aca="false">D116/DIAS</f>
        <v>134.9192766</v>
      </c>
      <c r="F116" s="42" t="n">
        <f aca="false" t="array" ref="F116:F116">INDEX(Datos!$B$249:$K$249,1,ANIO-2025)</f>
        <v>1</v>
      </c>
      <c r="G116" s="42" t="n">
        <f aca="false" t="array" ref="G116:G116">INDEX(Datos!$L$249:$U$249,1,ANIO-2025)</f>
        <v>1</v>
      </c>
      <c r="H116" s="44" t="n">
        <f aca="false">IF(F116*G116=0,0,D116*C116/3600/(HORAS_MES*F116*G116))</f>
        <v>0.424745870777778</v>
      </c>
      <c r="I116" s="44" t="n">
        <f aca="false" t="array" ref="I116:I116">IF(F116*G116=0,0,SUMIFS(INDEX(Datos!$C$312:$N$541,0,$N$10),Datos!$A$312:$A$541,$B116,Datos!$B$312:$B$541,ANIO)*C116/3600/(HORAS_MES*F116*G116))</f>
        <v>0.461390565027778</v>
      </c>
      <c r="J116" s="53" t="str">
        <f aca="false">IF(H116=MAX($H$104:$H$126),"◀ cuello","")</f>
        <v/>
      </c>
      <c r="K116" s="24" t="n">
        <f aca="false">ESPERA_REC_H</f>
        <v>0.5</v>
      </c>
      <c r="L116" s="14" t="n">
        <f aca="false">IF(G116=0,0,E116/(G116*MIN_TURNO/60)*(C116/3600+K116))</f>
        <v>9.41936431077778</v>
      </c>
      <c r="M116" s="14" t="n">
        <f aca="false">IF(L116=0,0,ROUNDUP(L116/U_JAULA,0))</f>
        <v>1</v>
      </c>
      <c r="N116" s="22" t="n">
        <f aca="false">M116*M2_JAULA</f>
        <v>2.4</v>
      </c>
      <c r="Y116" s="1"/>
      <c r="Z116" s="1"/>
    </row>
    <row r="117" customFormat="false" ht="15.75" hidden="false" customHeight="true" outlineLevel="0" collapsed="false">
      <c r="A117" s="42" t="n">
        <v>14</v>
      </c>
      <c r="B117" s="12" t="s">
        <v>514</v>
      </c>
      <c r="C117" s="40" t="n">
        <v>615</v>
      </c>
      <c r="D117" s="14" t="n">
        <f aca="false" t="array" ref="D117:D117">SUMIFS(INDEX(Datos!$C$312:$N$541,0,MES),Datos!$A$312:$A$541,$B117,Datos!$B$312:$B$541,ANIO)</f>
        <v>1623.311307</v>
      </c>
      <c r="E117" s="22" t="n">
        <f aca="false">D117/DIAS</f>
        <v>81.16556535</v>
      </c>
      <c r="F117" s="42" t="n">
        <f aca="false" t="array" ref="F117:F117">INDEX(Datos!$B$250:$K$250,1,ANIO-2025)</f>
        <v>2</v>
      </c>
      <c r="G117" s="42" t="n">
        <f aca="false" t="array" ref="G117:G117">INDEX(Datos!$L$250:$U$250,1,ANIO-2025)</f>
        <v>2</v>
      </c>
      <c r="H117" s="44" t="n">
        <f aca="false">IF(F117*G117=0,0,D117*C117/3600/(HORAS_MES*F117*G117))</f>
        <v>0.4621928026875</v>
      </c>
      <c r="I117" s="44" t="n">
        <f aca="false" t="array" ref="I117:I117">IF(F117*G117=0,0,SUMIFS(INDEX(Datos!$C$312:$N$541,0,$N$10),Datos!$A$312:$A$541,$B117,Datos!$B$312:$B$541,ANIO)*C117/3600/(HORAS_MES*F117*G117))</f>
        <v>0.503155604298611</v>
      </c>
      <c r="J117" s="53" t="str">
        <f aca="false">IF(H117=MAX($H$104:$H$126),"◀ cuello","")</f>
        <v/>
      </c>
      <c r="K117" s="24" t="n">
        <f aca="false">ESPERA_REC_H</f>
        <v>0.5</v>
      </c>
      <c r="L117" s="14" t="n">
        <f aca="false">IF(G117=0,0,E117/(G117*MIN_TURNO/60)*(C117/3600+K117))</f>
        <v>3.629904450375</v>
      </c>
      <c r="M117" s="14" t="n">
        <f aca="false">IF(L117=0,0,ROUNDUP(L117/U_JAULA,0))</f>
        <v>1</v>
      </c>
      <c r="N117" s="22" t="n">
        <f aca="false">M117*M2_JAULA</f>
        <v>2.4</v>
      </c>
      <c r="Y117" s="1"/>
      <c r="Z117" s="1"/>
    </row>
    <row r="118" customFormat="false" ht="15.75" hidden="false" customHeight="true" outlineLevel="0" collapsed="false">
      <c r="A118" s="42" t="n">
        <v>15</v>
      </c>
      <c r="B118" s="12" t="s">
        <v>515</v>
      </c>
      <c r="C118" s="40" t="n">
        <v>100</v>
      </c>
      <c r="D118" s="14" t="n">
        <f aca="false" t="array" ref="D118:D118">SUMIFS(INDEX(Datos!$C$312:$N$541,0,MES),Datos!$A$312:$A$541,$B118,Datos!$B$312:$B$541,ANIO)</f>
        <v>9795.152494</v>
      </c>
      <c r="E118" s="22" t="n">
        <f aca="false">D118/DIAS</f>
        <v>489.7576247</v>
      </c>
      <c r="F118" s="42" t="n">
        <f aca="false" t="array" ref="F118:F118">INDEX(Datos!$B$251:$K$251,1,ANIO-2025)</f>
        <v>2</v>
      </c>
      <c r="G118" s="42" t="n">
        <f aca="false" t="array" ref="G118:G118">INDEX(Datos!$L$251:$U$251,1,ANIO-2025)</f>
        <v>2</v>
      </c>
      <c r="H118" s="44" t="n">
        <f aca="false">IF(F118*G118=0,0,D118*C118/3600/(HORAS_MES*F118*G118))</f>
        <v>0.45347928212963</v>
      </c>
      <c r="I118" s="44" t="n">
        <f aca="false" t="array" ref="I118:I118">IF(F118*G118=0,0,SUMIFS(INDEX(Datos!$C$312:$N$541,0,$N$10),Datos!$A$312:$A$541,$B118,Datos!$B$312:$B$541,ANIO)*C118/3600/(HORAS_MES*F118*G118))</f>
        <v>0.488151072685185</v>
      </c>
      <c r="J118" s="53" t="str">
        <f aca="false">IF(H118=MAX($H$104:$H$126),"◀ cuello","")</f>
        <v/>
      </c>
      <c r="K118" s="24" t="n">
        <f aca="false">ESPERA_REC_H</f>
        <v>0.5</v>
      </c>
      <c r="L118" s="14" t="n">
        <f aca="false">IF(G118=0,0,E118/(G118*MIN_TURNO/60)*(C118/3600+K118))</f>
        <v>17.2322127209259</v>
      </c>
      <c r="M118" s="14" t="n">
        <f aca="false">IF(L118=0,0,ROUNDUP(L118/U_JAULA,0))</f>
        <v>1</v>
      </c>
      <c r="N118" s="22" t="n">
        <f aca="false">M118*M2_JAULA</f>
        <v>2.4</v>
      </c>
      <c r="Y118" s="1"/>
      <c r="Z118" s="1"/>
    </row>
    <row r="119" customFormat="false" ht="15.75" hidden="false" customHeight="true" outlineLevel="0" collapsed="false">
      <c r="A119" s="42" t="n">
        <v>16</v>
      </c>
      <c r="B119" s="12" t="s">
        <v>516</v>
      </c>
      <c r="C119" s="40" t="n">
        <v>120</v>
      </c>
      <c r="D119" s="14" t="n">
        <f aca="false" t="array" ref="D119:D119">SUMIFS(INDEX(Datos!$C$312:$N$541,0,MES),Datos!$A$312:$A$541,$B119,Datos!$B$312:$B$541,ANIO)</f>
        <v>9779.252072</v>
      </c>
      <c r="E119" s="22" t="n">
        <f aca="false">D119/DIAS</f>
        <v>488.9626036</v>
      </c>
      <c r="F119" s="42" t="n">
        <f aca="false" t="array" ref="F119:F119">INDEX(Datos!$B$252:$K$252,1,ANIO-2025)</f>
        <v>2</v>
      </c>
      <c r="G119" s="42" t="n">
        <f aca="false" t="array" ref="G119:G119">INDEX(Datos!$L$252:$U$252,1,ANIO-2025)</f>
        <v>2</v>
      </c>
      <c r="H119" s="44" t="n">
        <f aca="false">IF(F119*G119=0,0,D119*C119/3600/(HORAS_MES*F119*G119))</f>
        <v>0.543291781777778</v>
      </c>
      <c r="I119" s="44" t="n">
        <f aca="false" t="array" ref="I119:I119">IF(F119*G119=0,0,SUMIFS(INDEX(Datos!$C$312:$N$541,0,$N$10),Datos!$A$312:$A$541,$B119,Datos!$B$312:$B$541,ANIO)*C119/3600/(HORAS_MES*F119*G119))</f>
        <v>0.58489793</v>
      </c>
      <c r="J119" s="53" t="str">
        <f aca="false">IF(H119=MAX($H$104:$H$126),"◀ cuello","")</f>
        <v/>
      </c>
      <c r="K119" s="24" t="n">
        <f aca="false">ESPERA_REC_H</f>
        <v>0.5</v>
      </c>
      <c r="L119" s="14" t="n">
        <f aca="false">IF(G119=0,0,E119/(G119*MIN_TURNO/60)*(C119/3600+K119))</f>
        <v>17.3853370168889</v>
      </c>
      <c r="M119" s="14" t="n">
        <f aca="false">IF(L119=0,0,ROUNDUP(L119/U_JAULA,0))</f>
        <v>1</v>
      </c>
      <c r="N119" s="22" t="n">
        <f aca="false">M119*M2_JAULA</f>
        <v>2.4</v>
      </c>
      <c r="Y119" s="1"/>
      <c r="Z119" s="1"/>
    </row>
    <row r="120" customFormat="false" ht="15.75" hidden="false" customHeight="true" outlineLevel="0" collapsed="false">
      <c r="A120" s="42" t="n">
        <v>17</v>
      </c>
      <c r="B120" s="12" t="s">
        <v>517</v>
      </c>
      <c r="C120" s="40" t="n">
        <v>73</v>
      </c>
      <c r="D120" s="14" t="n">
        <f aca="false" t="array" ref="D120:D120">SUMIFS(INDEX(Datos!$C$312:$N$541,0,MES),Datos!$A$312:$A$541,$B120,Datos!$B$312:$B$541,ANIO)</f>
        <v>9779.252072</v>
      </c>
      <c r="E120" s="22" t="n">
        <f aca="false">D120/DIAS</f>
        <v>488.9626036</v>
      </c>
      <c r="F120" s="42" t="n">
        <f aca="false" t="array" ref="F120:F120">INDEX(Datos!$B$253:$K$253,1,ANIO-2025)</f>
        <v>1</v>
      </c>
      <c r="G120" s="42" t="n">
        <f aca="false" t="array" ref="G120:G120">INDEX(Datos!$L$253:$U$253,1,ANIO-2025)</f>
        <v>2</v>
      </c>
      <c r="H120" s="44" t="n">
        <f aca="false">IF(F120*G120=0,0,D120*C120/3600/(HORAS_MES*F120*G120))</f>
        <v>0.661005001162963</v>
      </c>
      <c r="I120" s="44" t="n">
        <f aca="false" t="array" ref="I120:I120">IF(F120*G120=0,0,SUMIFS(INDEX(Datos!$C$312:$N$541,0,$N$10),Datos!$A$312:$A$541,$B120,Datos!$B$312:$B$541,ANIO)*C120/3600/(HORAS_MES*F120*G120))</f>
        <v>0.711625814833333</v>
      </c>
      <c r="J120" s="53" t="str">
        <f aca="false">IF(H120=MAX($H$104:$H$126),"◀ cuello","")</f>
        <v/>
      </c>
      <c r="K120" s="24" t="n">
        <f aca="false">ESPERA_REC_H</f>
        <v>0.5</v>
      </c>
      <c r="L120" s="14" t="n">
        <f aca="false">IF(G120=0,0,E120/(G120*MIN_TURNO/60)*(C120/3600+K120))</f>
        <v>16.9597584544963</v>
      </c>
      <c r="M120" s="14" t="n">
        <f aca="false">IF(L120=0,0,ROUNDUP(L120/U_JAULA,0))</f>
        <v>1</v>
      </c>
      <c r="N120" s="22" t="n">
        <f aca="false">M120*M2_JAULA</f>
        <v>2.4</v>
      </c>
      <c r="Y120" s="1"/>
      <c r="Z120" s="1"/>
    </row>
    <row r="121" customFormat="false" ht="15.75" hidden="false" customHeight="true" outlineLevel="0" collapsed="false">
      <c r="A121" s="42" t="n">
        <v>18</v>
      </c>
      <c r="B121" s="12" t="s">
        <v>518</v>
      </c>
      <c r="C121" s="40" t="n">
        <v>170</v>
      </c>
      <c r="D121" s="14" t="n">
        <f aca="false" t="array" ref="D121:D121">SUMIFS(INDEX(Datos!$C$312:$N$541,0,MES),Datos!$A$312:$A$541,$B121,Datos!$B$312:$B$541,ANIO)</f>
        <v>608.3320771</v>
      </c>
      <c r="E121" s="22" t="n">
        <f aca="false">D121/DIAS</f>
        <v>30.416603855</v>
      </c>
      <c r="F121" s="42" t="n">
        <f aca="false" t="array" ref="F121:F121">INDEX(Datos!$B$254:$K$254,1,ANIO-2025)</f>
        <v>1</v>
      </c>
      <c r="G121" s="42" t="n">
        <f aca="false" t="array" ref="G121:G121">INDEX(Datos!$L$254:$U$254,1,ANIO-2025)</f>
        <v>1</v>
      </c>
      <c r="H121" s="44" t="n">
        <f aca="false">IF(F121*G121=0,0,D121*C121/3600/(HORAS_MES*F121*G121))</f>
        <v>0.191511950198148</v>
      </c>
      <c r="I121" s="44" t="n">
        <f aca="false" t="array" ref="I121:I121">IF(F121*G121=0,0,SUMIFS(INDEX(Datos!$C$312:$N$541,0,$N$10),Datos!$A$312:$A$541,$B121,Datos!$B$312:$B$541,ANIO)*C121/3600/(HORAS_MES*F121*G121))</f>
        <v>0.224120741094444</v>
      </c>
      <c r="J121" s="53" t="str">
        <f aca="false">IF(H121=MAX($H$104:$H$126),"◀ cuello","")</f>
        <v/>
      </c>
      <c r="K121" s="24" t="n">
        <f aca="false">ESPERA_REC_H</f>
        <v>0.5</v>
      </c>
      <c r="L121" s="14" t="n">
        <f aca="false">IF(G121=0,0,E121/(G121*MIN_TURNO/60)*(C121/3600+K121))</f>
        <v>2.21928554053148</v>
      </c>
      <c r="M121" s="14" t="n">
        <f aca="false">IF(L121=0,0,ROUNDUP(L121/U_JAULA,0))</f>
        <v>1</v>
      </c>
      <c r="N121" s="22" t="n">
        <f aca="false">M121*M2_JAULA</f>
        <v>2.4</v>
      </c>
      <c r="Y121" s="1"/>
      <c r="Z121" s="1"/>
    </row>
    <row r="122" customFormat="false" ht="15.75" hidden="false" customHeight="true" outlineLevel="0" collapsed="false">
      <c r="A122" s="42" t="n">
        <v>19</v>
      </c>
      <c r="B122" s="12" t="s">
        <v>519</v>
      </c>
      <c r="C122" s="40" t="n">
        <v>40</v>
      </c>
      <c r="D122" s="14" t="n">
        <f aca="false" t="array" ref="D122:D122">SUMIFS(INDEX(Datos!$C$312:$N$541,0,MES),Datos!$A$312:$A$541,$B122,Datos!$B$312:$B$541,ANIO)</f>
        <v>405.0279829</v>
      </c>
      <c r="E122" s="22" t="n">
        <f aca="false">D122/DIAS</f>
        <v>20.251399145</v>
      </c>
      <c r="F122" s="42" t="n">
        <f aca="false" t="array" ref="F122:F122">INDEX(Datos!$B$255:$K$255,1,ANIO-2025)</f>
        <v>1</v>
      </c>
      <c r="G122" s="42" t="n">
        <f aca="false" t="array" ref="G122:G122">INDEX(Datos!$L$255:$U$255,1,ANIO-2025)</f>
        <v>1</v>
      </c>
      <c r="H122" s="44" t="n">
        <f aca="false">IF(F122*G122=0,0,D122*C122/3600/(HORAS_MES*F122*G122))</f>
        <v>0.0300020728074074</v>
      </c>
      <c r="I122" s="44" t="n">
        <f aca="false" t="array" ref="I122:I122">IF(F122*G122=0,0,SUMIFS(INDEX(Datos!$C$312:$N$541,0,$N$10),Datos!$A$312:$A$541,$B122,Datos!$B$312:$B$541,ANIO)*C122/3600/(HORAS_MES*F122*G122))</f>
        <v>0.0373369254444444</v>
      </c>
      <c r="J122" s="53" t="str">
        <f aca="false">IF(H122=MAX($H$104:$H$126),"◀ cuello","")</f>
        <v/>
      </c>
      <c r="K122" s="24" t="n">
        <f aca="false">ESPERA_REC_H</f>
        <v>0.5</v>
      </c>
      <c r="L122" s="14" t="n">
        <f aca="false">IF(G122=0,0,E122/(G122*MIN_TURNO/60)*(C122/3600+K122))</f>
        <v>1.38009534914074</v>
      </c>
      <c r="M122" s="14" t="n">
        <f aca="false">IF(L122=0,0,ROUNDUP(L122/U_JAULA,0))</f>
        <v>1</v>
      </c>
      <c r="N122" s="22" t="n">
        <f aca="false">M122*M2_JAULA</f>
        <v>2.4</v>
      </c>
      <c r="Y122" s="1"/>
      <c r="Z122" s="1"/>
    </row>
    <row r="123" customFormat="false" ht="15.75" hidden="false" customHeight="true" outlineLevel="0" collapsed="false">
      <c r="A123" s="42" t="n">
        <v>20</v>
      </c>
      <c r="B123" s="12" t="s">
        <v>520</v>
      </c>
      <c r="C123" s="40" t="n">
        <v>80</v>
      </c>
      <c r="D123" s="14" t="n">
        <f aca="false" t="array" ref="D123:D123">SUMIFS(INDEX(Datos!$C$312:$N$541,0,MES),Datos!$A$312:$A$541,$B123,Datos!$B$312:$B$541,ANIO)</f>
        <v>10822.07538</v>
      </c>
      <c r="E123" s="22" t="n">
        <f aca="false">D123/DIAS</f>
        <v>541.103769</v>
      </c>
      <c r="F123" s="42" t="n">
        <f aca="false" t="array" ref="F123:F123">INDEX(Datos!$B$256:$K$256,1,ANIO-2025)</f>
        <v>2</v>
      </c>
      <c r="G123" s="42" t="n">
        <f aca="false" t="array" ref="G123:G123">INDEX(Datos!$L$256:$U$256,1,ANIO-2025)</f>
        <v>1</v>
      </c>
      <c r="H123" s="44" t="n">
        <f aca="false">IF(F123*G123=0,0,D123*C123/3600/(HORAS_MES*F123*G123))</f>
        <v>0.801635213333333</v>
      </c>
      <c r="I123" s="44" t="n">
        <f aca="false" t="array" ref="I123:I123">IF(F123*G123=0,0,SUMIFS(INDEX(Datos!$C$312:$N$541,0,$N$10),Datos!$A$312:$A$541,$B123,Datos!$B$312:$B$541,ANIO)*C123/3600/(HORAS_MES*F123*G123))</f>
        <v>0.872681806666667</v>
      </c>
      <c r="J123" s="53" t="str">
        <f aca="false">IF(H123=MAX($H$104:$H$126),"◀ cuello","")</f>
        <v>◀ cuello</v>
      </c>
      <c r="K123" s="24" t="n">
        <f aca="false">ESPERA_REC_H</f>
        <v>0.5</v>
      </c>
      <c r="L123" s="14" t="n">
        <f aca="false">IF(G123=0,0,E123/(G123*MIN_TURNO/60)*(C123/3600+K123))</f>
        <v>37.6768550266667</v>
      </c>
      <c r="M123" s="14" t="n">
        <f aca="false">IF(L123=0,0,ROUNDUP(L123/U_JAULA,0))</f>
        <v>2</v>
      </c>
      <c r="N123" s="22" t="n">
        <f aca="false">M123*M2_JAULA</f>
        <v>4.8</v>
      </c>
      <c r="Y123" s="1"/>
      <c r="Z123" s="1"/>
    </row>
    <row r="124" customFormat="false" ht="15.75" hidden="false" customHeight="true" outlineLevel="0" collapsed="false">
      <c r="A124" s="42" t="n">
        <v>21</v>
      </c>
      <c r="B124" s="12" t="s">
        <v>521</v>
      </c>
      <c r="C124" s="40" t="n">
        <v>86</v>
      </c>
      <c r="D124" s="14" t="n">
        <f aca="false" t="array" ref="D124:D124">SUMIFS(INDEX(Datos!$C$312:$N$541,0,MES),Datos!$A$312:$A$541,$B124,Datos!$B$312:$B$541,ANIO)</f>
        <v>10822.07538</v>
      </c>
      <c r="E124" s="22" t="n">
        <f aca="false">D124/DIAS</f>
        <v>541.103769</v>
      </c>
      <c r="F124" s="42" t="n">
        <f aca="false" t="array" ref="F124:F124">INDEX(Datos!$B$257:$K$257,1,ANIO-2025)</f>
        <v>2</v>
      </c>
      <c r="G124" s="42" t="n">
        <f aca="false" t="array" ref="G124:G124">INDEX(Datos!$L$257:$U$257,1,ANIO-2025)</f>
        <v>2</v>
      </c>
      <c r="H124" s="44" t="n">
        <f aca="false">IF(F124*G124=0,0,D124*C124/3600/(HORAS_MES*F124*G124))</f>
        <v>0.430878927166667</v>
      </c>
      <c r="I124" s="44" t="n">
        <f aca="false" t="array" ref="I124:I124">IF(F124*G124=0,0,SUMIFS(INDEX(Datos!$C$312:$N$541,0,$N$10),Datos!$A$312:$A$541,$B124,Datos!$B$312:$B$541,ANIO)*C124/3600/(HORAS_MES*F124*G124))</f>
        <v>0.469066471083333</v>
      </c>
      <c r="J124" s="53" t="str">
        <f aca="false">IF(H124=MAX($H$104:$H$126),"◀ cuello","")</f>
        <v/>
      </c>
      <c r="K124" s="24" t="n">
        <f aca="false">ESPERA_REC_H</f>
        <v>0.5</v>
      </c>
      <c r="L124" s="14" t="n">
        <f aca="false">IF(G124=0,0,E124/(G124*MIN_TURNO/60)*(C124/3600+K124))</f>
        <v>18.8985501543333</v>
      </c>
      <c r="M124" s="14" t="n">
        <f aca="false">IF(L124=0,0,ROUNDUP(L124/U_JAULA,0))</f>
        <v>1</v>
      </c>
      <c r="N124" s="22" t="n">
        <f aca="false">M124*M2_JAULA</f>
        <v>2.4</v>
      </c>
      <c r="Y124" s="1"/>
      <c r="Z124" s="1"/>
    </row>
    <row r="125" customFormat="false" ht="15.75" hidden="false" customHeight="true" outlineLevel="0" collapsed="false">
      <c r="A125" s="42" t="n">
        <v>22</v>
      </c>
      <c r="B125" s="12" t="s">
        <v>522</v>
      </c>
      <c r="C125" s="40" t="n">
        <v>390</v>
      </c>
      <c r="D125" s="14" t="n">
        <f aca="false" t="array" ref="D125:D125">SUMIFS(INDEX(Datos!$C$312:$N$541,0,MES),Datos!$A$312:$A$541,$B125,Datos!$B$312:$B$541,ANIO)</f>
        <v>855.944947</v>
      </c>
      <c r="E125" s="22" t="n">
        <f aca="false">D125/DIAS</f>
        <v>42.79724735</v>
      </c>
      <c r="F125" s="42" t="n">
        <f aca="false" t="array" ref="F125:F125">INDEX(Datos!$B$258:$K$258,1,ANIO-2025)</f>
        <v>1</v>
      </c>
      <c r="G125" s="42" t="n">
        <f aca="false" t="array" ref="G125:G125">INDEX(Datos!$L$258:$U$258,1,ANIO-2025)</f>
        <v>1</v>
      </c>
      <c r="H125" s="44" t="n">
        <f aca="false">IF(F125*G125=0,0,D125*C125/3600/(HORAS_MES*F125*G125))</f>
        <v>0.618182461722222</v>
      </c>
      <c r="I125" s="44" t="n">
        <f aca="false" t="array" ref="I125:I125">IF(F125*G125=0,0,SUMIFS(INDEX(Datos!$C$312:$N$541,0,$N$10),Datos!$A$312:$A$541,$B125,Datos!$B$312:$B$541,ANIO)*C125/3600/(HORAS_MES*F125*G125))</f>
        <v>0.6717650914</v>
      </c>
      <c r="J125" s="53" t="str">
        <f aca="false">IF(H125=MAX($H$104:$H$126),"◀ cuello","")</f>
        <v/>
      </c>
      <c r="K125" s="24" t="n">
        <f aca="false">ESPERA_REC_H</f>
        <v>0.5</v>
      </c>
      <c r="L125" s="14" t="n">
        <f aca="false">IF(G125=0,0,E125/(G125*MIN_TURNO/60)*(C125/3600+K125))</f>
        <v>3.47133228505556</v>
      </c>
      <c r="M125" s="14" t="n">
        <f aca="false">IF(L125=0,0,ROUNDUP(L125/U_JAULA,0))</f>
        <v>1</v>
      </c>
      <c r="N125" s="22" t="n">
        <f aca="false">M125*M2_JAULA</f>
        <v>2.4</v>
      </c>
      <c r="Y125" s="1"/>
      <c r="Z125" s="1"/>
    </row>
    <row r="126" customFormat="false" ht="15.75" hidden="false" customHeight="true" outlineLevel="0" collapsed="false">
      <c r="A126" s="42" t="n">
        <v>23</v>
      </c>
      <c r="B126" s="12" t="s">
        <v>523</v>
      </c>
      <c r="C126" s="40" t="n">
        <v>300</v>
      </c>
      <c r="D126" s="14" t="n">
        <f aca="false" t="array" ref="D126:D126">SUMIFS(INDEX(Datos!$C$312:$N$541,0,MES),Datos!$A$312:$A$541,$B126,Datos!$B$312:$B$541,ANIO)</f>
        <v>283.2153412</v>
      </c>
      <c r="E126" s="22" t="n">
        <f aca="false">D126/DIAS</f>
        <v>14.16076706</v>
      </c>
      <c r="F126" s="42" t="n">
        <f aca="false" t="array" ref="F126:F126">INDEX(Datos!$B$259:$K$259,1,ANIO-2025)</f>
        <v>1</v>
      </c>
      <c r="G126" s="42" t="n">
        <f aca="false" t="array" ref="G126:G126">INDEX(Datos!$L$259:$U$259,1,ANIO-2025)</f>
        <v>1</v>
      </c>
      <c r="H126" s="44" t="n">
        <f aca="false">IF(F126*G126=0,0,D126*C126/3600/(HORAS_MES*F126*G126))</f>
        <v>0.157341856222222</v>
      </c>
      <c r="I126" s="44" t="n">
        <f aca="false" t="array" ref="I126:I126">IF(F126*G126=0,0,SUMIFS(INDEX(Datos!$C$312:$N$541,0,$N$10),Datos!$A$312:$A$541,$B126,Datos!$B$312:$B$541,ANIO)*C126/3600/(HORAS_MES*F126*G126))</f>
        <v>0.178507895611111</v>
      </c>
      <c r="J126" s="53" t="str">
        <f aca="false">IF(H126=MAX($H$104:$H$126),"◀ cuello","")</f>
        <v/>
      </c>
      <c r="K126" s="24" t="n">
        <f aca="false">ESPERA_REC_H</f>
        <v>0.5</v>
      </c>
      <c r="L126" s="14" t="n">
        <f aca="false">IF(G126=0,0,E126/(G126*MIN_TURNO/60)*(C126/3600+K126))</f>
        <v>1.10139299355556</v>
      </c>
      <c r="M126" s="14" t="n">
        <f aca="false">IF(L126=0,0,ROUNDUP(L126/U_JAULA,0))</f>
        <v>1</v>
      </c>
      <c r="N126" s="22" t="n">
        <f aca="false">M126*M2_JAULA</f>
        <v>2.4</v>
      </c>
      <c r="Y126" s="1"/>
      <c r="Z126" s="1"/>
    </row>
    <row r="127" customFormat="false" ht="15.75" hidden="false" customHeight="true" outlineLevel="0" collapsed="false">
      <c r="B127" s="4" t="s">
        <v>524</v>
      </c>
      <c r="L127" s="43" t="n">
        <f aca="false">SUM(L104:L126)</f>
        <v>237.518288161015</v>
      </c>
      <c r="M127" s="43" t="n">
        <f aca="false">SUM(M104:M126)</f>
        <v>25</v>
      </c>
      <c r="N127" s="45" t="n">
        <f aca="false">SUM(N104:N126)</f>
        <v>60</v>
      </c>
      <c r="Y127" s="1"/>
      <c r="Z127" s="1"/>
    </row>
    <row r="128" customFormat="false" ht="15.75" hidden="false" customHeight="true" outlineLevel="0" collapsed="false">
      <c r="B128" s="12" t="s">
        <v>525</v>
      </c>
      <c r="C128" s="22" t="n">
        <f aca="false">DIAS_REC_RECEP</f>
        <v>0.5</v>
      </c>
      <c r="D128" s="27" t="s">
        <v>526</v>
      </c>
      <c r="E128" s="22" t="n">
        <f aca="false">E104</f>
        <v>541.103769</v>
      </c>
      <c r="L128" s="14" t="n">
        <f aca="false">C128*E128</f>
        <v>270.5518845</v>
      </c>
      <c r="M128" s="14" t="n">
        <f aca="false">ROUNDUP(L128/U_JAULA,0)</f>
        <v>10</v>
      </c>
      <c r="N128" s="22" t="n">
        <f aca="false">M128*M2_JAULA</f>
        <v>24</v>
      </c>
      <c r="Y128" s="1"/>
      <c r="Z128" s="1"/>
    </row>
    <row r="129" customFormat="false" ht="15.75" hidden="false" customHeight="true" outlineLevel="0" collapsed="false">
      <c r="B129" s="12" t="s">
        <v>527</v>
      </c>
      <c r="C129" s="22" t="n">
        <f aca="false">DIAS_REC_DESP</f>
        <v>0.5</v>
      </c>
      <c r="D129" s="27" t="s">
        <v>526</v>
      </c>
      <c r="E129" s="22" t="n">
        <f aca="false">E124</f>
        <v>541.103769</v>
      </c>
      <c r="L129" s="14" t="n">
        <f aca="false">C129*E129</f>
        <v>270.5518845</v>
      </c>
      <c r="M129" s="14" t="n">
        <f aca="false">ROUNDUP(L129/U_JAULA,0)</f>
        <v>10</v>
      </c>
      <c r="N129" s="22" t="n">
        <f aca="false">M129*M2_JAULA</f>
        <v>24</v>
      </c>
      <c r="Y129" s="1"/>
      <c r="Z129" s="1"/>
    </row>
    <row r="130" customFormat="false" ht="15.75" hidden="false" customHeight="true" outlineLevel="0" collapsed="false">
      <c r="B130" s="4" t="s">
        <v>528</v>
      </c>
      <c r="L130" s="23" t="n">
        <f aca="false">L127+L128+L129</f>
        <v>778.622057161015</v>
      </c>
      <c r="M130" s="23" t="n">
        <f aca="false">M127+M128+M129</f>
        <v>45</v>
      </c>
      <c r="N130" s="15" t="n">
        <f aca="false">N127+N128+N129</f>
        <v>108</v>
      </c>
      <c r="Y130" s="1"/>
      <c r="Z130" s="1"/>
    </row>
    <row r="131" customFormat="false" ht="15.75" hidden="false" customHeight="true" outlineLevel="0" collapsed="false">
      <c r="A131" s="25" t="s">
        <v>529</v>
      </c>
      <c r="Y131" s="1"/>
      <c r="Z131" s="1"/>
    </row>
    <row r="132" customFormat="false" ht="15.75" hidden="false" customHeight="true" outlineLevel="0" collapsed="false">
      <c r="Y132" s="1"/>
      <c r="Z132" s="1"/>
    </row>
    <row r="133" customFormat="false" ht="15.75" hidden="false" customHeight="true" outlineLevel="0" collapsed="false">
      <c r="Y133" s="1"/>
      <c r="Z133" s="1"/>
    </row>
    <row r="134" customFormat="false" ht="15.75" hidden="false" customHeight="true" outlineLevel="0" collapsed="false">
      <c r="Y134" s="1"/>
      <c r="Z134" s="1"/>
    </row>
    <row r="135" customFormat="false" ht="15.75" hidden="false" customHeight="true" outlineLevel="0" collapsed="false">
      <c r="Y135" s="1"/>
      <c r="Z135" s="1"/>
    </row>
    <row r="136" customFormat="false" ht="15.75" hidden="false" customHeight="true" outlineLevel="0" collapsed="false">
      <c r="Y136" s="1"/>
      <c r="Z136" s="1"/>
    </row>
    <row r="137" customFormat="false" ht="15.75" hidden="false" customHeight="true" outlineLevel="0" collapsed="false">
      <c r="Y137" s="1"/>
      <c r="Z137" s="1"/>
    </row>
    <row r="138" customFormat="false" ht="15.75" hidden="false" customHeight="true" outlineLevel="0" collapsed="false">
      <c r="Y138" s="1"/>
      <c r="Z138" s="1"/>
    </row>
    <row r="139" customFormat="false" ht="15.75" hidden="false" customHeight="true" outlineLevel="0" collapsed="false">
      <c r="Y139" s="1"/>
      <c r="Z139" s="1"/>
    </row>
    <row r="140" customFormat="false" ht="15.75" hidden="false" customHeight="true" outlineLevel="0" collapsed="false">
      <c r="Y140" s="1"/>
      <c r="Z140" s="1"/>
    </row>
    <row r="141" customFormat="false" ht="15.75" hidden="false" customHeight="true" outlineLevel="0" collapsed="false">
      <c r="Y141" s="1"/>
      <c r="Z141" s="1"/>
    </row>
    <row r="142" customFormat="false" ht="15.75" hidden="false" customHeight="true" outlineLevel="0" collapsed="false">
      <c r="Y142" s="1"/>
      <c r="Z142" s="1"/>
    </row>
    <row r="143" customFormat="false" ht="15.75" hidden="false" customHeight="true" outlineLevel="0" collapsed="false">
      <c r="Y143" s="1"/>
      <c r="Z143" s="1"/>
    </row>
    <row r="144" customFormat="false" ht="15.75" hidden="false" customHeight="true" outlineLevel="0" collapsed="false">
      <c r="Y144" s="1"/>
      <c r="Z144" s="1"/>
    </row>
    <row r="145" customFormat="false" ht="15.75" hidden="false" customHeight="true" outlineLevel="0" collapsed="false">
      <c r="Y145" s="1"/>
      <c r="Z145" s="1"/>
    </row>
    <row r="146" customFormat="false" ht="15.75" hidden="false" customHeight="true" outlineLevel="0" collapsed="false">
      <c r="Y146" s="1"/>
      <c r="Z146" s="1"/>
    </row>
    <row r="147" customFormat="false" ht="15.75" hidden="false" customHeight="true" outlineLevel="0" collapsed="false">
      <c r="Y147" s="1"/>
      <c r="Z147" s="1"/>
    </row>
    <row r="148" customFormat="false" ht="15.75" hidden="false" customHeight="true" outlineLevel="0" collapsed="false">
      <c r="Y148" s="1"/>
      <c r="Z148" s="1"/>
    </row>
    <row r="149" customFormat="false" ht="15.75" hidden="false" customHeight="true" outlineLevel="0" collapsed="false">
      <c r="Y149" s="1"/>
      <c r="Z149" s="1"/>
    </row>
    <row r="150" customFormat="false" ht="15.75" hidden="false" customHeight="true" outlineLevel="0" collapsed="false">
      <c r="Y150" s="1"/>
      <c r="Z150" s="1"/>
    </row>
    <row r="151" customFormat="false" ht="15.75" hidden="false" customHeight="true" outlineLevel="0" collapsed="false">
      <c r="Y151" s="1"/>
      <c r="Z151" s="1"/>
    </row>
    <row r="152" customFormat="false" ht="15.75" hidden="false" customHeight="true" outlineLevel="0" collapsed="false">
      <c r="Y152" s="1"/>
      <c r="Z152" s="1"/>
    </row>
    <row r="153" customFormat="false" ht="15.75" hidden="false" customHeight="true" outlineLevel="0" collapsed="false">
      <c r="Y153" s="1"/>
      <c r="Z153" s="1"/>
    </row>
    <row r="154" customFormat="false" ht="15.75" hidden="false" customHeight="true" outlineLevel="0" collapsed="false">
      <c r="Y154" s="1"/>
      <c r="Z154" s="1"/>
    </row>
    <row r="155" customFormat="false" ht="15.75" hidden="false" customHeight="true" outlineLevel="0" collapsed="false">
      <c r="Y155" s="1"/>
      <c r="Z155" s="1"/>
    </row>
    <row r="156" customFormat="false" ht="15.75" hidden="false" customHeight="true" outlineLevel="0" collapsed="false">
      <c r="Y156" s="1"/>
      <c r="Z156" s="1"/>
    </row>
    <row r="157" customFormat="false" ht="15.75" hidden="false" customHeight="true" outlineLevel="0" collapsed="false">
      <c r="Y157" s="1"/>
      <c r="Z157" s="1"/>
    </row>
    <row r="158" customFormat="false" ht="15.75" hidden="false" customHeight="true" outlineLevel="0" collapsed="false">
      <c r="Y158" s="1"/>
      <c r="Z158" s="1"/>
    </row>
    <row r="159" customFormat="false" ht="15.75" hidden="false" customHeight="true" outlineLevel="0" collapsed="false">
      <c r="Y159" s="1"/>
      <c r="Z159" s="1"/>
    </row>
    <row r="160" customFormat="false" ht="15.75" hidden="false" customHeight="true" outlineLevel="0" collapsed="false">
      <c r="Y160" s="1"/>
      <c r="Z160" s="1"/>
    </row>
    <row r="161" customFormat="false" ht="15.75" hidden="false" customHeight="true" outlineLevel="0" collapsed="false">
      <c r="Y161" s="1"/>
      <c r="Z161" s="1"/>
    </row>
    <row r="162" customFormat="false" ht="15.75" hidden="false" customHeight="true" outlineLevel="0" collapsed="false">
      <c r="Y162" s="1"/>
      <c r="Z162" s="1"/>
    </row>
    <row r="163" customFormat="false" ht="15.75" hidden="false" customHeight="true" outlineLevel="0" collapsed="false">
      <c r="Y163" s="1"/>
      <c r="Z163" s="1"/>
    </row>
    <row r="164" customFormat="false" ht="15.75" hidden="false" customHeight="true" outlineLevel="0" collapsed="false">
      <c r="Y164" s="1"/>
      <c r="Z164" s="1"/>
    </row>
    <row r="165" customFormat="false" ht="15.75" hidden="false" customHeight="true" outlineLevel="0" collapsed="false">
      <c r="Y165" s="1"/>
      <c r="Z165" s="1"/>
    </row>
    <row r="166" customFormat="false" ht="15.75" hidden="false" customHeight="true" outlineLevel="0" collapsed="false">
      <c r="Y166" s="1"/>
      <c r="Z166" s="1"/>
    </row>
    <row r="167" customFormat="false" ht="15.75" hidden="false" customHeight="true" outlineLevel="0" collapsed="false">
      <c r="Y167" s="1"/>
      <c r="Z167" s="1"/>
    </row>
    <row r="168" customFormat="false" ht="15.75" hidden="false" customHeight="true" outlineLevel="0" collapsed="false">
      <c r="Y168" s="1"/>
      <c r="Z168" s="1"/>
    </row>
    <row r="169" customFormat="false" ht="15.75" hidden="false" customHeight="true" outlineLevel="0" collapsed="false">
      <c r="Y169" s="1"/>
      <c r="Z169" s="1"/>
    </row>
    <row r="170" customFormat="false" ht="15.75" hidden="false" customHeight="true" outlineLevel="0" collapsed="false">
      <c r="Y170" s="1"/>
      <c r="Z170" s="1"/>
    </row>
    <row r="171" customFormat="false" ht="15.75" hidden="false" customHeight="true" outlineLevel="0" collapsed="false">
      <c r="Y171" s="1"/>
      <c r="Z171" s="1"/>
    </row>
    <row r="172" customFormat="false" ht="15.75" hidden="false" customHeight="true" outlineLevel="0" collapsed="false">
      <c r="Y172" s="1"/>
      <c r="Z172" s="1"/>
    </row>
    <row r="173" customFormat="false" ht="15.75" hidden="false" customHeight="true" outlineLevel="0" collapsed="false">
      <c r="Y173" s="1"/>
      <c r="Z173" s="1"/>
    </row>
    <row r="174" customFormat="false" ht="15.75" hidden="false" customHeight="true" outlineLevel="0" collapsed="false">
      <c r="Y174" s="1"/>
      <c r="Z174" s="1"/>
    </row>
    <row r="175" customFormat="false" ht="15.75" hidden="false" customHeight="true" outlineLevel="0" collapsed="false">
      <c r="Y175" s="1"/>
      <c r="Z175" s="1"/>
    </row>
    <row r="176" customFormat="false" ht="15.75" hidden="false" customHeight="true" outlineLevel="0" collapsed="false">
      <c r="Y176" s="1"/>
      <c r="Z176" s="1"/>
    </row>
    <row r="177" customFormat="false" ht="15.75" hidden="false" customHeight="true" outlineLevel="0" collapsed="false">
      <c r="Y177" s="1"/>
      <c r="Z177" s="1"/>
    </row>
    <row r="178" customFormat="false" ht="15.75" hidden="false" customHeight="true" outlineLevel="0" collapsed="false">
      <c r="Y178" s="1"/>
      <c r="Z178" s="1"/>
    </row>
    <row r="179" customFormat="false" ht="15.75" hidden="false" customHeight="true" outlineLevel="0" collapsed="false">
      <c r="Y179" s="1"/>
      <c r="Z179" s="1"/>
    </row>
    <row r="180" customFormat="false" ht="15.75" hidden="false" customHeight="true" outlineLevel="0" collapsed="false">
      <c r="Y180" s="1"/>
      <c r="Z180" s="1"/>
    </row>
    <row r="181" customFormat="false" ht="15.75" hidden="false" customHeight="true" outlineLevel="0" collapsed="false">
      <c r="Y181" s="1"/>
      <c r="Z181" s="1"/>
    </row>
    <row r="182" customFormat="false" ht="15.75" hidden="false" customHeight="true" outlineLevel="0" collapsed="false">
      <c r="Y182" s="1"/>
      <c r="Z182" s="1"/>
    </row>
    <row r="183" customFormat="false" ht="15.75" hidden="false" customHeight="true" outlineLevel="0" collapsed="false">
      <c r="Y183" s="1"/>
      <c r="Z183" s="1"/>
    </row>
    <row r="184" customFormat="false" ht="15.75" hidden="false" customHeight="true" outlineLevel="0" collapsed="false">
      <c r="Y184" s="1"/>
      <c r="Z184" s="1"/>
    </row>
    <row r="185" customFormat="false" ht="15.75" hidden="false" customHeight="true" outlineLevel="0" collapsed="false">
      <c r="Y185" s="1"/>
      <c r="Z185" s="1"/>
    </row>
    <row r="186" customFormat="false" ht="15.75" hidden="false" customHeight="true" outlineLevel="0" collapsed="false">
      <c r="Y186" s="1"/>
      <c r="Z186" s="1"/>
    </row>
    <row r="187" customFormat="false" ht="15.75" hidden="false" customHeight="true" outlineLevel="0" collapsed="false">
      <c r="Y187" s="1"/>
      <c r="Z187" s="1"/>
    </row>
    <row r="188" customFormat="false" ht="15.75" hidden="false" customHeight="true" outlineLevel="0" collapsed="false">
      <c r="Y188" s="1"/>
      <c r="Z188" s="1"/>
    </row>
    <row r="189" customFormat="false" ht="15.75" hidden="false" customHeight="true" outlineLevel="0" collapsed="false">
      <c r="Y189" s="1"/>
      <c r="Z189" s="1"/>
    </row>
    <row r="190" customFormat="false" ht="15.75" hidden="false" customHeight="true" outlineLevel="0" collapsed="false">
      <c r="Y190" s="1"/>
      <c r="Z190" s="1"/>
    </row>
    <row r="191" customFormat="false" ht="15.75" hidden="false" customHeight="true" outlineLevel="0" collapsed="false">
      <c r="Y191" s="1"/>
      <c r="Z191" s="1"/>
    </row>
    <row r="192" customFormat="false" ht="15.75" hidden="false" customHeight="true" outlineLevel="0" collapsed="false">
      <c r="Y192" s="1"/>
      <c r="Z192" s="1"/>
    </row>
    <row r="193" customFormat="false" ht="15.75" hidden="false" customHeight="true" outlineLevel="0" collapsed="false">
      <c r="Y193" s="1"/>
      <c r="Z193" s="1"/>
    </row>
    <row r="194" customFormat="false" ht="15.75" hidden="false" customHeight="true" outlineLevel="0" collapsed="false">
      <c r="Y194" s="1"/>
      <c r="Z194" s="1"/>
    </row>
    <row r="195" customFormat="false" ht="15.75" hidden="false" customHeight="true" outlineLevel="0" collapsed="false">
      <c r="Y195" s="1"/>
      <c r="Z195" s="1"/>
    </row>
    <row r="196" customFormat="false" ht="15.75" hidden="false" customHeight="true" outlineLevel="0" collapsed="false">
      <c r="Y196" s="1"/>
      <c r="Z196" s="1"/>
    </row>
    <row r="197" customFormat="false" ht="15.75" hidden="false" customHeight="true" outlineLevel="0" collapsed="false">
      <c r="Y197" s="1"/>
      <c r="Z197" s="1"/>
    </row>
    <row r="198" customFormat="false" ht="15.75" hidden="false" customHeight="true" outlineLevel="0" collapsed="false">
      <c r="Y198" s="1"/>
      <c r="Z198" s="1"/>
    </row>
    <row r="199" customFormat="false" ht="15.75" hidden="false" customHeight="true" outlineLevel="0" collapsed="false">
      <c r="Y199" s="1"/>
      <c r="Z199" s="1"/>
    </row>
    <row r="200" customFormat="false" ht="15.75" hidden="false" customHeight="true" outlineLevel="0" collapsed="false">
      <c r="Y200" s="1"/>
      <c r="Z200" s="1"/>
    </row>
    <row r="201" customFormat="false" ht="15.75" hidden="false" customHeight="true" outlineLevel="0" collapsed="false">
      <c r="Y201" s="1"/>
      <c r="Z201" s="1"/>
    </row>
    <row r="202" customFormat="false" ht="15.75" hidden="false" customHeight="true" outlineLevel="0" collapsed="false">
      <c r="Y202" s="1"/>
      <c r="Z202" s="1"/>
    </row>
    <row r="203" customFormat="false" ht="15.75" hidden="false" customHeight="true" outlineLevel="0" collapsed="false">
      <c r="Y203" s="1"/>
      <c r="Z203" s="1"/>
    </row>
    <row r="204" customFormat="false" ht="15.75" hidden="false" customHeight="true" outlineLevel="0" collapsed="false">
      <c r="Y204" s="1"/>
      <c r="Z204" s="1"/>
    </row>
    <row r="205" customFormat="false" ht="15.75" hidden="false" customHeight="true" outlineLevel="0" collapsed="false">
      <c r="Y205" s="1"/>
      <c r="Z205" s="1"/>
    </row>
    <row r="206" customFormat="false" ht="15.75" hidden="false" customHeight="true" outlineLevel="0" collapsed="false">
      <c r="Y206" s="1"/>
      <c r="Z206" s="1"/>
    </row>
    <row r="207" customFormat="false" ht="15.75" hidden="false" customHeight="true" outlineLevel="0" collapsed="false">
      <c r="Y207" s="1"/>
      <c r="Z207" s="1"/>
    </row>
    <row r="208" customFormat="false" ht="15.75" hidden="false" customHeight="true" outlineLevel="0" collapsed="false">
      <c r="Y208" s="1"/>
      <c r="Z208" s="1"/>
    </row>
    <row r="209" customFormat="false" ht="15.75" hidden="false" customHeight="true" outlineLevel="0" collapsed="false">
      <c r="Y209" s="1"/>
      <c r="Z209" s="1"/>
    </row>
    <row r="210" customFormat="false" ht="15.75" hidden="false" customHeight="true" outlineLevel="0" collapsed="false">
      <c r="Y210" s="1"/>
      <c r="Z210" s="1"/>
    </row>
    <row r="211" customFormat="false" ht="15.75" hidden="false" customHeight="true" outlineLevel="0" collapsed="false">
      <c r="Y211" s="1"/>
      <c r="Z211" s="1"/>
    </row>
    <row r="212" customFormat="false" ht="15.75" hidden="false" customHeight="true" outlineLevel="0" collapsed="false">
      <c r="Y212" s="1"/>
      <c r="Z212" s="1"/>
    </row>
    <row r="213" customFormat="false" ht="15.75" hidden="false" customHeight="true" outlineLevel="0" collapsed="false">
      <c r="Y213" s="1"/>
      <c r="Z213" s="1"/>
    </row>
    <row r="214" customFormat="false" ht="15.75" hidden="false" customHeight="true" outlineLevel="0" collapsed="false">
      <c r="Y214" s="1"/>
      <c r="Z214" s="1"/>
    </row>
    <row r="215" customFormat="false" ht="15.75" hidden="false" customHeight="true" outlineLevel="0" collapsed="false">
      <c r="Y215" s="1"/>
      <c r="Z215" s="1"/>
    </row>
    <row r="216" customFormat="false" ht="15.75" hidden="false" customHeight="true" outlineLevel="0" collapsed="false">
      <c r="Y216" s="1"/>
      <c r="Z216" s="1"/>
    </row>
    <row r="217" customFormat="false" ht="15.75" hidden="false" customHeight="true" outlineLevel="0" collapsed="false">
      <c r="Y217" s="1"/>
      <c r="Z217" s="1"/>
    </row>
    <row r="218" customFormat="false" ht="15.75" hidden="false" customHeight="true" outlineLevel="0" collapsed="false">
      <c r="Y218" s="1"/>
      <c r="Z218" s="1"/>
    </row>
    <row r="219" customFormat="false" ht="15.75" hidden="false" customHeight="true" outlineLevel="0" collapsed="false">
      <c r="Y219" s="1"/>
      <c r="Z219" s="1"/>
    </row>
    <row r="220" customFormat="false" ht="15.75" hidden="false" customHeight="true" outlineLevel="0" collapsed="false">
      <c r="Y220" s="1"/>
      <c r="Z220" s="1"/>
    </row>
    <row r="221" customFormat="false" ht="15.75" hidden="false" customHeight="true" outlineLevel="0" collapsed="false">
      <c r="Y221" s="1"/>
      <c r="Z221" s="1"/>
    </row>
    <row r="222" customFormat="false" ht="15.75" hidden="false" customHeight="true" outlineLevel="0" collapsed="false">
      <c r="Y222" s="1"/>
      <c r="Z222" s="1"/>
    </row>
    <row r="223" customFormat="false" ht="15.75" hidden="false" customHeight="true" outlineLevel="0" collapsed="false">
      <c r="Y223" s="1"/>
      <c r="Z223" s="1"/>
    </row>
    <row r="224" customFormat="false" ht="15.75" hidden="false" customHeight="true" outlineLevel="0" collapsed="false">
      <c r="Y224" s="1"/>
      <c r="Z224" s="1"/>
    </row>
    <row r="225" customFormat="false" ht="15.75" hidden="false" customHeight="true" outlineLevel="0" collapsed="false">
      <c r="Y225" s="1"/>
      <c r="Z225" s="1"/>
    </row>
    <row r="226" customFormat="false" ht="15.75" hidden="false" customHeight="true" outlineLevel="0" collapsed="false">
      <c r="Y226" s="1"/>
      <c r="Z226" s="1"/>
    </row>
    <row r="227" customFormat="false" ht="15.75" hidden="false" customHeight="true" outlineLevel="0" collapsed="false">
      <c r="Y227" s="1"/>
      <c r="Z227" s="1"/>
    </row>
    <row r="228" customFormat="false" ht="15.75" hidden="false" customHeight="true" outlineLevel="0" collapsed="false">
      <c r="Y228" s="1"/>
      <c r="Z228" s="1"/>
    </row>
    <row r="229" customFormat="false" ht="15.75" hidden="false" customHeight="true" outlineLevel="0" collapsed="false">
      <c r="Y229" s="1"/>
      <c r="Z229" s="1"/>
    </row>
    <row r="230" customFormat="false" ht="15.75" hidden="false" customHeight="true" outlineLevel="0" collapsed="false">
      <c r="Y230" s="1"/>
      <c r="Z230" s="1"/>
    </row>
    <row r="231" customFormat="false" ht="15.75" hidden="false" customHeight="true" outlineLevel="0" collapsed="false">
      <c r="Y231" s="1"/>
      <c r="Z231" s="1"/>
    </row>
    <row r="232" customFormat="false" ht="15.75" hidden="false" customHeight="true" outlineLevel="0" collapsed="false">
      <c r="Y232" s="1"/>
      <c r="Z232" s="1"/>
    </row>
    <row r="233" customFormat="false" ht="15.75" hidden="false" customHeight="true" outlineLevel="0" collapsed="false">
      <c r="Y233" s="1"/>
      <c r="Z233" s="1"/>
    </row>
    <row r="234" customFormat="false" ht="15.75" hidden="false" customHeight="true" outlineLevel="0" collapsed="false">
      <c r="Y234" s="1"/>
      <c r="Z234" s="1"/>
    </row>
    <row r="235" customFormat="false" ht="15.75" hidden="false" customHeight="true" outlineLevel="0" collapsed="false">
      <c r="Y235" s="1"/>
      <c r="Z235" s="1"/>
    </row>
    <row r="236" customFormat="false" ht="15.75" hidden="false" customHeight="true" outlineLevel="0" collapsed="false">
      <c r="Y236" s="1"/>
      <c r="Z236" s="1"/>
    </row>
    <row r="237" customFormat="false" ht="15.75" hidden="false" customHeight="true" outlineLevel="0" collapsed="false">
      <c r="Y237" s="1"/>
      <c r="Z237" s="1"/>
    </row>
    <row r="238" customFormat="false" ht="15.75" hidden="false" customHeight="true" outlineLevel="0" collapsed="false">
      <c r="Y238" s="1"/>
      <c r="Z238" s="1"/>
    </row>
    <row r="239" customFormat="false" ht="15.75" hidden="false" customHeight="true" outlineLevel="0" collapsed="false">
      <c r="Y239" s="1"/>
      <c r="Z239" s="1"/>
    </row>
    <row r="240" customFormat="false" ht="15.75" hidden="false" customHeight="true" outlineLevel="0" collapsed="false">
      <c r="Y240" s="1"/>
      <c r="Z240" s="1"/>
    </row>
    <row r="241" customFormat="false" ht="15.75" hidden="false" customHeight="true" outlineLevel="0" collapsed="false">
      <c r="Y241" s="1"/>
      <c r="Z241" s="1"/>
    </row>
    <row r="242" customFormat="false" ht="15.75" hidden="false" customHeight="true" outlineLevel="0" collapsed="false">
      <c r="Y242" s="1"/>
      <c r="Z242" s="1"/>
    </row>
    <row r="243" customFormat="false" ht="15.75" hidden="false" customHeight="true" outlineLevel="0" collapsed="false">
      <c r="Y243" s="1"/>
      <c r="Z243" s="1"/>
    </row>
    <row r="244" customFormat="false" ht="15.75" hidden="false" customHeight="true" outlineLevel="0" collapsed="false">
      <c r="Y244" s="1"/>
      <c r="Z244" s="1"/>
    </row>
    <row r="245" customFormat="false" ht="15.75" hidden="false" customHeight="true" outlineLevel="0" collapsed="false">
      <c r="Y245" s="1"/>
      <c r="Z245" s="1"/>
    </row>
    <row r="246" customFormat="false" ht="15.75" hidden="false" customHeight="true" outlineLevel="0" collapsed="false">
      <c r="Y246" s="1"/>
      <c r="Z246" s="1"/>
    </row>
    <row r="247" customFormat="false" ht="15.75" hidden="false" customHeight="true" outlineLevel="0" collapsed="false">
      <c r="Y247" s="1"/>
      <c r="Z247" s="1"/>
    </row>
    <row r="248" customFormat="false" ht="15.75" hidden="false" customHeight="true" outlineLevel="0" collapsed="false">
      <c r="Y248" s="1"/>
      <c r="Z248" s="1"/>
    </row>
    <row r="249" customFormat="false" ht="15.75" hidden="false" customHeight="true" outlineLevel="0" collapsed="false">
      <c r="Y249" s="1"/>
      <c r="Z249" s="1"/>
    </row>
    <row r="250" customFormat="false" ht="15.75" hidden="false" customHeight="true" outlineLevel="0" collapsed="false">
      <c r="Y250" s="1"/>
      <c r="Z250" s="1"/>
    </row>
    <row r="251" customFormat="false" ht="15.75" hidden="false" customHeight="true" outlineLevel="0" collapsed="false">
      <c r="Y251" s="1"/>
      <c r="Z251" s="1"/>
    </row>
    <row r="252" customFormat="false" ht="15.75" hidden="false" customHeight="true" outlineLevel="0" collapsed="false">
      <c r="Y252" s="1"/>
      <c r="Z252" s="1"/>
    </row>
    <row r="253" customFormat="false" ht="15.75" hidden="false" customHeight="true" outlineLevel="0" collapsed="false">
      <c r="Y253" s="1"/>
      <c r="Z253" s="1"/>
    </row>
    <row r="254" customFormat="false" ht="15.75" hidden="false" customHeight="true" outlineLevel="0" collapsed="false">
      <c r="Y254" s="1"/>
      <c r="Z254" s="1"/>
    </row>
    <row r="255" customFormat="false" ht="15.75" hidden="false" customHeight="true" outlineLevel="0" collapsed="false">
      <c r="Y255" s="1"/>
      <c r="Z255" s="1"/>
    </row>
    <row r="256" customFormat="false" ht="15.75" hidden="false" customHeight="true" outlineLevel="0" collapsed="false">
      <c r="Y256" s="1"/>
      <c r="Z256" s="1"/>
    </row>
    <row r="257" customFormat="false" ht="15.75" hidden="false" customHeight="true" outlineLevel="0" collapsed="false">
      <c r="Y257" s="1"/>
      <c r="Z257" s="1"/>
    </row>
    <row r="258" customFormat="false" ht="15.75" hidden="false" customHeight="true" outlineLevel="0" collapsed="false">
      <c r="Y258" s="1"/>
      <c r="Z258" s="1"/>
    </row>
    <row r="259" customFormat="false" ht="15.75" hidden="false" customHeight="true" outlineLevel="0" collapsed="false">
      <c r="Y259" s="1"/>
      <c r="Z259" s="1"/>
    </row>
    <row r="260" customFormat="false" ht="15.75" hidden="false" customHeight="true" outlineLevel="0" collapsed="false">
      <c r="Y260" s="1"/>
      <c r="Z260" s="1"/>
    </row>
    <row r="261" customFormat="false" ht="15.75" hidden="false" customHeight="true" outlineLevel="0" collapsed="false">
      <c r="Y261" s="1"/>
      <c r="Z261" s="1"/>
    </row>
    <row r="262" customFormat="false" ht="15.75" hidden="false" customHeight="true" outlineLevel="0" collapsed="false">
      <c r="Y262" s="1"/>
      <c r="Z262" s="1"/>
    </row>
    <row r="263" customFormat="false" ht="15.75" hidden="false" customHeight="true" outlineLevel="0" collapsed="false">
      <c r="Y263" s="1"/>
      <c r="Z263" s="1"/>
    </row>
    <row r="264" customFormat="false" ht="15.75" hidden="false" customHeight="true" outlineLevel="0" collapsed="false">
      <c r="Y264" s="1"/>
      <c r="Z264" s="1"/>
    </row>
    <row r="265" customFormat="false" ht="15.75" hidden="false" customHeight="true" outlineLevel="0" collapsed="false">
      <c r="Y265" s="1"/>
      <c r="Z265" s="1"/>
    </row>
    <row r="266" customFormat="false" ht="15.75" hidden="false" customHeight="true" outlineLevel="0" collapsed="false">
      <c r="Y266" s="1"/>
      <c r="Z266" s="1"/>
    </row>
    <row r="267" customFormat="false" ht="15.75" hidden="false" customHeight="true" outlineLevel="0" collapsed="false">
      <c r="Y267" s="1"/>
      <c r="Z267" s="1"/>
    </row>
    <row r="268" customFormat="false" ht="15.75" hidden="false" customHeight="true" outlineLevel="0" collapsed="false">
      <c r="Y268" s="1"/>
      <c r="Z268" s="1"/>
    </row>
    <row r="269" customFormat="false" ht="15.75" hidden="false" customHeight="true" outlineLevel="0" collapsed="false">
      <c r="Y269" s="1"/>
      <c r="Z269" s="1"/>
    </row>
    <row r="270" customFormat="false" ht="15.75" hidden="false" customHeight="true" outlineLevel="0" collapsed="false">
      <c r="Y270" s="1"/>
      <c r="Z270" s="1"/>
    </row>
    <row r="271" customFormat="false" ht="15.75" hidden="false" customHeight="true" outlineLevel="0" collapsed="false">
      <c r="Y271" s="1"/>
      <c r="Z271" s="1"/>
    </row>
    <row r="272" customFormat="false" ht="15.75" hidden="false" customHeight="true" outlineLevel="0" collapsed="false">
      <c r="Y272" s="1"/>
      <c r="Z272" s="1"/>
    </row>
    <row r="273" customFormat="false" ht="15.75" hidden="false" customHeight="true" outlineLevel="0" collapsed="false">
      <c r="Y273" s="1"/>
      <c r="Z273" s="1"/>
    </row>
    <row r="274" customFormat="false" ht="15.75" hidden="false" customHeight="true" outlineLevel="0" collapsed="false">
      <c r="Y274" s="1"/>
      <c r="Z274" s="1"/>
    </row>
    <row r="275" customFormat="false" ht="15.75" hidden="false" customHeight="true" outlineLevel="0" collapsed="false">
      <c r="Y275" s="1"/>
      <c r="Z275" s="1"/>
    </row>
    <row r="276" customFormat="false" ht="15.75" hidden="false" customHeight="true" outlineLevel="0" collapsed="false">
      <c r="Y276" s="1"/>
      <c r="Z276" s="1"/>
    </row>
    <row r="277" customFormat="false" ht="15.75" hidden="false" customHeight="true" outlineLevel="0" collapsed="false">
      <c r="Y277" s="1"/>
      <c r="Z277" s="1"/>
    </row>
    <row r="278" customFormat="false" ht="15.75" hidden="false" customHeight="true" outlineLevel="0" collapsed="false">
      <c r="Y278" s="1"/>
      <c r="Z278" s="1"/>
    </row>
    <row r="279" customFormat="false" ht="15.75" hidden="false" customHeight="true" outlineLevel="0" collapsed="false">
      <c r="Y279" s="1"/>
      <c r="Z279" s="1"/>
    </row>
    <row r="280" customFormat="false" ht="15.75" hidden="false" customHeight="true" outlineLevel="0" collapsed="false">
      <c r="Y280" s="1"/>
      <c r="Z280" s="1"/>
    </row>
    <row r="281" customFormat="false" ht="15.75" hidden="false" customHeight="true" outlineLevel="0" collapsed="false">
      <c r="Y281" s="1"/>
      <c r="Z281" s="1"/>
    </row>
    <row r="282" customFormat="false" ht="15.75" hidden="false" customHeight="true" outlineLevel="0" collapsed="false">
      <c r="Y282" s="1"/>
      <c r="Z282" s="1"/>
    </row>
    <row r="283" customFormat="false" ht="15.75" hidden="false" customHeight="true" outlineLevel="0" collapsed="false">
      <c r="Y283" s="1"/>
      <c r="Z283" s="1"/>
    </row>
    <row r="284" customFormat="false" ht="15.75" hidden="false" customHeight="true" outlineLevel="0" collapsed="false">
      <c r="Y284" s="1"/>
      <c r="Z284" s="1"/>
    </row>
    <row r="285" customFormat="false" ht="15.75" hidden="false" customHeight="true" outlineLevel="0" collapsed="false">
      <c r="Y285" s="1"/>
      <c r="Z285" s="1"/>
    </row>
    <row r="286" customFormat="false" ht="15.75" hidden="false" customHeight="true" outlineLevel="0" collapsed="false">
      <c r="Y286" s="1"/>
      <c r="Z286" s="1"/>
    </row>
    <row r="287" customFormat="false" ht="15.75" hidden="false" customHeight="true" outlineLevel="0" collapsed="false">
      <c r="Y287" s="1"/>
      <c r="Z287" s="1"/>
    </row>
    <row r="288" customFormat="false" ht="15.75" hidden="false" customHeight="true" outlineLevel="0" collapsed="false">
      <c r="Y288" s="1"/>
      <c r="Z288" s="1"/>
    </row>
    <row r="289" customFormat="false" ht="15.75" hidden="false" customHeight="true" outlineLevel="0" collapsed="false">
      <c r="Y289" s="1"/>
      <c r="Z289" s="1"/>
    </row>
    <row r="290" customFormat="false" ht="15.75" hidden="false" customHeight="true" outlineLevel="0" collapsed="false">
      <c r="Y290" s="1"/>
      <c r="Z290" s="1"/>
    </row>
    <row r="291" customFormat="false" ht="15.75" hidden="false" customHeight="true" outlineLevel="0" collapsed="false">
      <c r="Y291" s="1"/>
      <c r="Z291" s="1"/>
    </row>
    <row r="292" customFormat="false" ht="15.75" hidden="false" customHeight="true" outlineLevel="0" collapsed="false">
      <c r="Y292" s="1"/>
      <c r="Z292" s="1"/>
    </row>
    <row r="293" customFormat="false" ht="15.75" hidden="false" customHeight="true" outlineLevel="0" collapsed="false">
      <c r="Y293" s="1"/>
      <c r="Z293" s="1"/>
    </row>
    <row r="294" customFormat="false" ht="15.75" hidden="false" customHeight="true" outlineLevel="0" collapsed="false">
      <c r="Y294" s="1"/>
      <c r="Z294" s="1"/>
    </row>
    <row r="295" customFormat="false" ht="15.75" hidden="false" customHeight="true" outlineLevel="0" collapsed="false">
      <c r="Y295" s="1"/>
      <c r="Z295" s="1"/>
    </row>
    <row r="296" customFormat="false" ht="15.75" hidden="false" customHeight="true" outlineLevel="0" collapsed="false">
      <c r="Y296" s="1"/>
      <c r="Z296" s="1"/>
    </row>
    <row r="297" customFormat="false" ht="15.75" hidden="false" customHeight="true" outlineLevel="0" collapsed="false">
      <c r="Y297" s="1"/>
      <c r="Z297" s="1"/>
    </row>
    <row r="298" customFormat="false" ht="15.75" hidden="false" customHeight="true" outlineLevel="0" collapsed="false">
      <c r="Y298" s="1"/>
      <c r="Z298" s="1"/>
    </row>
    <row r="299" customFormat="false" ht="15.75" hidden="false" customHeight="true" outlineLevel="0" collapsed="false">
      <c r="Y299" s="1"/>
      <c r="Z299" s="1"/>
    </row>
    <row r="300" customFormat="false" ht="15.75" hidden="false" customHeight="true" outlineLevel="0" collapsed="false">
      <c r="Y300" s="1"/>
      <c r="Z300" s="1"/>
    </row>
    <row r="301" customFormat="false" ht="15.75" hidden="false" customHeight="true" outlineLevel="0" collapsed="false">
      <c r="Y301" s="1"/>
      <c r="Z301" s="1"/>
    </row>
    <row r="302" customFormat="false" ht="15.75" hidden="false" customHeight="true" outlineLevel="0" collapsed="false">
      <c r="Y302" s="1"/>
      <c r="Z302" s="1"/>
    </row>
    <row r="303" customFormat="false" ht="15.75" hidden="false" customHeight="true" outlineLevel="0" collapsed="false">
      <c r="Y303" s="1"/>
      <c r="Z303" s="1"/>
    </row>
    <row r="304" customFormat="false" ht="15.75" hidden="false" customHeight="true" outlineLevel="0" collapsed="false">
      <c r="Y304" s="1"/>
      <c r="Z304" s="1"/>
    </row>
    <row r="305" customFormat="false" ht="15.75" hidden="false" customHeight="true" outlineLevel="0" collapsed="false">
      <c r="Y305" s="1"/>
      <c r="Z305" s="1"/>
    </row>
    <row r="306" customFormat="false" ht="15.75" hidden="false" customHeight="true" outlineLevel="0" collapsed="false">
      <c r="Y306" s="1"/>
      <c r="Z306" s="1"/>
    </row>
    <row r="307" customFormat="false" ht="15.75" hidden="false" customHeight="true" outlineLevel="0" collapsed="false">
      <c r="Y307" s="1"/>
      <c r="Z307" s="1"/>
    </row>
    <row r="308" customFormat="false" ht="15.75" hidden="false" customHeight="true" outlineLevel="0" collapsed="false">
      <c r="Y308" s="1"/>
      <c r="Z308" s="1"/>
    </row>
    <row r="309" customFormat="false" ht="15.75" hidden="false" customHeight="true" outlineLevel="0" collapsed="false">
      <c r="Y309" s="1"/>
      <c r="Z309" s="1"/>
    </row>
    <row r="310" customFormat="false" ht="15.75" hidden="false" customHeight="true" outlineLevel="0" collapsed="false">
      <c r="Y310" s="1"/>
      <c r="Z310" s="1"/>
    </row>
    <row r="311" customFormat="false" ht="15.75" hidden="false" customHeight="true" outlineLevel="0" collapsed="false">
      <c r="Y311" s="1"/>
      <c r="Z311" s="1"/>
    </row>
    <row r="312" customFormat="false" ht="15.75" hidden="false" customHeight="true" outlineLevel="0" collapsed="false">
      <c r="Y312" s="1"/>
      <c r="Z312" s="1"/>
    </row>
    <row r="313" customFormat="false" ht="15.75" hidden="false" customHeight="true" outlineLevel="0" collapsed="false">
      <c r="Y313" s="1"/>
      <c r="Z313" s="1"/>
    </row>
    <row r="314" customFormat="false" ht="15.75" hidden="false" customHeight="true" outlineLevel="0" collapsed="false">
      <c r="Y314" s="1"/>
      <c r="Z314" s="1"/>
    </row>
    <row r="315" customFormat="false" ht="15.75" hidden="false" customHeight="true" outlineLevel="0" collapsed="false">
      <c r="Y315" s="1"/>
      <c r="Z315" s="1"/>
    </row>
    <row r="316" customFormat="false" ht="15.75" hidden="false" customHeight="true" outlineLevel="0" collapsed="false">
      <c r="Y316" s="1"/>
      <c r="Z316" s="1"/>
    </row>
    <row r="317" customFormat="false" ht="15.75" hidden="false" customHeight="true" outlineLevel="0" collapsed="false">
      <c r="Y317" s="1"/>
      <c r="Z317" s="1"/>
    </row>
    <row r="318" customFormat="false" ht="15.75" hidden="false" customHeight="true" outlineLevel="0" collapsed="false">
      <c r="Y318" s="1"/>
      <c r="Z318" s="1"/>
    </row>
    <row r="319" customFormat="false" ht="15.75" hidden="false" customHeight="true" outlineLevel="0" collapsed="false">
      <c r="Y319" s="1"/>
      <c r="Z319" s="1"/>
    </row>
    <row r="320" customFormat="false" ht="15.75" hidden="false" customHeight="true" outlineLevel="0" collapsed="false">
      <c r="Y320" s="1"/>
      <c r="Z320" s="1"/>
    </row>
    <row r="321" customFormat="false" ht="15.75" hidden="false" customHeight="true" outlineLevel="0" collapsed="false">
      <c r="Y321" s="1"/>
      <c r="Z321" s="1"/>
    </row>
    <row r="322" customFormat="false" ht="15.75" hidden="false" customHeight="true" outlineLevel="0" collapsed="false">
      <c r="Y322" s="1"/>
      <c r="Z322" s="1"/>
    </row>
    <row r="323" customFormat="false" ht="15.75" hidden="false" customHeight="true" outlineLevel="0" collapsed="false">
      <c r="Y323" s="1"/>
      <c r="Z323" s="1"/>
    </row>
    <row r="324" customFormat="false" ht="15.75" hidden="false" customHeight="true" outlineLevel="0" collapsed="false">
      <c r="Y324" s="1"/>
      <c r="Z324" s="1"/>
    </row>
    <row r="325" customFormat="false" ht="15.75" hidden="false" customHeight="true" outlineLevel="0" collapsed="false">
      <c r="Y325" s="1"/>
      <c r="Z325" s="1"/>
    </row>
    <row r="326" customFormat="false" ht="15.75" hidden="false" customHeight="true" outlineLevel="0" collapsed="false">
      <c r="Y326" s="1"/>
      <c r="Z326" s="1"/>
    </row>
    <row r="327" customFormat="false" ht="15.75" hidden="false" customHeight="true" outlineLevel="0" collapsed="false">
      <c r="Y327" s="1"/>
      <c r="Z327" s="1"/>
    </row>
    <row r="328" customFormat="false" ht="15.75" hidden="false" customHeight="true" outlineLevel="0" collapsed="false">
      <c r="Y328" s="1"/>
      <c r="Z328" s="1"/>
    </row>
    <row r="329" customFormat="false" ht="15.75" hidden="false" customHeight="true" outlineLevel="0" collapsed="false">
      <c r="Y329" s="1"/>
      <c r="Z329" s="1"/>
    </row>
    <row r="330" customFormat="false" ht="15.75" hidden="false" customHeight="true" outlineLevel="0" collapsed="false">
      <c r="Y330" s="1"/>
      <c r="Z330" s="1"/>
    </row>
    <row r="331" customFormat="false" ht="15.75" hidden="false" customHeight="true" outlineLevel="0" collapsed="false">
      <c r="Y331" s="1"/>
      <c r="Z331" s="1"/>
    </row>
    <row r="332" customFormat="false" ht="15.75" hidden="false" customHeight="true" outlineLevel="0" collapsed="false">
      <c r="Y332" s="1"/>
      <c r="Z332" s="1"/>
    </row>
    <row r="333" customFormat="false" ht="15.75" hidden="false" customHeight="true" outlineLevel="0" collapsed="false">
      <c r="Y333" s="1"/>
      <c r="Z333" s="1"/>
    </row>
    <row r="334" customFormat="false" ht="15.75" hidden="false" customHeight="true" outlineLevel="0" collapsed="false">
      <c r="Y334" s="1"/>
      <c r="Z334" s="1"/>
    </row>
    <row r="335" customFormat="false" ht="15.75" hidden="false" customHeight="true" outlineLevel="0" collapsed="false">
      <c r="Y335" s="1"/>
      <c r="Z335" s="1"/>
    </row>
    <row r="336" customFormat="false" ht="15.75" hidden="false" customHeight="true" outlineLevel="0" collapsed="false">
      <c r="Y336" s="1"/>
      <c r="Z336" s="1"/>
    </row>
    <row r="337" customFormat="false" ht="15.75" hidden="false" customHeight="true" outlineLevel="0" collapsed="false">
      <c r="Y337" s="1"/>
      <c r="Z337" s="1"/>
    </row>
    <row r="338" customFormat="false" ht="15.75" hidden="false" customHeight="true" outlineLevel="0" collapsed="false">
      <c r="Y338" s="1"/>
      <c r="Z338" s="1"/>
    </row>
    <row r="339" customFormat="false" ht="15.75" hidden="false" customHeight="true" outlineLevel="0" collapsed="false">
      <c r="Y339" s="1"/>
      <c r="Z339" s="1"/>
    </row>
    <row r="340" customFormat="false" ht="15.75" hidden="false" customHeight="true" outlineLevel="0" collapsed="false">
      <c r="Y340" s="1"/>
      <c r="Z340" s="1"/>
    </row>
    <row r="341" customFormat="false" ht="15.75" hidden="false" customHeight="true" outlineLevel="0" collapsed="false">
      <c r="Y341" s="1"/>
      <c r="Z341" s="1"/>
    </row>
    <row r="342" customFormat="false" ht="15.75" hidden="false" customHeight="true" outlineLevel="0" collapsed="false">
      <c r="Y342" s="1"/>
      <c r="Z342" s="1"/>
    </row>
    <row r="343" customFormat="false" ht="15.75" hidden="false" customHeight="true" outlineLevel="0" collapsed="false">
      <c r="Y343" s="1"/>
      <c r="Z343" s="1"/>
    </row>
    <row r="344" customFormat="false" ht="15.75" hidden="false" customHeight="true" outlineLevel="0" collapsed="false">
      <c r="Y344" s="1"/>
      <c r="Z344" s="1"/>
    </row>
    <row r="345" customFormat="false" ht="15.75" hidden="false" customHeight="true" outlineLevel="0" collapsed="false">
      <c r="Y345" s="1"/>
      <c r="Z345" s="1"/>
    </row>
    <row r="346" customFormat="false" ht="15.75" hidden="false" customHeight="true" outlineLevel="0" collapsed="false">
      <c r="Y346" s="1"/>
      <c r="Z346" s="1"/>
    </row>
    <row r="347" customFormat="false" ht="15.75" hidden="false" customHeight="true" outlineLevel="0" collapsed="false">
      <c r="Y347" s="1"/>
      <c r="Z347" s="1"/>
    </row>
    <row r="348" customFormat="false" ht="15.75" hidden="false" customHeight="true" outlineLevel="0" collapsed="false">
      <c r="Y348" s="1"/>
      <c r="Z348" s="1"/>
    </row>
    <row r="349" customFormat="false" ht="15.75" hidden="false" customHeight="true" outlineLevel="0" collapsed="false">
      <c r="Y349" s="1"/>
      <c r="Z349" s="1"/>
    </row>
    <row r="350" customFormat="false" ht="15.75" hidden="false" customHeight="true" outlineLevel="0" collapsed="false">
      <c r="Y350" s="1"/>
      <c r="Z350" s="1"/>
    </row>
    <row r="351" customFormat="false" ht="15.75" hidden="false" customHeight="true" outlineLevel="0" collapsed="false">
      <c r="Y351" s="1"/>
      <c r="Z351" s="1"/>
    </row>
    <row r="352" customFormat="false" ht="15.75" hidden="false" customHeight="true" outlineLevel="0" collapsed="false">
      <c r="Y352" s="1"/>
      <c r="Z352" s="1"/>
    </row>
    <row r="353" customFormat="false" ht="15.75" hidden="false" customHeight="true" outlineLevel="0" collapsed="false">
      <c r="Y353" s="1"/>
      <c r="Z353" s="1"/>
    </row>
    <row r="354" customFormat="false" ht="15.75" hidden="false" customHeight="true" outlineLevel="0" collapsed="false">
      <c r="Y354" s="1"/>
      <c r="Z354" s="1"/>
    </row>
    <row r="355" customFormat="false" ht="15.75" hidden="false" customHeight="true" outlineLevel="0" collapsed="false">
      <c r="Y355" s="1"/>
      <c r="Z355" s="1"/>
    </row>
    <row r="356" customFormat="false" ht="15.75" hidden="false" customHeight="true" outlineLevel="0" collapsed="false">
      <c r="Y356" s="1"/>
      <c r="Z356" s="1"/>
    </row>
    <row r="357" customFormat="false" ht="15.75" hidden="false" customHeight="true" outlineLevel="0" collapsed="false">
      <c r="Y357" s="1"/>
      <c r="Z357" s="1"/>
    </row>
    <row r="358" customFormat="false" ht="15.75" hidden="false" customHeight="true" outlineLevel="0" collapsed="false">
      <c r="Y358" s="1"/>
      <c r="Z358" s="1"/>
    </row>
    <row r="359" customFormat="false" ht="15.75" hidden="false" customHeight="true" outlineLevel="0" collapsed="false">
      <c r="Y359" s="1"/>
      <c r="Z359" s="1"/>
    </row>
    <row r="360" customFormat="false" ht="15.75" hidden="false" customHeight="true" outlineLevel="0" collapsed="false">
      <c r="Y360" s="1"/>
      <c r="Z360" s="1"/>
    </row>
    <row r="361" customFormat="false" ht="15.75" hidden="false" customHeight="true" outlineLevel="0" collapsed="false">
      <c r="Y361" s="1"/>
      <c r="Z361" s="1"/>
    </row>
    <row r="362" customFormat="false" ht="15.75" hidden="false" customHeight="true" outlineLevel="0" collapsed="false">
      <c r="Y362" s="1"/>
      <c r="Z362" s="1"/>
    </row>
    <row r="363" customFormat="false" ht="15.75" hidden="false" customHeight="true" outlineLevel="0" collapsed="false">
      <c r="Y363" s="1"/>
      <c r="Z363" s="1"/>
    </row>
    <row r="364" customFormat="false" ht="15.75" hidden="false" customHeight="true" outlineLevel="0" collapsed="false">
      <c r="Y364" s="1"/>
      <c r="Z364" s="1"/>
    </row>
    <row r="365" customFormat="false" ht="15.75" hidden="false" customHeight="true" outlineLevel="0" collapsed="false">
      <c r="Y365" s="1"/>
      <c r="Z365" s="1"/>
    </row>
    <row r="366" customFormat="false" ht="15.75" hidden="false" customHeight="true" outlineLevel="0" collapsed="false">
      <c r="Y366" s="1"/>
      <c r="Z366" s="1"/>
    </row>
    <row r="367" customFormat="false" ht="15.75" hidden="false" customHeight="true" outlineLevel="0" collapsed="false">
      <c r="Y367" s="1"/>
      <c r="Z367" s="1"/>
    </row>
    <row r="368" customFormat="false" ht="15.75" hidden="false" customHeight="true" outlineLevel="0" collapsed="false">
      <c r="Y368" s="1"/>
      <c r="Z368" s="1"/>
    </row>
    <row r="369" customFormat="false" ht="15.75" hidden="false" customHeight="true" outlineLevel="0" collapsed="false">
      <c r="Y369" s="1"/>
      <c r="Z369" s="1"/>
    </row>
    <row r="370" customFormat="false" ht="15.75" hidden="false" customHeight="true" outlineLevel="0" collapsed="false">
      <c r="Y370" s="1"/>
      <c r="Z370" s="1"/>
    </row>
    <row r="371" customFormat="false" ht="15.75" hidden="false" customHeight="true" outlineLevel="0" collapsed="false">
      <c r="Y371" s="1"/>
      <c r="Z371" s="1"/>
    </row>
    <row r="372" customFormat="false" ht="15.75" hidden="false" customHeight="true" outlineLevel="0" collapsed="false">
      <c r="Y372" s="1"/>
      <c r="Z372" s="1"/>
    </row>
    <row r="373" customFormat="false" ht="15.75" hidden="false" customHeight="true" outlineLevel="0" collapsed="false">
      <c r="Y373" s="1"/>
      <c r="Z373" s="1"/>
    </row>
    <row r="374" customFormat="false" ht="15.75" hidden="false" customHeight="true" outlineLevel="0" collapsed="false">
      <c r="Y374" s="1"/>
      <c r="Z374" s="1"/>
    </row>
    <row r="375" customFormat="false" ht="15.75" hidden="false" customHeight="true" outlineLevel="0" collapsed="false">
      <c r="Y375" s="1"/>
      <c r="Z375" s="1"/>
    </row>
    <row r="376" customFormat="false" ht="15.75" hidden="false" customHeight="true" outlineLevel="0" collapsed="false">
      <c r="Y376" s="1"/>
      <c r="Z376" s="1"/>
    </row>
    <row r="377" customFormat="false" ht="15.75" hidden="false" customHeight="true" outlineLevel="0" collapsed="false">
      <c r="Y377" s="1"/>
      <c r="Z377" s="1"/>
    </row>
    <row r="378" customFormat="false" ht="15.75" hidden="false" customHeight="true" outlineLevel="0" collapsed="false">
      <c r="Y378" s="1"/>
      <c r="Z378" s="1"/>
    </row>
    <row r="379" customFormat="false" ht="15.75" hidden="false" customHeight="true" outlineLevel="0" collapsed="false">
      <c r="Y379" s="1"/>
      <c r="Z379" s="1"/>
    </row>
    <row r="380" customFormat="false" ht="15.75" hidden="false" customHeight="true" outlineLevel="0" collapsed="false">
      <c r="Y380" s="1"/>
      <c r="Z380" s="1"/>
    </row>
    <row r="381" customFormat="false" ht="15.75" hidden="false" customHeight="true" outlineLevel="0" collapsed="false">
      <c r="Y381" s="1"/>
      <c r="Z381" s="1"/>
    </row>
    <row r="382" customFormat="false" ht="15.75" hidden="false" customHeight="true" outlineLevel="0" collapsed="false">
      <c r="Y382" s="1"/>
      <c r="Z382" s="1"/>
    </row>
    <row r="383" customFormat="false" ht="15.75" hidden="false" customHeight="true" outlineLevel="0" collapsed="false">
      <c r="Y383" s="1"/>
      <c r="Z383" s="1"/>
    </row>
    <row r="384" customFormat="false" ht="15.75" hidden="false" customHeight="true" outlineLevel="0" collapsed="false">
      <c r="Y384" s="1"/>
      <c r="Z384" s="1"/>
    </row>
    <row r="385" customFormat="false" ht="15.75" hidden="false" customHeight="true" outlineLevel="0" collapsed="false">
      <c r="Y385" s="1"/>
      <c r="Z385" s="1"/>
    </row>
    <row r="386" customFormat="false" ht="15.75" hidden="false" customHeight="true" outlineLevel="0" collapsed="false">
      <c r="Y386" s="1"/>
      <c r="Z386" s="1"/>
    </row>
    <row r="387" customFormat="false" ht="15.75" hidden="false" customHeight="true" outlineLevel="0" collapsed="false">
      <c r="Y387" s="1"/>
      <c r="Z387" s="1"/>
    </row>
    <row r="388" customFormat="false" ht="15.75" hidden="false" customHeight="true" outlineLevel="0" collapsed="false">
      <c r="Y388" s="1"/>
      <c r="Z388" s="1"/>
    </row>
    <row r="389" customFormat="false" ht="15.75" hidden="false" customHeight="true" outlineLevel="0" collapsed="false">
      <c r="Y389" s="1"/>
      <c r="Z389" s="1"/>
    </row>
    <row r="390" customFormat="false" ht="15.75" hidden="false" customHeight="true" outlineLevel="0" collapsed="false">
      <c r="Y390" s="1"/>
      <c r="Z390" s="1"/>
    </row>
    <row r="391" customFormat="false" ht="15.75" hidden="false" customHeight="true" outlineLevel="0" collapsed="false">
      <c r="Y391" s="1"/>
      <c r="Z391" s="1"/>
    </row>
    <row r="392" customFormat="false" ht="15.75" hidden="false" customHeight="true" outlineLevel="0" collapsed="false">
      <c r="Y392" s="1"/>
      <c r="Z392" s="1"/>
    </row>
    <row r="393" customFormat="false" ht="15.75" hidden="false" customHeight="true" outlineLevel="0" collapsed="false">
      <c r="Y393" s="1"/>
      <c r="Z393" s="1"/>
    </row>
    <row r="394" customFormat="false" ht="15.75" hidden="false" customHeight="true" outlineLevel="0" collapsed="false">
      <c r="Y394" s="1"/>
      <c r="Z394" s="1"/>
    </row>
    <row r="395" customFormat="false" ht="15.75" hidden="false" customHeight="true" outlineLevel="0" collapsed="false">
      <c r="Y395" s="1"/>
      <c r="Z395" s="1"/>
    </row>
    <row r="396" customFormat="false" ht="15.75" hidden="false" customHeight="true" outlineLevel="0" collapsed="false">
      <c r="Y396" s="1"/>
      <c r="Z396" s="1"/>
    </row>
    <row r="397" customFormat="false" ht="15.75" hidden="false" customHeight="true" outlineLevel="0" collapsed="false">
      <c r="Y397" s="1"/>
      <c r="Z397" s="1"/>
    </row>
    <row r="398" customFormat="false" ht="15.75" hidden="false" customHeight="true" outlineLevel="0" collapsed="false">
      <c r="Y398" s="1"/>
      <c r="Z398" s="1"/>
    </row>
    <row r="399" customFormat="false" ht="15.75" hidden="false" customHeight="true" outlineLevel="0" collapsed="false">
      <c r="Y399" s="1"/>
      <c r="Z399" s="1"/>
    </row>
    <row r="400" customFormat="false" ht="15.75" hidden="false" customHeight="true" outlineLevel="0" collapsed="false">
      <c r="Y400" s="1"/>
      <c r="Z400" s="1"/>
    </row>
    <row r="401" customFormat="false" ht="15.75" hidden="false" customHeight="true" outlineLevel="0" collapsed="false">
      <c r="Y401" s="1"/>
      <c r="Z401" s="1"/>
    </row>
    <row r="402" customFormat="false" ht="15.75" hidden="false" customHeight="true" outlineLevel="0" collapsed="false">
      <c r="Y402" s="1"/>
      <c r="Z402" s="1"/>
    </row>
    <row r="403" customFormat="false" ht="15.75" hidden="false" customHeight="true" outlineLevel="0" collapsed="false">
      <c r="Y403" s="1"/>
      <c r="Z403" s="1"/>
    </row>
    <row r="404" customFormat="false" ht="15.75" hidden="false" customHeight="true" outlineLevel="0" collapsed="false">
      <c r="Y404" s="1"/>
      <c r="Z404" s="1"/>
    </row>
    <row r="405" customFormat="false" ht="15.75" hidden="false" customHeight="true" outlineLevel="0" collapsed="false">
      <c r="Y405" s="1"/>
      <c r="Z405" s="1"/>
    </row>
    <row r="406" customFormat="false" ht="15.75" hidden="false" customHeight="true" outlineLevel="0" collapsed="false">
      <c r="Y406" s="1"/>
      <c r="Z406" s="1"/>
    </row>
    <row r="407" customFormat="false" ht="15.75" hidden="false" customHeight="true" outlineLevel="0" collapsed="false">
      <c r="Y407" s="1"/>
      <c r="Z407" s="1"/>
    </row>
    <row r="408" customFormat="false" ht="15.75" hidden="false" customHeight="true" outlineLevel="0" collapsed="false">
      <c r="Y408" s="1"/>
      <c r="Z408" s="1"/>
    </row>
    <row r="409" customFormat="false" ht="15.75" hidden="false" customHeight="true" outlineLevel="0" collapsed="false">
      <c r="Y409" s="1"/>
      <c r="Z409" s="1"/>
    </row>
    <row r="410" customFormat="false" ht="15.75" hidden="false" customHeight="true" outlineLevel="0" collapsed="false">
      <c r="Y410" s="1"/>
      <c r="Z410" s="1"/>
    </row>
    <row r="411" customFormat="false" ht="15.75" hidden="false" customHeight="true" outlineLevel="0" collapsed="false">
      <c r="Y411" s="1"/>
      <c r="Z411" s="1"/>
    </row>
    <row r="412" customFormat="false" ht="15.75" hidden="false" customHeight="true" outlineLevel="0" collapsed="false">
      <c r="Y412" s="1"/>
      <c r="Z412" s="1"/>
    </row>
    <row r="413" customFormat="false" ht="15.75" hidden="false" customHeight="true" outlineLevel="0" collapsed="false">
      <c r="Y413" s="1"/>
      <c r="Z413" s="1"/>
    </row>
    <row r="414" customFormat="false" ht="15.75" hidden="false" customHeight="true" outlineLevel="0" collapsed="false">
      <c r="Y414" s="1"/>
      <c r="Z414" s="1"/>
    </row>
    <row r="415" customFormat="false" ht="15.75" hidden="false" customHeight="true" outlineLevel="0" collapsed="false">
      <c r="Y415" s="1"/>
      <c r="Z415" s="1"/>
    </row>
    <row r="416" customFormat="false" ht="15.75" hidden="false" customHeight="true" outlineLevel="0" collapsed="false">
      <c r="Y416" s="1"/>
      <c r="Z416" s="1"/>
    </row>
    <row r="417" customFormat="false" ht="15.75" hidden="false" customHeight="true" outlineLevel="0" collapsed="false">
      <c r="Y417" s="1"/>
      <c r="Z417" s="1"/>
    </row>
    <row r="418" customFormat="false" ht="15.75" hidden="false" customHeight="true" outlineLevel="0" collapsed="false">
      <c r="Y418" s="1"/>
      <c r="Z418" s="1"/>
    </row>
    <row r="419" customFormat="false" ht="15.75" hidden="false" customHeight="true" outlineLevel="0" collapsed="false">
      <c r="Y419" s="1"/>
      <c r="Z419" s="1"/>
    </row>
    <row r="420" customFormat="false" ht="15.75" hidden="false" customHeight="true" outlineLevel="0" collapsed="false">
      <c r="Y420" s="1"/>
      <c r="Z420" s="1"/>
    </row>
    <row r="421" customFormat="false" ht="15.75" hidden="false" customHeight="true" outlineLevel="0" collapsed="false">
      <c r="Y421" s="1"/>
      <c r="Z421" s="1"/>
    </row>
    <row r="422" customFormat="false" ht="15.75" hidden="false" customHeight="true" outlineLevel="0" collapsed="false">
      <c r="Y422" s="1"/>
      <c r="Z422" s="1"/>
    </row>
    <row r="423" customFormat="false" ht="15.75" hidden="false" customHeight="true" outlineLevel="0" collapsed="false">
      <c r="Y423" s="1"/>
      <c r="Z423" s="1"/>
    </row>
    <row r="424" customFormat="false" ht="15.75" hidden="false" customHeight="true" outlineLevel="0" collapsed="false">
      <c r="Y424" s="1"/>
      <c r="Z424" s="1"/>
    </row>
    <row r="425" customFormat="false" ht="15.75" hidden="false" customHeight="true" outlineLevel="0" collapsed="false">
      <c r="Y425" s="1"/>
      <c r="Z425" s="1"/>
    </row>
    <row r="426" customFormat="false" ht="15.75" hidden="false" customHeight="true" outlineLevel="0" collapsed="false">
      <c r="Y426" s="1"/>
      <c r="Z426" s="1"/>
    </row>
    <row r="427" customFormat="false" ht="15.75" hidden="false" customHeight="true" outlineLevel="0" collapsed="false">
      <c r="Y427" s="1"/>
      <c r="Z427" s="1"/>
    </row>
    <row r="428" customFormat="false" ht="15.75" hidden="false" customHeight="true" outlineLevel="0" collapsed="false">
      <c r="Y428" s="1"/>
      <c r="Z428" s="1"/>
    </row>
    <row r="429" customFormat="false" ht="15.75" hidden="false" customHeight="true" outlineLevel="0" collapsed="false">
      <c r="Y429" s="1"/>
      <c r="Z429" s="1"/>
    </row>
    <row r="430" customFormat="false" ht="15.75" hidden="false" customHeight="true" outlineLevel="0" collapsed="false">
      <c r="Y430" s="1"/>
      <c r="Z430" s="1"/>
    </row>
    <row r="431" customFormat="false" ht="15.75" hidden="false" customHeight="true" outlineLevel="0" collapsed="false">
      <c r="Y431" s="1"/>
      <c r="Z431" s="1"/>
    </row>
    <row r="432" customFormat="false" ht="15.75" hidden="false" customHeight="true" outlineLevel="0" collapsed="false">
      <c r="Y432" s="1"/>
      <c r="Z432" s="1"/>
    </row>
    <row r="433" customFormat="false" ht="15.75" hidden="false" customHeight="true" outlineLevel="0" collapsed="false">
      <c r="Y433" s="1"/>
      <c r="Z433" s="1"/>
    </row>
    <row r="434" customFormat="false" ht="15.75" hidden="false" customHeight="true" outlineLevel="0" collapsed="false">
      <c r="Y434" s="1"/>
      <c r="Z434" s="1"/>
    </row>
    <row r="435" customFormat="false" ht="15.75" hidden="false" customHeight="true" outlineLevel="0" collapsed="false">
      <c r="Y435" s="1"/>
      <c r="Z435" s="1"/>
    </row>
    <row r="436" customFormat="false" ht="15.75" hidden="false" customHeight="true" outlineLevel="0" collapsed="false">
      <c r="Y436" s="1"/>
      <c r="Z436" s="1"/>
    </row>
    <row r="437" customFormat="false" ht="15.75" hidden="false" customHeight="true" outlineLevel="0" collapsed="false">
      <c r="Y437" s="1"/>
      <c r="Z437" s="1"/>
    </row>
    <row r="438" customFormat="false" ht="15.75" hidden="false" customHeight="true" outlineLevel="0" collapsed="false">
      <c r="Y438" s="1"/>
      <c r="Z438" s="1"/>
    </row>
    <row r="439" customFormat="false" ht="15.75" hidden="false" customHeight="true" outlineLevel="0" collapsed="false">
      <c r="Y439" s="1"/>
      <c r="Z439" s="1"/>
    </row>
    <row r="440" customFormat="false" ht="15.75" hidden="false" customHeight="true" outlineLevel="0" collapsed="false">
      <c r="Y440" s="1"/>
      <c r="Z440" s="1"/>
    </row>
    <row r="441" customFormat="false" ht="15.75" hidden="false" customHeight="true" outlineLevel="0" collapsed="false">
      <c r="Y441" s="1"/>
      <c r="Z441" s="1"/>
    </row>
    <row r="442" customFormat="false" ht="15.75" hidden="false" customHeight="true" outlineLevel="0" collapsed="false">
      <c r="Y442" s="1"/>
      <c r="Z442" s="1"/>
    </row>
    <row r="443" customFormat="false" ht="15.75" hidden="false" customHeight="true" outlineLevel="0" collapsed="false">
      <c r="Y443" s="1"/>
      <c r="Z443" s="1"/>
    </row>
    <row r="444" customFormat="false" ht="15.75" hidden="false" customHeight="true" outlineLevel="0" collapsed="false">
      <c r="Y444" s="1"/>
      <c r="Z444" s="1"/>
    </row>
    <row r="445" customFormat="false" ht="15.75" hidden="false" customHeight="true" outlineLevel="0" collapsed="false">
      <c r="Y445" s="1"/>
      <c r="Z445" s="1"/>
    </row>
    <row r="446" customFormat="false" ht="15.75" hidden="false" customHeight="true" outlineLevel="0" collapsed="false">
      <c r="Y446" s="1"/>
      <c r="Z446" s="1"/>
    </row>
    <row r="447" customFormat="false" ht="15.75" hidden="false" customHeight="true" outlineLevel="0" collapsed="false">
      <c r="Y447" s="1"/>
      <c r="Z447" s="1"/>
    </row>
    <row r="448" customFormat="false" ht="15.75" hidden="false" customHeight="true" outlineLevel="0" collapsed="false">
      <c r="Y448" s="1"/>
      <c r="Z448" s="1"/>
    </row>
    <row r="449" customFormat="false" ht="15.75" hidden="false" customHeight="true" outlineLevel="0" collapsed="false">
      <c r="Y449" s="1"/>
      <c r="Z449" s="1"/>
    </row>
    <row r="450" customFormat="false" ht="15.75" hidden="false" customHeight="true" outlineLevel="0" collapsed="false">
      <c r="Y450" s="1"/>
      <c r="Z450" s="1"/>
    </row>
    <row r="451" customFormat="false" ht="15.75" hidden="false" customHeight="true" outlineLevel="0" collapsed="false">
      <c r="Y451" s="1"/>
      <c r="Z451" s="1"/>
    </row>
    <row r="452" customFormat="false" ht="15.75" hidden="false" customHeight="true" outlineLevel="0" collapsed="false">
      <c r="Y452" s="1"/>
      <c r="Z452" s="1"/>
    </row>
    <row r="453" customFormat="false" ht="15.75" hidden="false" customHeight="true" outlineLevel="0" collapsed="false">
      <c r="Y453" s="1"/>
      <c r="Z453" s="1"/>
    </row>
    <row r="454" customFormat="false" ht="15.75" hidden="false" customHeight="true" outlineLevel="0" collapsed="false">
      <c r="Y454" s="1"/>
      <c r="Z454" s="1"/>
    </row>
    <row r="455" customFormat="false" ht="15.75" hidden="false" customHeight="true" outlineLevel="0" collapsed="false">
      <c r="Y455" s="1"/>
      <c r="Z455" s="1"/>
    </row>
    <row r="456" customFormat="false" ht="15.75" hidden="false" customHeight="true" outlineLevel="0" collapsed="false">
      <c r="Y456" s="1"/>
      <c r="Z456" s="1"/>
    </row>
    <row r="457" customFormat="false" ht="15.75" hidden="false" customHeight="true" outlineLevel="0" collapsed="false">
      <c r="Y457" s="1"/>
      <c r="Z457" s="1"/>
    </row>
    <row r="458" customFormat="false" ht="15.75" hidden="false" customHeight="true" outlineLevel="0" collapsed="false">
      <c r="Y458" s="1"/>
      <c r="Z458" s="1"/>
    </row>
    <row r="459" customFormat="false" ht="15.75" hidden="false" customHeight="true" outlineLevel="0" collapsed="false">
      <c r="Y459" s="1"/>
      <c r="Z459" s="1"/>
    </row>
    <row r="460" customFormat="false" ht="15.75" hidden="false" customHeight="true" outlineLevel="0" collapsed="false">
      <c r="Y460" s="1"/>
      <c r="Z460" s="1"/>
    </row>
    <row r="461" customFormat="false" ht="15.75" hidden="false" customHeight="true" outlineLevel="0" collapsed="false">
      <c r="Y461" s="1"/>
      <c r="Z461" s="1"/>
    </row>
    <row r="462" customFormat="false" ht="15.75" hidden="false" customHeight="true" outlineLevel="0" collapsed="false">
      <c r="Y462" s="1"/>
      <c r="Z462" s="1"/>
    </row>
    <row r="463" customFormat="false" ht="15.75" hidden="false" customHeight="true" outlineLevel="0" collapsed="false">
      <c r="Y463" s="1"/>
      <c r="Z463" s="1"/>
    </row>
    <row r="464" customFormat="false" ht="15.75" hidden="false" customHeight="true" outlineLevel="0" collapsed="false">
      <c r="Y464" s="1"/>
      <c r="Z464" s="1"/>
    </row>
    <row r="465" customFormat="false" ht="15.75" hidden="false" customHeight="true" outlineLevel="0" collapsed="false">
      <c r="Y465" s="1"/>
      <c r="Z465" s="1"/>
    </row>
    <row r="466" customFormat="false" ht="15.75" hidden="false" customHeight="true" outlineLevel="0" collapsed="false">
      <c r="Y466" s="1"/>
      <c r="Z466" s="1"/>
    </row>
    <row r="467" customFormat="false" ht="15.75" hidden="false" customHeight="true" outlineLevel="0" collapsed="false">
      <c r="Y467" s="1"/>
      <c r="Z467" s="1"/>
    </row>
    <row r="468" customFormat="false" ht="15.75" hidden="false" customHeight="true" outlineLevel="0" collapsed="false">
      <c r="Y468" s="1"/>
      <c r="Z468" s="1"/>
    </row>
    <row r="469" customFormat="false" ht="15.75" hidden="false" customHeight="true" outlineLevel="0" collapsed="false">
      <c r="Y469" s="1"/>
      <c r="Z469" s="1"/>
    </row>
    <row r="470" customFormat="false" ht="15.75" hidden="false" customHeight="true" outlineLevel="0" collapsed="false">
      <c r="Y470" s="1"/>
      <c r="Z470" s="1"/>
    </row>
    <row r="471" customFormat="false" ht="15.75" hidden="false" customHeight="true" outlineLevel="0" collapsed="false">
      <c r="Y471" s="1"/>
      <c r="Z471" s="1"/>
    </row>
    <row r="472" customFormat="false" ht="15.75" hidden="false" customHeight="true" outlineLevel="0" collapsed="false">
      <c r="Y472" s="1"/>
      <c r="Z472" s="1"/>
    </row>
    <row r="473" customFormat="false" ht="15.75" hidden="false" customHeight="true" outlineLevel="0" collapsed="false">
      <c r="Y473" s="1"/>
      <c r="Z473" s="1"/>
    </row>
    <row r="474" customFormat="false" ht="15.75" hidden="false" customHeight="true" outlineLevel="0" collapsed="false">
      <c r="Y474" s="1"/>
      <c r="Z474" s="1"/>
    </row>
    <row r="475" customFormat="false" ht="15.75" hidden="false" customHeight="true" outlineLevel="0" collapsed="false">
      <c r="Y475" s="1"/>
      <c r="Z475" s="1"/>
    </row>
    <row r="476" customFormat="false" ht="15.75" hidden="false" customHeight="true" outlineLevel="0" collapsed="false">
      <c r="Y476" s="1"/>
      <c r="Z476" s="1"/>
    </row>
    <row r="477" customFormat="false" ht="15.75" hidden="false" customHeight="true" outlineLevel="0" collapsed="false">
      <c r="Y477" s="1"/>
      <c r="Z477" s="1"/>
    </row>
    <row r="478" customFormat="false" ht="15.75" hidden="false" customHeight="true" outlineLevel="0" collapsed="false">
      <c r="Y478" s="1"/>
      <c r="Z478" s="1"/>
    </row>
    <row r="479" customFormat="false" ht="15.75" hidden="false" customHeight="true" outlineLevel="0" collapsed="false">
      <c r="Y479" s="1"/>
      <c r="Z479" s="1"/>
    </row>
    <row r="480" customFormat="false" ht="15.75" hidden="false" customHeight="true" outlineLevel="0" collapsed="false">
      <c r="Y480" s="1"/>
      <c r="Z480" s="1"/>
    </row>
    <row r="481" customFormat="false" ht="15.75" hidden="false" customHeight="true" outlineLevel="0" collapsed="false">
      <c r="Y481" s="1"/>
      <c r="Z481" s="1"/>
    </row>
    <row r="482" customFormat="false" ht="15.75" hidden="false" customHeight="true" outlineLevel="0" collapsed="false">
      <c r="Y482" s="1"/>
      <c r="Z482" s="1"/>
    </row>
    <row r="483" customFormat="false" ht="15.75" hidden="false" customHeight="true" outlineLevel="0" collapsed="false">
      <c r="Y483" s="1"/>
      <c r="Z483" s="1"/>
    </row>
    <row r="484" customFormat="false" ht="15.75" hidden="false" customHeight="true" outlineLevel="0" collapsed="false">
      <c r="Y484" s="1"/>
      <c r="Z484" s="1"/>
    </row>
    <row r="485" customFormat="false" ht="15.75" hidden="false" customHeight="true" outlineLevel="0" collapsed="false">
      <c r="Y485" s="1"/>
      <c r="Z485" s="1"/>
    </row>
    <row r="486" customFormat="false" ht="15.75" hidden="false" customHeight="true" outlineLevel="0" collapsed="false">
      <c r="Y486" s="1"/>
      <c r="Z486" s="1"/>
    </row>
    <row r="487" customFormat="false" ht="15.75" hidden="false" customHeight="true" outlineLevel="0" collapsed="false">
      <c r="Y487" s="1"/>
      <c r="Z487" s="1"/>
    </row>
    <row r="488" customFormat="false" ht="15.75" hidden="false" customHeight="true" outlineLevel="0" collapsed="false">
      <c r="Y488" s="1"/>
      <c r="Z488" s="1"/>
    </row>
    <row r="489" customFormat="false" ht="15.75" hidden="false" customHeight="true" outlineLevel="0" collapsed="false">
      <c r="Y489" s="1"/>
      <c r="Z489" s="1"/>
    </row>
    <row r="490" customFormat="false" ht="15.75" hidden="false" customHeight="true" outlineLevel="0" collapsed="false">
      <c r="Y490" s="1"/>
      <c r="Z490" s="1"/>
    </row>
    <row r="491" customFormat="false" ht="15.75" hidden="false" customHeight="true" outlineLevel="0" collapsed="false">
      <c r="Y491" s="1"/>
      <c r="Z491" s="1"/>
    </row>
    <row r="492" customFormat="false" ht="15.75" hidden="false" customHeight="true" outlineLevel="0" collapsed="false">
      <c r="Y492" s="1"/>
      <c r="Z492" s="1"/>
    </row>
    <row r="493" customFormat="false" ht="15.75" hidden="false" customHeight="true" outlineLevel="0" collapsed="false">
      <c r="Y493" s="1"/>
      <c r="Z493" s="1"/>
    </row>
    <row r="494" customFormat="false" ht="15.75" hidden="false" customHeight="true" outlineLevel="0" collapsed="false">
      <c r="Y494" s="1"/>
      <c r="Z494" s="1"/>
    </row>
    <row r="495" customFormat="false" ht="15.75" hidden="false" customHeight="true" outlineLevel="0" collapsed="false">
      <c r="Y495" s="1"/>
      <c r="Z495" s="1"/>
    </row>
    <row r="496" customFormat="false" ht="15.75" hidden="false" customHeight="true" outlineLevel="0" collapsed="false">
      <c r="Y496" s="1"/>
      <c r="Z496" s="1"/>
    </row>
    <row r="497" customFormat="false" ht="15.75" hidden="false" customHeight="true" outlineLevel="0" collapsed="false">
      <c r="Y497" s="1"/>
      <c r="Z497" s="1"/>
    </row>
    <row r="498" customFormat="false" ht="15.75" hidden="false" customHeight="true" outlineLevel="0" collapsed="false">
      <c r="Y498" s="1"/>
      <c r="Z498" s="1"/>
    </row>
    <row r="499" customFormat="false" ht="15.75" hidden="false" customHeight="true" outlineLevel="0" collapsed="false">
      <c r="Y499" s="1"/>
      <c r="Z499" s="1"/>
    </row>
    <row r="500" customFormat="false" ht="15.75" hidden="false" customHeight="true" outlineLevel="0" collapsed="false">
      <c r="Y500" s="1"/>
      <c r="Z500" s="1"/>
    </row>
    <row r="501" customFormat="false" ht="15.75" hidden="false" customHeight="true" outlineLevel="0" collapsed="false">
      <c r="Y501" s="1"/>
      <c r="Z501" s="1"/>
    </row>
    <row r="502" customFormat="false" ht="15.75" hidden="false" customHeight="true" outlineLevel="0" collapsed="false">
      <c r="Y502" s="1"/>
      <c r="Z502" s="1"/>
    </row>
    <row r="503" customFormat="false" ht="15.75" hidden="false" customHeight="true" outlineLevel="0" collapsed="false">
      <c r="Y503" s="1"/>
      <c r="Z503" s="1"/>
    </row>
    <row r="504" customFormat="false" ht="15.75" hidden="false" customHeight="true" outlineLevel="0" collapsed="false">
      <c r="Y504" s="1"/>
      <c r="Z504" s="1"/>
    </row>
    <row r="505" customFormat="false" ht="15.75" hidden="false" customHeight="true" outlineLevel="0" collapsed="false">
      <c r="Y505" s="1"/>
      <c r="Z505" s="1"/>
    </row>
    <row r="506" customFormat="false" ht="15.75" hidden="false" customHeight="true" outlineLevel="0" collapsed="false">
      <c r="Y506" s="1"/>
      <c r="Z506" s="1"/>
    </row>
    <row r="507" customFormat="false" ht="15.75" hidden="false" customHeight="true" outlineLevel="0" collapsed="false">
      <c r="Y507" s="1"/>
      <c r="Z507" s="1"/>
    </row>
    <row r="508" customFormat="false" ht="15.75" hidden="false" customHeight="true" outlineLevel="0" collapsed="false">
      <c r="Y508" s="1"/>
      <c r="Z508" s="1"/>
    </row>
    <row r="509" customFormat="false" ht="15.75" hidden="false" customHeight="true" outlineLevel="0" collapsed="false">
      <c r="Y509" s="1"/>
      <c r="Z509" s="1"/>
    </row>
    <row r="510" customFormat="false" ht="15.75" hidden="false" customHeight="true" outlineLevel="0" collapsed="false">
      <c r="Y510" s="1"/>
      <c r="Z510" s="1"/>
    </row>
    <row r="511" customFormat="false" ht="15.75" hidden="false" customHeight="true" outlineLevel="0" collapsed="false">
      <c r="Y511" s="1"/>
      <c r="Z511" s="1"/>
    </row>
    <row r="512" customFormat="false" ht="15.75" hidden="false" customHeight="true" outlineLevel="0" collapsed="false">
      <c r="Y512" s="1"/>
      <c r="Z512" s="1"/>
    </row>
    <row r="513" customFormat="false" ht="15.75" hidden="false" customHeight="true" outlineLevel="0" collapsed="false">
      <c r="Y513" s="1"/>
      <c r="Z513" s="1"/>
    </row>
    <row r="514" customFormat="false" ht="15.75" hidden="false" customHeight="true" outlineLevel="0" collapsed="false">
      <c r="Y514" s="1"/>
      <c r="Z514" s="1"/>
    </row>
    <row r="515" customFormat="false" ht="15.75" hidden="false" customHeight="true" outlineLevel="0" collapsed="false">
      <c r="Y515" s="1"/>
      <c r="Z515" s="1"/>
    </row>
    <row r="516" customFormat="false" ht="15.75" hidden="false" customHeight="true" outlineLevel="0" collapsed="false">
      <c r="Y516" s="1"/>
      <c r="Z516" s="1"/>
    </row>
    <row r="517" customFormat="false" ht="15.75" hidden="false" customHeight="true" outlineLevel="0" collapsed="false">
      <c r="Y517" s="1"/>
      <c r="Z517" s="1"/>
    </row>
    <row r="518" customFormat="false" ht="15.75" hidden="false" customHeight="true" outlineLevel="0" collapsed="false">
      <c r="Y518" s="1"/>
      <c r="Z518" s="1"/>
    </row>
    <row r="519" customFormat="false" ht="15.75" hidden="false" customHeight="true" outlineLevel="0" collapsed="false">
      <c r="Y519" s="1"/>
      <c r="Z519" s="1"/>
    </row>
    <row r="520" customFormat="false" ht="15.75" hidden="false" customHeight="true" outlineLevel="0" collapsed="false">
      <c r="Y520" s="1"/>
      <c r="Z520" s="1"/>
    </row>
    <row r="521" customFormat="false" ht="15.75" hidden="false" customHeight="true" outlineLevel="0" collapsed="false">
      <c r="Y521" s="1"/>
      <c r="Z521" s="1"/>
    </row>
    <row r="522" customFormat="false" ht="15.75" hidden="false" customHeight="true" outlineLevel="0" collapsed="false">
      <c r="Y522" s="1"/>
      <c r="Z522" s="1"/>
    </row>
    <row r="523" customFormat="false" ht="15.75" hidden="false" customHeight="true" outlineLevel="0" collapsed="false">
      <c r="Y523" s="1"/>
      <c r="Z523" s="1"/>
    </row>
    <row r="524" customFormat="false" ht="15.75" hidden="false" customHeight="true" outlineLevel="0" collapsed="false">
      <c r="Y524" s="1"/>
      <c r="Z524" s="1"/>
    </row>
    <row r="525" customFormat="false" ht="15.75" hidden="false" customHeight="true" outlineLevel="0" collapsed="false">
      <c r="Y525" s="1"/>
      <c r="Z525" s="1"/>
    </row>
    <row r="526" customFormat="false" ht="15.75" hidden="false" customHeight="true" outlineLevel="0" collapsed="false">
      <c r="Y526" s="1"/>
      <c r="Z526" s="1"/>
    </row>
    <row r="527" customFormat="false" ht="15.75" hidden="false" customHeight="true" outlineLevel="0" collapsed="false">
      <c r="Y527" s="1"/>
      <c r="Z527" s="1"/>
    </row>
    <row r="528" customFormat="false" ht="15.75" hidden="false" customHeight="true" outlineLevel="0" collapsed="false">
      <c r="Y528" s="1"/>
      <c r="Z528" s="1"/>
    </row>
    <row r="529" customFormat="false" ht="15.75" hidden="false" customHeight="true" outlineLevel="0" collapsed="false">
      <c r="Y529" s="1"/>
      <c r="Z529" s="1"/>
    </row>
    <row r="530" customFormat="false" ht="15.75" hidden="false" customHeight="true" outlineLevel="0" collapsed="false">
      <c r="Y530" s="1"/>
      <c r="Z530" s="1"/>
    </row>
    <row r="531" customFormat="false" ht="15.75" hidden="false" customHeight="true" outlineLevel="0" collapsed="false">
      <c r="Y531" s="1"/>
      <c r="Z531" s="1"/>
    </row>
    <row r="532" customFormat="false" ht="15.75" hidden="false" customHeight="true" outlineLevel="0" collapsed="false">
      <c r="Y532" s="1"/>
      <c r="Z532" s="1"/>
    </row>
    <row r="533" customFormat="false" ht="15.75" hidden="false" customHeight="true" outlineLevel="0" collapsed="false">
      <c r="Y533" s="1"/>
      <c r="Z533" s="1"/>
    </row>
    <row r="534" customFormat="false" ht="15.75" hidden="false" customHeight="true" outlineLevel="0" collapsed="false">
      <c r="Y534" s="1"/>
      <c r="Z534" s="1"/>
    </row>
    <row r="535" customFormat="false" ht="15.75" hidden="false" customHeight="true" outlineLevel="0" collapsed="false">
      <c r="Y535" s="1"/>
      <c r="Z535" s="1"/>
    </row>
    <row r="536" customFormat="false" ht="15.75" hidden="false" customHeight="true" outlineLevel="0" collapsed="false">
      <c r="Y536" s="1"/>
      <c r="Z536" s="1"/>
    </row>
    <row r="537" customFormat="false" ht="15.75" hidden="false" customHeight="true" outlineLevel="0" collapsed="false">
      <c r="Y537" s="1"/>
      <c r="Z537" s="1"/>
    </row>
    <row r="538" customFormat="false" ht="15.75" hidden="false" customHeight="true" outlineLevel="0" collapsed="false">
      <c r="Y538" s="1"/>
      <c r="Z538" s="1"/>
    </row>
    <row r="539" customFormat="false" ht="15.75" hidden="false" customHeight="true" outlineLevel="0" collapsed="false">
      <c r="Y539" s="1"/>
      <c r="Z539" s="1"/>
    </row>
    <row r="540" customFormat="false" ht="15.75" hidden="false" customHeight="true" outlineLevel="0" collapsed="false">
      <c r="Y540" s="1"/>
      <c r="Z540" s="1"/>
    </row>
    <row r="541" customFormat="false" ht="15.75" hidden="false" customHeight="true" outlineLevel="0" collapsed="false">
      <c r="Y541" s="1"/>
      <c r="Z541" s="1"/>
    </row>
    <row r="542" customFormat="false" ht="15.75" hidden="false" customHeight="true" outlineLevel="0" collapsed="false">
      <c r="Y542" s="1"/>
      <c r="Z542" s="1"/>
    </row>
    <row r="543" customFormat="false" ht="15.75" hidden="false" customHeight="true" outlineLevel="0" collapsed="false">
      <c r="Y543" s="1"/>
      <c r="Z543" s="1"/>
    </row>
    <row r="544" customFormat="false" ht="15.75" hidden="false" customHeight="true" outlineLevel="0" collapsed="false">
      <c r="Y544" s="1"/>
      <c r="Z544" s="1"/>
    </row>
    <row r="545" customFormat="false" ht="15.75" hidden="false" customHeight="true" outlineLevel="0" collapsed="false">
      <c r="Y545" s="1"/>
      <c r="Z545" s="1"/>
    </row>
    <row r="546" customFormat="false" ht="15.75" hidden="false" customHeight="true" outlineLevel="0" collapsed="false">
      <c r="Y546" s="1"/>
      <c r="Z546" s="1"/>
    </row>
    <row r="547" customFormat="false" ht="15.75" hidden="false" customHeight="true" outlineLevel="0" collapsed="false">
      <c r="Y547" s="1"/>
      <c r="Z547" s="1"/>
    </row>
    <row r="548" customFormat="false" ht="15.75" hidden="false" customHeight="true" outlineLevel="0" collapsed="false">
      <c r="Y548" s="1"/>
      <c r="Z548" s="1"/>
    </row>
    <row r="549" customFormat="false" ht="15.75" hidden="false" customHeight="true" outlineLevel="0" collapsed="false">
      <c r="Y549" s="1"/>
      <c r="Z549" s="1"/>
    </row>
    <row r="550" customFormat="false" ht="15.75" hidden="false" customHeight="true" outlineLevel="0" collapsed="false">
      <c r="Y550" s="1"/>
      <c r="Z550" s="1"/>
    </row>
    <row r="551" customFormat="false" ht="15.75" hidden="false" customHeight="true" outlineLevel="0" collapsed="false">
      <c r="Y551" s="1"/>
      <c r="Z551" s="1"/>
    </row>
    <row r="552" customFormat="false" ht="15.75" hidden="false" customHeight="true" outlineLevel="0" collapsed="false">
      <c r="Y552" s="1"/>
      <c r="Z552" s="1"/>
    </row>
    <row r="553" customFormat="false" ht="15.75" hidden="false" customHeight="true" outlineLevel="0" collapsed="false">
      <c r="Y553" s="1"/>
      <c r="Z553" s="1"/>
    </row>
    <row r="554" customFormat="false" ht="15.75" hidden="false" customHeight="true" outlineLevel="0" collapsed="false">
      <c r="Y554" s="1"/>
      <c r="Z554" s="1"/>
    </row>
    <row r="555" customFormat="false" ht="15.75" hidden="false" customHeight="true" outlineLevel="0" collapsed="false">
      <c r="Y555" s="1"/>
      <c r="Z555" s="1"/>
    </row>
    <row r="556" customFormat="false" ht="15.75" hidden="false" customHeight="true" outlineLevel="0" collapsed="false">
      <c r="Y556" s="1"/>
      <c r="Z556" s="1"/>
    </row>
    <row r="557" customFormat="false" ht="15.75" hidden="false" customHeight="true" outlineLevel="0" collapsed="false">
      <c r="Y557" s="1"/>
      <c r="Z557" s="1"/>
    </row>
    <row r="558" customFormat="false" ht="15.75" hidden="false" customHeight="true" outlineLevel="0" collapsed="false">
      <c r="Y558" s="1"/>
      <c r="Z558" s="1"/>
    </row>
    <row r="559" customFormat="false" ht="15.75" hidden="false" customHeight="true" outlineLevel="0" collapsed="false">
      <c r="Y559" s="1"/>
      <c r="Z559" s="1"/>
    </row>
    <row r="560" customFormat="false" ht="15.75" hidden="false" customHeight="true" outlineLevel="0" collapsed="false">
      <c r="Y560" s="1"/>
      <c r="Z560" s="1"/>
    </row>
    <row r="561" customFormat="false" ht="15.75" hidden="false" customHeight="true" outlineLevel="0" collapsed="false">
      <c r="Y561" s="1"/>
      <c r="Z561" s="1"/>
    </row>
    <row r="562" customFormat="false" ht="15.75" hidden="false" customHeight="true" outlineLevel="0" collapsed="false">
      <c r="Y562" s="1"/>
      <c r="Z562" s="1"/>
    </row>
    <row r="563" customFormat="false" ht="15.75" hidden="false" customHeight="true" outlineLevel="0" collapsed="false">
      <c r="Y563" s="1"/>
      <c r="Z563" s="1"/>
    </row>
    <row r="564" customFormat="false" ht="15.75" hidden="false" customHeight="true" outlineLevel="0" collapsed="false">
      <c r="Y564" s="1"/>
      <c r="Z564" s="1"/>
    </row>
    <row r="565" customFormat="false" ht="15.75" hidden="false" customHeight="true" outlineLevel="0" collapsed="false">
      <c r="Y565" s="1"/>
      <c r="Z565" s="1"/>
    </row>
    <row r="566" customFormat="false" ht="15.75" hidden="false" customHeight="true" outlineLevel="0" collapsed="false">
      <c r="Y566" s="1"/>
      <c r="Z566" s="1"/>
    </row>
    <row r="567" customFormat="false" ht="15.75" hidden="false" customHeight="true" outlineLevel="0" collapsed="false">
      <c r="Y567" s="1"/>
      <c r="Z567" s="1"/>
    </row>
    <row r="568" customFormat="false" ht="15.75" hidden="false" customHeight="true" outlineLevel="0" collapsed="false">
      <c r="Y568" s="1"/>
      <c r="Z568" s="1"/>
    </row>
    <row r="569" customFormat="false" ht="15.75" hidden="false" customHeight="true" outlineLevel="0" collapsed="false">
      <c r="Y569" s="1"/>
      <c r="Z569" s="1"/>
    </row>
    <row r="570" customFormat="false" ht="15.75" hidden="false" customHeight="true" outlineLevel="0" collapsed="false">
      <c r="Y570" s="1"/>
      <c r="Z570" s="1"/>
    </row>
    <row r="571" customFormat="false" ht="15.75" hidden="false" customHeight="true" outlineLevel="0" collapsed="false">
      <c r="Y571" s="1"/>
      <c r="Z571" s="1"/>
    </row>
    <row r="572" customFormat="false" ht="15.75" hidden="false" customHeight="true" outlineLevel="0" collapsed="false">
      <c r="Y572" s="1"/>
      <c r="Z572" s="1"/>
    </row>
    <row r="573" customFormat="false" ht="15.75" hidden="false" customHeight="true" outlineLevel="0" collapsed="false">
      <c r="Y573" s="1"/>
      <c r="Z573" s="1"/>
    </row>
    <row r="574" customFormat="false" ht="15.75" hidden="false" customHeight="true" outlineLevel="0" collapsed="false">
      <c r="Y574" s="1"/>
      <c r="Z574" s="1"/>
    </row>
    <row r="575" customFormat="false" ht="15.75" hidden="false" customHeight="true" outlineLevel="0" collapsed="false">
      <c r="Y575" s="1"/>
      <c r="Z575" s="1"/>
    </row>
    <row r="576" customFormat="false" ht="15.75" hidden="false" customHeight="true" outlineLevel="0" collapsed="false">
      <c r="Y576" s="1"/>
      <c r="Z576" s="1"/>
    </row>
    <row r="577" customFormat="false" ht="15.75" hidden="false" customHeight="true" outlineLevel="0" collapsed="false">
      <c r="Y577" s="1"/>
      <c r="Z577" s="1"/>
    </row>
    <row r="578" customFormat="false" ht="15.75" hidden="false" customHeight="true" outlineLevel="0" collapsed="false">
      <c r="Y578" s="1"/>
      <c r="Z578" s="1"/>
    </row>
    <row r="579" customFormat="false" ht="15.75" hidden="false" customHeight="true" outlineLevel="0" collapsed="false">
      <c r="Y579" s="1"/>
      <c r="Z579" s="1"/>
    </row>
    <row r="580" customFormat="false" ht="15.75" hidden="false" customHeight="true" outlineLevel="0" collapsed="false">
      <c r="Y580" s="1"/>
      <c r="Z580" s="1"/>
    </row>
    <row r="581" customFormat="false" ht="15.75" hidden="false" customHeight="true" outlineLevel="0" collapsed="false">
      <c r="Y581" s="1"/>
      <c r="Z581" s="1"/>
    </row>
    <row r="582" customFormat="false" ht="15.75" hidden="false" customHeight="true" outlineLevel="0" collapsed="false">
      <c r="Y582" s="1"/>
      <c r="Z582" s="1"/>
    </row>
    <row r="583" customFormat="false" ht="15.75" hidden="false" customHeight="true" outlineLevel="0" collapsed="false">
      <c r="Y583" s="1"/>
      <c r="Z583" s="1"/>
    </row>
    <row r="584" customFormat="false" ht="15.75" hidden="false" customHeight="true" outlineLevel="0" collapsed="false">
      <c r="Y584" s="1"/>
      <c r="Z584" s="1"/>
    </row>
    <row r="585" customFormat="false" ht="15.75" hidden="false" customHeight="true" outlineLevel="0" collapsed="false">
      <c r="Y585" s="1"/>
      <c r="Z585" s="1"/>
    </row>
    <row r="586" customFormat="false" ht="15.75" hidden="false" customHeight="true" outlineLevel="0" collapsed="false">
      <c r="Y586" s="1"/>
      <c r="Z586" s="1"/>
    </row>
    <row r="587" customFormat="false" ht="15.75" hidden="false" customHeight="true" outlineLevel="0" collapsed="false">
      <c r="Y587" s="1"/>
      <c r="Z587" s="1"/>
    </row>
    <row r="588" customFormat="false" ht="15.75" hidden="false" customHeight="true" outlineLevel="0" collapsed="false">
      <c r="Y588" s="1"/>
      <c r="Z588" s="1"/>
    </row>
    <row r="589" customFormat="false" ht="15.75" hidden="false" customHeight="true" outlineLevel="0" collapsed="false">
      <c r="Y589" s="1"/>
      <c r="Z589" s="1"/>
    </row>
    <row r="590" customFormat="false" ht="15.75" hidden="false" customHeight="true" outlineLevel="0" collapsed="false">
      <c r="Y590" s="1"/>
      <c r="Z590" s="1"/>
    </row>
    <row r="591" customFormat="false" ht="15.75" hidden="false" customHeight="true" outlineLevel="0" collapsed="false">
      <c r="Y591" s="1"/>
      <c r="Z591" s="1"/>
    </row>
    <row r="592" customFormat="false" ht="15.75" hidden="false" customHeight="true" outlineLevel="0" collapsed="false">
      <c r="Y592" s="1"/>
      <c r="Z592" s="1"/>
    </row>
    <row r="593" customFormat="false" ht="15.75" hidden="false" customHeight="true" outlineLevel="0" collapsed="false">
      <c r="Y593" s="1"/>
      <c r="Z593" s="1"/>
    </row>
    <row r="594" customFormat="false" ht="15.75" hidden="false" customHeight="true" outlineLevel="0" collapsed="false">
      <c r="Y594" s="1"/>
      <c r="Z594" s="1"/>
    </row>
    <row r="595" customFormat="false" ht="15.75" hidden="false" customHeight="true" outlineLevel="0" collapsed="false">
      <c r="Y595" s="1"/>
      <c r="Z595" s="1"/>
    </row>
    <row r="596" customFormat="false" ht="15.75" hidden="false" customHeight="true" outlineLevel="0" collapsed="false">
      <c r="Y596" s="1"/>
      <c r="Z596" s="1"/>
    </row>
    <row r="597" customFormat="false" ht="15.75" hidden="false" customHeight="true" outlineLevel="0" collapsed="false">
      <c r="Y597" s="1"/>
      <c r="Z597" s="1"/>
    </row>
    <row r="598" customFormat="false" ht="15.75" hidden="false" customHeight="true" outlineLevel="0" collapsed="false">
      <c r="Y598" s="1"/>
      <c r="Z598" s="1"/>
    </row>
    <row r="599" customFormat="false" ht="15.75" hidden="false" customHeight="true" outlineLevel="0" collapsed="false">
      <c r="Y599" s="1"/>
      <c r="Z599" s="1"/>
    </row>
    <row r="600" customFormat="false" ht="15.75" hidden="false" customHeight="true" outlineLevel="0" collapsed="false">
      <c r="Y600" s="1"/>
      <c r="Z600" s="1"/>
    </row>
    <row r="601" customFormat="false" ht="15.75" hidden="false" customHeight="true" outlineLevel="0" collapsed="false">
      <c r="Y601" s="1"/>
      <c r="Z601" s="1"/>
    </row>
    <row r="602" customFormat="false" ht="15.75" hidden="false" customHeight="true" outlineLevel="0" collapsed="false">
      <c r="Y602" s="1"/>
      <c r="Z602" s="1"/>
    </row>
    <row r="603" customFormat="false" ht="15.75" hidden="false" customHeight="true" outlineLevel="0" collapsed="false">
      <c r="Y603" s="1"/>
      <c r="Z603" s="1"/>
    </row>
    <row r="604" customFormat="false" ht="15.75" hidden="false" customHeight="true" outlineLevel="0" collapsed="false">
      <c r="Y604" s="1"/>
      <c r="Z604" s="1"/>
    </row>
    <row r="605" customFormat="false" ht="15.75" hidden="false" customHeight="true" outlineLevel="0" collapsed="false">
      <c r="Y605" s="1"/>
      <c r="Z605" s="1"/>
    </row>
    <row r="606" customFormat="false" ht="15.75" hidden="false" customHeight="true" outlineLevel="0" collapsed="false">
      <c r="Y606" s="1"/>
      <c r="Z606" s="1"/>
    </row>
    <row r="607" customFormat="false" ht="15.75" hidden="false" customHeight="true" outlineLevel="0" collapsed="false">
      <c r="Y607" s="1"/>
      <c r="Z607" s="1"/>
    </row>
    <row r="608" customFormat="false" ht="15.75" hidden="false" customHeight="true" outlineLevel="0" collapsed="false">
      <c r="Y608" s="1"/>
      <c r="Z608" s="1"/>
    </row>
    <row r="609" customFormat="false" ht="15.75" hidden="false" customHeight="true" outlineLevel="0" collapsed="false">
      <c r="Y609" s="1"/>
      <c r="Z609" s="1"/>
    </row>
    <row r="610" customFormat="false" ht="15.75" hidden="false" customHeight="true" outlineLevel="0" collapsed="false">
      <c r="Y610" s="1"/>
      <c r="Z610" s="1"/>
    </row>
    <row r="611" customFormat="false" ht="15.75" hidden="false" customHeight="true" outlineLevel="0" collapsed="false">
      <c r="Y611" s="1"/>
      <c r="Z611" s="1"/>
    </row>
    <row r="612" customFormat="false" ht="15.75" hidden="false" customHeight="true" outlineLevel="0" collapsed="false">
      <c r="Y612" s="1"/>
      <c r="Z612" s="1"/>
    </row>
    <row r="613" customFormat="false" ht="15.75" hidden="false" customHeight="true" outlineLevel="0" collapsed="false">
      <c r="Y613" s="1"/>
      <c r="Z613" s="1"/>
    </row>
    <row r="614" customFormat="false" ht="15.75" hidden="false" customHeight="true" outlineLevel="0" collapsed="false">
      <c r="Y614" s="1"/>
      <c r="Z614" s="1"/>
    </row>
    <row r="615" customFormat="false" ht="15.75" hidden="false" customHeight="true" outlineLevel="0" collapsed="false">
      <c r="Y615" s="1"/>
      <c r="Z615" s="1"/>
    </row>
    <row r="616" customFormat="false" ht="15.75" hidden="false" customHeight="true" outlineLevel="0" collapsed="false">
      <c r="Y616" s="1"/>
      <c r="Z616" s="1"/>
    </row>
    <row r="617" customFormat="false" ht="15.75" hidden="false" customHeight="true" outlineLevel="0" collapsed="false">
      <c r="Y617" s="1"/>
      <c r="Z617" s="1"/>
    </row>
    <row r="618" customFormat="false" ht="15.75" hidden="false" customHeight="true" outlineLevel="0" collapsed="false">
      <c r="Y618" s="1"/>
      <c r="Z618" s="1"/>
    </row>
    <row r="619" customFormat="false" ht="15.75" hidden="false" customHeight="true" outlineLevel="0" collapsed="false">
      <c r="Y619" s="1"/>
      <c r="Z619" s="1"/>
    </row>
    <row r="620" customFormat="false" ht="15.75" hidden="false" customHeight="true" outlineLevel="0" collapsed="false">
      <c r="Y620" s="1"/>
      <c r="Z620" s="1"/>
    </row>
    <row r="621" customFormat="false" ht="15.75" hidden="false" customHeight="true" outlineLevel="0" collapsed="false">
      <c r="Y621" s="1"/>
      <c r="Z621" s="1"/>
    </row>
    <row r="622" customFormat="false" ht="15.75" hidden="false" customHeight="true" outlineLevel="0" collapsed="false">
      <c r="Y622" s="1"/>
      <c r="Z622" s="1"/>
    </row>
    <row r="623" customFormat="false" ht="15.75" hidden="false" customHeight="true" outlineLevel="0" collapsed="false">
      <c r="Y623" s="1"/>
      <c r="Z623" s="1"/>
    </row>
    <row r="624" customFormat="false" ht="15.75" hidden="false" customHeight="true" outlineLevel="0" collapsed="false">
      <c r="Y624" s="1"/>
      <c r="Z624" s="1"/>
    </row>
    <row r="625" customFormat="false" ht="15.75" hidden="false" customHeight="true" outlineLevel="0" collapsed="false">
      <c r="Y625" s="1"/>
      <c r="Z625" s="1"/>
    </row>
    <row r="626" customFormat="false" ht="15.75" hidden="false" customHeight="true" outlineLevel="0" collapsed="false">
      <c r="Y626" s="1"/>
      <c r="Z626" s="1"/>
    </row>
    <row r="627" customFormat="false" ht="15.75" hidden="false" customHeight="true" outlineLevel="0" collapsed="false">
      <c r="Y627" s="1"/>
      <c r="Z627" s="1"/>
    </row>
    <row r="628" customFormat="false" ht="15.75" hidden="false" customHeight="true" outlineLevel="0" collapsed="false">
      <c r="Y628" s="1"/>
      <c r="Z628" s="1"/>
    </row>
    <row r="629" customFormat="false" ht="15.75" hidden="false" customHeight="true" outlineLevel="0" collapsed="false">
      <c r="Y629" s="1"/>
      <c r="Z629" s="1"/>
    </row>
    <row r="630" customFormat="false" ht="15.75" hidden="false" customHeight="true" outlineLevel="0" collapsed="false">
      <c r="Y630" s="1"/>
      <c r="Z630" s="1"/>
    </row>
    <row r="631" customFormat="false" ht="15.75" hidden="false" customHeight="true" outlineLevel="0" collapsed="false">
      <c r="Y631" s="1"/>
      <c r="Z631" s="1"/>
    </row>
    <row r="632" customFormat="false" ht="15.75" hidden="false" customHeight="true" outlineLevel="0" collapsed="false">
      <c r="Y632" s="1"/>
      <c r="Z632" s="1"/>
    </row>
    <row r="633" customFormat="false" ht="15.75" hidden="false" customHeight="true" outlineLevel="0" collapsed="false">
      <c r="Y633" s="1"/>
      <c r="Z633" s="1"/>
    </row>
    <row r="634" customFormat="false" ht="15.75" hidden="false" customHeight="true" outlineLevel="0" collapsed="false">
      <c r="Y634" s="1"/>
      <c r="Z634" s="1"/>
    </row>
    <row r="635" customFormat="false" ht="15.75" hidden="false" customHeight="true" outlineLevel="0" collapsed="false">
      <c r="Y635" s="1"/>
      <c r="Z635" s="1"/>
    </row>
    <row r="636" customFormat="false" ht="15.75" hidden="false" customHeight="true" outlineLevel="0" collapsed="false">
      <c r="Y636" s="1"/>
      <c r="Z636" s="1"/>
    </row>
    <row r="637" customFormat="false" ht="15.75" hidden="false" customHeight="true" outlineLevel="0" collapsed="false">
      <c r="Y637" s="1"/>
      <c r="Z637" s="1"/>
    </row>
    <row r="638" customFormat="false" ht="15.75" hidden="false" customHeight="true" outlineLevel="0" collapsed="false">
      <c r="Y638" s="1"/>
      <c r="Z638" s="1"/>
    </row>
    <row r="639" customFormat="false" ht="15.75" hidden="false" customHeight="true" outlineLevel="0" collapsed="false">
      <c r="Y639" s="1"/>
      <c r="Z639" s="1"/>
    </row>
    <row r="640" customFormat="false" ht="15.75" hidden="false" customHeight="true" outlineLevel="0" collapsed="false">
      <c r="Y640" s="1"/>
      <c r="Z640" s="1"/>
    </row>
    <row r="641" customFormat="false" ht="15.75" hidden="false" customHeight="true" outlineLevel="0" collapsed="false">
      <c r="Y641" s="1"/>
      <c r="Z641" s="1"/>
    </row>
    <row r="642" customFormat="false" ht="15.75" hidden="false" customHeight="true" outlineLevel="0" collapsed="false">
      <c r="Y642" s="1"/>
      <c r="Z642" s="1"/>
    </row>
    <row r="643" customFormat="false" ht="15.75" hidden="false" customHeight="true" outlineLevel="0" collapsed="false">
      <c r="Y643" s="1"/>
      <c r="Z643" s="1"/>
    </row>
    <row r="644" customFormat="false" ht="15.75" hidden="false" customHeight="true" outlineLevel="0" collapsed="false">
      <c r="Y644" s="1"/>
      <c r="Z644" s="1"/>
    </row>
    <row r="645" customFormat="false" ht="15.75" hidden="false" customHeight="true" outlineLevel="0" collapsed="false">
      <c r="Y645" s="1"/>
      <c r="Z645" s="1"/>
    </row>
    <row r="646" customFormat="false" ht="15.75" hidden="false" customHeight="true" outlineLevel="0" collapsed="false">
      <c r="Y646" s="1"/>
      <c r="Z646" s="1"/>
    </row>
    <row r="647" customFormat="false" ht="15.75" hidden="false" customHeight="true" outlineLevel="0" collapsed="false">
      <c r="Y647" s="1"/>
      <c r="Z647" s="1"/>
    </row>
    <row r="648" customFormat="false" ht="15.75" hidden="false" customHeight="true" outlineLevel="0" collapsed="false">
      <c r="Y648" s="1"/>
      <c r="Z648" s="1"/>
    </row>
    <row r="649" customFormat="false" ht="15.75" hidden="false" customHeight="true" outlineLevel="0" collapsed="false">
      <c r="Y649" s="1"/>
      <c r="Z649" s="1"/>
    </row>
    <row r="650" customFormat="false" ht="15.75" hidden="false" customHeight="true" outlineLevel="0" collapsed="false">
      <c r="Y650" s="1"/>
      <c r="Z650" s="1"/>
    </row>
    <row r="651" customFormat="false" ht="15.75" hidden="false" customHeight="true" outlineLevel="0" collapsed="false">
      <c r="Y651" s="1"/>
      <c r="Z651" s="1"/>
    </row>
    <row r="652" customFormat="false" ht="15.75" hidden="false" customHeight="true" outlineLevel="0" collapsed="false">
      <c r="Y652" s="1"/>
      <c r="Z652" s="1"/>
    </row>
    <row r="653" customFormat="false" ht="15.75" hidden="false" customHeight="true" outlineLevel="0" collapsed="false">
      <c r="Y653" s="1"/>
      <c r="Z653" s="1"/>
    </row>
    <row r="654" customFormat="false" ht="15.75" hidden="false" customHeight="true" outlineLevel="0" collapsed="false">
      <c r="Y654" s="1"/>
      <c r="Z654" s="1"/>
    </row>
    <row r="655" customFormat="false" ht="15.75" hidden="false" customHeight="true" outlineLevel="0" collapsed="false">
      <c r="Y655" s="1"/>
      <c r="Z655" s="1"/>
    </row>
    <row r="656" customFormat="false" ht="15.75" hidden="false" customHeight="true" outlineLevel="0" collapsed="false">
      <c r="Y656" s="1"/>
      <c r="Z656" s="1"/>
    </row>
    <row r="657" customFormat="false" ht="15.75" hidden="false" customHeight="true" outlineLevel="0" collapsed="false">
      <c r="Y657" s="1"/>
      <c r="Z657" s="1"/>
    </row>
    <row r="658" customFormat="false" ht="15.75" hidden="false" customHeight="true" outlineLevel="0" collapsed="false">
      <c r="Y658" s="1"/>
      <c r="Z658" s="1"/>
    </row>
    <row r="659" customFormat="false" ht="15.75" hidden="false" customHeight="true" outlineLevel="0" collapsed="false">
      <c r="Y659" s="1"/>
      <c r="Z659" s="1"/>
    </row>
    <row r="660" customFormat="false" ht="15.75" hidden="false" customHeight="true" outlineLevel="0" collapsed="false">
      <c r="Y660" s="1"/>
      <c r="Z660" s="1"/>
    </row>
    <row r="661" customFormat="false" ht="15.75" hidden="false" customHeight="true" outlineLevel="0" collapsed="false">
      <c r="Y661" s="1"/>
      <c r="Z661" s="1"/>
    </row>
    <row r="662" customFormat="false" ht="15.75" hidden="false" customHeight="true" outlineLevel="0" collapsed="false">
      <c r="Y662" s="1"/>
      <c r="Z662" s="1"/>
    </row>
    <row r="663" customFormat="false" ht="15.75" hidden="false" customHeight="true" outlineLevel="0" collapsed="false">
      <c r="Y663" s="1"/>
      <c r="Z663" s="1"/>
    </row>
    <row r="664" customFormat="false" ht="15.75" hidden="false" customHeight="true" outlineLevel="0" collapsed="false">
      <c r="Y664" s="1"/>
      <c r="Z664" s="1"/>
    </row>
    <row r="665" customFormat="false" ht="15.75" hidden="false" customHeight="true" outlineLevel="0" collapsed="false">
      <c r="Y665" s="1"/>
      <c r="Z665" s="1"/>
    </row>
    <row r="666" customFormat="false" ht="15.75" hidden="false" customHeight="true" outlineLevel="0" collapsed="false">
      <c r="Y666" s="1"/>
      <c r="Z666" s="1"/>
    </row>
    <row r="667" customFormat="false" ht="15.75" hidden="false" customHeight="true" outlineLevel="0" collapsed="false">
      <c r="Y667" s="1"/>
      <c r="Z667" s="1"/>
    </row>
    <row r="668" customFormat="false" ht="15.75" hidden="false" customHeight="true" outlineLevel="0" collapsed="false">
      <c r="Y668" s="1"/>
      <c r="Z668" s="1"/>
    </row>
    <row r="669" customFormat="false" ht="15.75" hidden="false" customHeight="true" outlineLevel="0" collapsed="false">
      <c r="Y669" s="1"/>
      <c r="Z669" s="1"/>
    </row>
    <row r="670" customFormat="false" ht="15.75" hidden="false" customHeight="true" outlineLevel="0" collapsed="false">
      <c r="Y670" s="1"/>
      <c r="Z670" s="1"/>
    </row>
    <row r="671" customFormat="false" ht="15.75" hidden="false" customHeight="true" outlineLevel="0" collapsed="false">
      <c r="Y671" s="1"/>
      <c r="Z671" s="1"/>
    </row>
    <row r="672" customFormat="false" ht="15.75" hidden="false" customHeight="true" outlineLevel="0" collapsed="false">
      <c r="Y672" s="1"/>
      <c r="Z672" s="1"/>
    </row>
    <row r="673" customFormat="false" ht="15.75" hidden="false" customHeight="true" outlineLevel="0" collapsed="false">
      <c r="Y673" s="1"/>
      <c r="Z673" s="1"/>
    </row>
    <row r="674" customFormat="false" ht="15.75" hidden="false" customHeight="true" outlineLevel="0" collapsed="false">
      <c r="Y674" s="1"/>
      <c r="Z674" s="1"/>
    </row>
    <row r="675" customFormat="false" ht="15.75" hidden="false" customHeight="true" outlineLevel="0" collapsed="false">
      <c r="Y675" s="1"/>
      <c r="Z675" s="1"/>
    </row>
    <row r="676" customFormat="false" ht="15.75" hidden="false" customHeight="true" outlineLevel="0" collapsed="false">
      <c r="Y676" s="1"/>
      <c r="Z676" s="1"/>
    </row>
    <row r="677" customFormat="false" ht="15.75" hidden="false" customHeight="true" outlineLevel="0" collapsed="false">
      <c r="Y677" s="1"/>
      <c r="Z677" s="1"/>
    </row>
    <row r="678" customFormat="false" ht="15.75" hidden="false" customHeight="true" outlineLevel="0" collapsed="false">
      <c r="Y678" s="1"/>
      <c r="Z678" s="1"/>
    </row>
    <row r="679" customFormat="false" ht="15.75" hidden="false" customHeight="true" outlineLevel="0" collapsed="false">
      <c r="Y679" s="1"/>
      <c r="Z679" s="1"/>
    </row>
    <row r="680" customFormat="false" ht="15.75" hidden="false" customHeight="true" outlineLevel="0" collapsed="false">
      <c r="Y680" s="1"/>
      <c r="Z680" s="1"/>
    </row>
    <row r="681" customFormat="false" ht="15.75" hidden="false" customHeight="true" outlineLevel="0" collapsed="false">
      <c r="Y681" s="1"/>
      <c r="Z681" s="1"/>
    </row>
    <row r="682" customFormat="false" ht="15.75" hidden="false" customHeight="true" outlineLevel="0" collapsed="false">
      <c r="Y682" s="1"/>
      <c r="Z682" s="1"/>
    </row>
    <row r="683" customFormat="false" ht="15.75" hidden="false" customHeight="true" outlineLevel="0" collapsed="false">
      <c r="Y683" s="1"/>
      <c r="Z683" s="1"/>
    </row>
    <row r="684" customFormat="false" ht="15.75" hidden="false" customHeight="true" outlineLevel="0" collapsed="false">
      <c r="Y684" s="1"/>
      <c r="Z684" s="1"/>
    </row>
    <row r="685" customFormat="false" ht="15.75" hidden="false" customHeight="true" outlineLevel="0" collapsed="false">
      <c r="Y685" s="1"/>
      <c r="Z685" s="1"/>
    </row>
    <row r="686" customFormat="false" ht="15.75" hidden="false" customHeight="true" outlineLevel="0" collapsed="false">
      <c r="Y686" s="1"/>
      <c r="Z686" s="1"/>
    </row>
    <row r="687" customFormat="false" ht="15.75" hidden="false" customHeight="true" outlineLevel="0" collapsed="false">
      <c r="Y687" s="1"/>
      <c r="Z687" s="1"/>
    </row>
    <row r="688" customFormat="false" ht="15.75" hidden="false" customHeight="true" outlineLevel="0" collapsed="false">
      <c r="Y688" s="1"/>
      <c r="Z688" s="1"/>
    </row>
    <row r="689" customFormat="false" ht="15.75" hidden="false" customHeight="true" outlineLevel="0" collapsed="false">
      <c r="Y689" s="1"/>
      <c r="Z689" s="1"/>
    </row>
    <row r="690" customFormat="false" ht="15.75" hidden="false" customHeight="true" outlineLevel="0" collapsed="false">
      <c r="Y690" s="1"/>
      <c r="Z690" s="1"/>
    </row>
    <row r="691" customFormat="false" ht="15.75" hidden="false" customHeight="true" outlineLevel="0" collapsed="false">
      <c r="Y691" s="1"/>
      <c r="Z691" s="1"/>
    </row>
    <row r="692" customFormat="false" ht="15.75" hidden="false" customHeight="true" outlineLevel="0" collapsed="false">
      <c r="Y692" s="1"/>
      <c r="Z692" s="1"/>
    </row>
    <row r="693" customFormat="false" ht="15.75" hidden="false" customHeight="true" outlineLevel="0" collapsed="false">
      <c r="Y693" s="1"/>
      <c r="Z693" s="1"/>
    </row>
    <row r="694" customFormat="false" ht="15.75" hidden="false" customHeight="true" outlineLevel="0" collapsed="false">
      <c r="Y694" s="1"/>
      <c r="Z694" s="1"/>
    </row>
    <row r="695" customFormat="false" ht="15.75" hidden="false" customHeight="true" outlineLevel="0" collapsed="false">
      <c r="Y695" s="1"/>
      <c r="Z695" s="1"/>
    </row>
    <row r="696" customFormat="false" ht="15.75" hidden="false" customHeight="true" outlineLevel="0" collapsed="false">
      <c r="Y696" s="1"/>
      <c r="Z696" s="1"/>
    </row>
    <row r="697" customFormat="false" ht="15.75" hidden="false" customHeight="true" outlineLevel="0" collapsed="false">
      <c r="Y697" s="1"/>
      <c r="Z697" s="1"/>
    </row>
    <row r="698" customFormat="false" ht="15.75" hidden="false" customHeight="true" outlineLevel="0" collapsed="false">
      <c r="Y698" s="1"/>
      <c r="Z698" s="1"/>
    </row>
    <row r="699" customFormat="false" ht="15.75" hidden="false" customHeight="true" outlineLevel="0" collapsed="false">
      <c r="Y699" s="1"/>
      <c r="Z699" s="1"/>
    </row>
    <row r="700" customFormat="false" ht="15.75" hidden="false" customHeight="true" outlineLevel="0" collapsed="false">
      <c r="Y700" s="1"/>
      <c r="Z700" s="1"/>
    </row>
    <row r="701" customFormat="false" ht="15.75" hidden="false" customHeight="true" outlineLevel="0" collapsed="false">
      <c r="Y701" s="1"/>
      <c r="Z701" s="1"/>
    </row>
    <row r="702" customFormat="false" ht="15.75" hidden="false" customHeight="true" outlineLevel="0" collapsed="false">
      <c r="Y702" s="1"/>
      <c r="Z702" s="1"/>
    </row>
    <row r="703" customFormat="false" ht="15.75" hidden="false" customHeight="true" outlineLevel="0" collapsed="false">
      <c r="Y703" s="1"/>
      <c r="Z703" s="1"/>
    </row>
    <row r="704" customFormat="false" ht="15.75" hidden="false" customHeight="true" outlineLevel="0" collapsed="false">
      <c r="Y704" s="1"/>
      <c r="Z704" s="1"/>
    </row>
    <row r="705" customFormat="false" ht="15.75" hidden="false" customHeight="true" outlineLevel="0" collapsed="false">
      <c r="Y705" s="1"/>
      <c r="Z705" s="1"/>
    </row>
    <row r="706" customFormat="false" ht="15.75" hidden="false" customHeight="true" outlineLevel="0" collapsed="false">
      <c r="Y706" s="1"/>
      <c r="Z706" s="1"/>
    </row>
    <row r="707" customFormat="false" ht="15.75" hidden="false" customHeight="true" outlineLevel="0" collapsed="false">
      <c r="Y707" s="1"/>
      <c r="Z707" s="1"/>
    </row>
    <row r="708" customFormat="false" ht="15.75" hidden="false" customHeight="true" outlineLevel="0" collapsed="false">
      <c r="Y708" s="1"/>
      <c r="Z708" s="1"/>
    </row>
    <row r="709" customFormat="false" ht="15.75" hidden="false" customHeight="true" outlineLevel="0" collapsed="false">
      <c r="Y709" s="1"/>
      <c r="Z709" s="1"/>
    </row>
    <row r="710" customFormat="false" ht="15.75" hidden="false" customHeight="true" outlineLevel="0" collapsed="false">
      <c r="Y710" s="1"/>
      <c r="Z710" s="1"/>
    </row>
    <row r="711" customFormat="false" ht="15.75" hidden="false" customHeight="true" outlineLevel="0" collapsed="false">
      <c r="Y711" s="1"/>
      <c r="Z711" s="1"/>
    </row>
    <row r="712" customFormat="false" ht="15.75" hidden="false" customHeight="true" outlineLevel="0" collapsed="false">
      <c r="Y712" s="1"/>
      <c r="Z712" s="1"/>
    </row>
    <row r="713" customFormat="false" ht="15.75" hidden="false" customHeight="true" outlineLevel="0" collapsed="false">
      <c r="Y713" s="1"/>
      <c r="Z713" s="1"/>
    </row>
    <row r="714" customFormat="false" ht="15.75" hidden="false" customHeight="true" outlineLevel="0" collapsed="false">
      <c r="Y714" s="1"/>
      <c r="Z714" s="1"/>
    </row>
    <row r="715" customFormat="false" ht="15.75" hidden="false" customHeight="true" outlineLevel="0" collapsed="false">
      <c r="Y715" s="1"/>
      <c r="Z715" s="1"/>
    </row>
    <row r="716" customFormat="false" ht="15.75" hidden="false" customHeight="true" outlineLevel="0" collapsed="false">
      <c r="Y716" s="1"/>
      <c r="Z716" s="1"/>
    </row>
    <row r="717" customFormat="false" ht="15.75" hidden="false" customHeight="true" outlineLevel="0" collapsed="false">
      <c r="Y717" s="1"/>
      <c r="Z717" s="1"/>
    </row>
    <row r="718" customFormat="false" ht="15.75" hidden="false" customHeight="true" outlineLevel="0" collapsed="false">
      <c r="Y718" s="1"/>
      <c r="Z718" s="1"/>
    </row>
    <row r="719" customFormat="false" ht="15.75" hidden="false" customHeight="true" outlineLevel="0" collapsed="false">
      <c r="Y719" s="1"/>
      <c r="Z719" s="1"/>
    </row>
    <row r="720" customFormat="false" ht="15.75" hidden="false" customHeight="true" outlineLevel="0" collapsed="false">
      <c r="Y720" s="1"/>
      <c r="Z720" s="1"/>
    </row>
    <row r="721" customFormat="false" ht="15.75" hidden="false" customHeight="true" outlineLevel="0" collapsed="false">
      <c r="Y721" s="1"/>
      <c r="Z721" s="1"/>
    </row>
    <row r="722" customFormat="false" ht="15.75" hidden="false" customHeight="true" outlineLevel="0" collapsed="false">
      <c r="Y722" s="1"/>
      <c r="Z722" s="1"/>
    </row>
    <row r="723" customFormat="false" ht="15.75" hidden="false" customHeight="true" outlineLevel="0" collapsed="false">
      <c r="Y723" s="1"/>
      <c r="Z723" s="1"/>
    </row>
    <row r="724" customFormat="false" ht="15.75" hidden="false" customHeight="true" outlineLevel="0" collapsed="false">
      <c r="Y724" s="1"/>
      <c r="Z724" s="1"/>
    </row>
    <row r="725" customFormat="false" ht="15.75" hidden="false" customHeight="true" outlineLevel="0" collapsed="false">
      <c r="Y725" s="1"/>
      <c r="Z725" s="1"/>
    </row>
    <row r="726" customFormat="false" ht="15.75" hidden="false" customHeight="true" outlineLevel="0" collapsed="false">
      <c r="Y726" s="1"/>
      <c r="Z726" s="1"/>
    </row>
    <row r="727" customFormat="false" ht="15.75" hidden="false" customHeight="true" outlineLevel="0" collapsed="false">
      <c r="Y727" s="1"/>
      <c r="Z727" s="1"/>
    </row>
    <row r="728" customFormat="false" ht="15.75" hidden="false" customHeight="true" outlineLevel="0" collapsed="false">
      <c r="Y728" s="1"/>
      <c r="Z728" s="1"/>
    </row>
    <row r="729" customFormat="false" ht="15.75" hidden="false" customHeight="true" outlineLevel="0" collapsed="false">
      <c r="Y729" s="1"/>
      <c r="Z729" s="1"/>
    </row>
    <row r="730" customFormat="false" ht="15.75" hidden="false" customHeight="true" outlineLevel="0" collapsed="false">
      <c r="Y730" s="1"/>
      <c r="Z730" s="1"/>
    </row>
    <row r="731" customFormat="false" ht="15.75" hidden="false" customHeight="true" outlineLevel="0" collapsed="false">
      <c r="Y731" s="1"/>
      <c r="Z731" s="1"/>
    </row>
    <row r="732" customFormat="false" ht="15.75" hidden="false" customHeight="true" outlineLevel="0" collapsed="false">
      <c r="Y732" s="1"/>
      <c r="Z732" s="1"/>
    </row>
    <row r="733" customFormat="false" ht="15.75" hidden="false" customHeight="true" outlineLevel="0" collapsed="false">
      <c r="Y733" s="1"/>
      <c r="Z733" s="1"/>
    </row>
    <row r="734" customFormat="false" ht="15.75" hidden="false" customHeight="true" outlineLevel="0" collapsed="false">
      <c r="Y734" s="1"/>
      <c r="Z734" s="1"/>
    </row>
    <row r="735" customFormat="false" ht="15.75" hidden="false" customHeight="true" outlineLevel="0" collapsed="false">
      <c r="Y735" s="1"/>
      <c r="Z735" s="1"/>
    </row>
    <row r="736" customFormat="false" ht="15.75" hidden="false" customHeight="true" outlineLevel="0" collapsed="false">
      <c r="Y736" s="1"/>
      <c r="Z736" s="1"/>
    </row>
    <row r="737" customFormat="false" ht="15.75" hidden="false" customHeight="true" outlineLevel="0" collapsed="false">
      <c r="Y737" s="1"/>
      <c r="Z737" s="1"/>
    </row>
    <row r="738" customFormat="false" ht="15.75" hidden="false" customHeight="true" outlineLevel="0" collapsed="false">
      <c r="Y738" s="1"/>
      <c r="Z738" s="1"/>
    </row>
    <row r="739" customFormat="false" ht="15.75" hidden="false" customHeight="true" outlineLevel="0" collapsed="false">
      <c r="Y739" s="1"/>
      <c r="Z739" s="1"/>
    </row>
    <row r="740" customFormat="false" ht="15.75" hidden="false" customHeight="true" outlineLevel="0" collapsed="false">
      <c r="Y740" s="1"/>
      <c r="Z740" s="1"/>
    </row>
    <row r="741" customFormat="false" ht="15.75" hidden="false" customHeight="true" outlineLevel="0" collapsed="false">
      <c r="Y741" s="1"/>
      <c r="Z741" s="1"/>
    </row>
    <row r="742" customFormat="false" ht="15.75" hidden="false" customHeight="true" outlineLevel="0" collapsed="false">
      <c r="Y742" s="1"/>
      <c r="Z742" s="1"/>
    </row>
    <row r="743" customFormat="false" ht="15.75" hidden="false" customHeight="true" outlineLevel="0" collapsed="false">
      <c r="Y743" s="1"/>
      <c r="Z743" s="1"/>
    </row>
    <row r="744" customFormat="false" ht="15.75" hidden="false" customHeight="true" outlineLevel="0" collapsed="false">
      <c r="Y744" s="1"/>
      <c r="Z744" s="1"/>
    </row>
    <row r="745" customFormat="false" ht="15.75" hidden="false" customHeight="true" outlineLevel="0" collapsed="false">
      <c r="Y745" s="1"/>
      <c r="Z745" s="1"/>
    </row>
    <row r="746" customFormat="false" ht="15.75" hidden="false" customHeight="true" outlineLevel="0" collapsed="false">
      <c r="Y746" s="1"/>
      <c r="Z746" s="1"/>
    </row>
    <row r="747" customFormat="false" ht="15.75" hidden="false" customHeight="true" outlineLevel="0" collapsed="false">
      <c r="Y747" s="1"/>
      <c r="Z747" s="1"/>
    </row>
    <row r="748" customFormat="false" ht="15.75" hidden="false" customHeight="true" outlineLevel="0" collapsed="false">
      <c r="Y748" s="1"/>
      <c r="Z748" s="1"/>
    </row>
    <row r="749" customFormat="false" ht="15.75" hidden="false" customHeight="true" outlineLevel="0" collapsed="false">
      <c r="Y749" s="1"/>
      <c r="Z749" s="1"/>
    </row>
    <row r="750" customFormat="false" ht="15.75" hidden="false" customHeight="true" outlineLevel="0" collapsed="false">
      <c r="Y750" s="1"/>
      <c r="Z750" s="1"/>
    </row>
    <row r="751" customFormat="false" ht="15.75" hidden="false" customHeight="true" outlineLevel="0" collapsed="false">
      <c r="Y751" s="1"/>
      <c r="Z751" s="1"/>
    </row>
    <row r="752" customFormat="false" ht="15.75" hidden="false" customHeight="true" outlineLevel="0" collapsed="false">
      <c r="Y752" s="1"/>
      <c r="Z752" s="1"/>
    </row>
    <row r="753" customFormat="false" ht="15.75" hidden="false" customHeight="true" outlineLevel="0" collapsed="false">
      <c r="Y753" s="1"/>
      <c r="Z753" s="1"/>
    </row>
    <row r="754" customFormat="false" ht="15.75" hidden="false" customHeight="true" outlineLevel="0" collapsed="false">
      <c r="Y754" s="1"/>
      <c r="Z754" s="1"/>
    </row>
    <row r="755" customFormat="false" ht="15.75" hidden="false" customHeight="true" outlineLevel="0" collapsed="false">
      <c r="Y755" s="1"/>
      <c r="Z755" s="1"/>
    </row>
    <row r="756" customFormat="false" ht="15.75" hidden="false" customHeight="true" outlineLevel="0" collapsed="false">
      <c r="Y756" s="1"/>
      <c r="Z756" s="1"/>
    </row>
    <row r="757" customFormat="false" ht="15.75" hidden="false" customHeight="true" outlineLevel="0" collapsed="false">
      <c r="Y757" s="1"/>
      <c r="Z757" s="1"/>
    </row>
    <row r="758" customFormat="false" ht="15.75" hidden="false" customHeight="true" outlineLevel="0" collapsed="false">
      <c r="Y758" s="1"/>
      <c r="Z758" s="1"/>
    </row>
    <row r="759" customFormat="false" ht="15.75" hidden="false" customHeight="true" outlineLevel="0" collapsed="false">
      <c r="Y759" s="1"/>
      <c r="Z759" s="1"/>
    </row>
    <row r="760" customFormat="false" ht="15.75" hidden="false" customHeight="true" outlineLevel="0" collapsed="false">
      <c r="Y760" s="1"/>
      <c r="Z760" s="1"/>
    </row>
    <row r="761" customFormat="false" ht="15.75" hidden="false" customHeight="true" outlineLevel="0" collapsed="false">
      <c r="Y761" s="1"/>
      <c r="Z761" s="1"/>
    </row>
    <row r="762" customFormat="false" ht="15.75" hidden="false" customHeight="true" outlineLevel="0" collapsed="false">
      <c r="Y762" s="1"/>
      <c r="Z762" s="1"/>
    </row>
    <row r="763" customFormat="false" ht="15.75" hidden="false" customHeight="true" outlineLevel="0" collapsed="false">
      <c r="Y763" s="1"/>
      <c r="Z763" s="1"/>
    </row>
    <row r="764" customFormat="false" ht="15.75" hidden="false" customHeight="true" outlineLevel="0" collapsed="false">
      <c r="Y764" s="1"/>
      <c r="Z764" s="1"/>
    </row>
    <row r="765" customFormat="false" ht="15.75" hidden="false" customHeight="true" outlineLevel="0" collapsed="false">
      <c r="Y765" s="1"/>
      <c r="Z765" s="1"/>
    </row>
    <row r="766" customFormat="false" ht="15.75" hidden="false" customHeight="true" outlineLevel="0" collapsed="false">
      <c r="Y766" s="1"/>
      <c r="Z766" s="1"/>
    </row>
    <row r="767" customFormat="false" ht="15.75" hidden="false" customHeight="true" outlineLevel="0" collapsed="false">
      <c r="Y767" s="1"/>
      <c r="Z767" s="1"/>
    </row>
    <row r="768" customFormat="false" ht="15.75" hidden="false" customHeight="true" outlineLevel="0" collapsed="false">
      <c r="Y768" s="1"/>
      <c r="Z768" s="1"/>
    </row>
    <row r="769" customFormat="false" ht="15.75" hidden="false" customHeight="true" outlineLevel="0" collapsed="false">
      <c r="Y769" s="1"/>
      <c r="Z769" s="1"/>
    </row>
    <row r="770" customFormat="false" ht="15.75" hidden="false" customHeight="true" outlineLevel="0" collapsed="false">
      <c r="Y770" s="1"/>
      <c r="Z770" s="1"/>
    </row>
    <row r="771" customFormat="false" ht="15.75" hidden="false" customHeight="true" outlineLevel="0" collapsed="false">
      <c r="Y771" s="1"/>
      <c r="Z771" s="1"/>
    </row>
    <row r="772" customFormat="false" ht="15.75" hidden="false" customHeight="true" outlineLevel="0" collapsed="false">
      <c r="Y772" s="1"/>
      <c r="Z772" s="1"/>
    </row>
    <row r="773" customFormat="false" ht="15.75" hidden="false" customHeight="true" outlineLevel="0" collapsed="false">
      <c r="Y773" s="1"/>
      <c r="Z773" s="1"/>
    </row>
    <row r="774" customFormat="false" ht="15.75" hidden="false" customHeight="true" outlineLevel="0" collapsed="false">
      <c r="Y774" s="1"/>
      <c r="Z774" s="1"/>
    </row>
    <row r="775" customFormat="false" ht="15.75" hidden="false" customHeight="true" outlineLevel="0" collapsed="false">
      <c r="Y775" s="1"/>
      <c r="Z775" s="1"/>
    </row>
    <row r="776" customFormat="false" ht="15.75" hidden="false" customHeight="true" outlineLevel="0" collapsed="false">
      <c r="Y776" s="1"/>
      <c r="Z776" s="1"/>
    </row>
    <row r="777" customFormat="false" ht="15.75" hidden="false" customHeight="true" outlineLevel="0" collapsed="false">
      <c r="Y777" s="1"/>
      <c r="Z777" s="1"/>
    </row>
    <row r="778" customFormat="false" ht="15.75" hidden="false" customHeight="true" outlineLevel="0" collapsed="false">
      <c r="Y778" s="1"/>
      <c r="Z778" s="1"/>
    </row>
    <row r="779" customFormat="false" ht="15.75" hidden="false" customHeight="true" outlineLevel="0" collapsed="false">
      <c r="Y779" s="1"/>
      <c r="Z779" s="1"/>
    </row>
    <row r="780" customFormat="false" ht="15.75" hidden="false" customHeight="true" outlineLevel="0" collapsed="false">
      <c r="Y780" s="1"/>
      <c r="Z780" s="1"/>
    </row>
    <row r="781" customFormat="false" ht="15.75" hidden="false" customHeight="true" outlineLevel="0" collapsed="false">
      <c r="Y781" s="1"/>
      <c r="Z781" s="1"/>
    </row>
    <row r="782" customFormat="false" ht="15.75" hidden="false" customHeight="true" outlineLevel="0" collapsed="false">
      <c r="Y782" s="1"/>
      <c r="Z782" s="1"/>
    </row>
    <row r="783" customFormat="false" ht="15.75" hidden="false" customHeight="true" outlineLevel="0" collapsed="false">
      <c r="Y783" s="1"/>
      <c r="Z783" s="1"/>
    </row>
    <row r="784" customFormat="false" ht="15.75" hidden="false" customHeight="true" outlineLevel="0" collapsed="false">
      <c r="Y784" s="1"/>
      <c r="Z784" s="1"/>
    </row>
    <row r="785" customFormat="false" ht="15.75" hidden="false" customHeight="true" outlineLevel="0" collapsed="false">
      <c r="Y785" s="1"/>
      <c r="Z785" s="1"/>
    </row>
    <row r="786" customFormat="false" ht="15.75" hidden="false" customHeight="true" outlineLevel="0" collapsed="false">
      <c r="Y786" s="1"/>
      <c r="Z786" s="1"/>
    </row>
    <row r="787" customFormat="false" ht="15.75" hidden="false" customHeight="true" outlineLevel="0" collapsed="false">
      <c r="Y787" s="1"/>
      <c r="Z787" s="1"/>
    </row>
    <row r="788" customFormat="false" ht="15.75" hidden="false" customHeight="true" outlineLevel="0" collapsed="false">
      <c r="Y788" s="1"/>
      <c r="Z788" s="1"/>
    </row>
    <row r="789" customFormat="false" ht="15.75" hidden="false" customHeight="true" outlineLevel="0" collapsed="false">
      <c r="Y789" s="1"/>
      <c r="Z789" s="1"/>
    </row>
    <row r="790" customFormat="false" ht="15.75" hidden="false" customHeight="true" outlineLevel="0" collapsed="false">
      <c r="Y790" s="1"/>
      <c r="Z790" s="1"/>
    </row>
    <row r="791" customFormat="false" ht="15.75" hidden="false" customHeight="true" outlineLevel="0" collapsed="false">
      <c r="Y791" s="1"/>
      <c r="Z791" s="1"/>
    </row>
    <row r="792" customFormat="false" ht="15.75" hidden="false" customHeight="true" outlineLevel="0" collapsed="false">
      <c r="Y792" s="1"/>
      <c r="Z792" s="1"/>
    </row>
    <row r="793" customFormat="false" ht="15.75" hidden="false" customHeight="true" outlineLevel="0" collapsed="false">
      <c r="Y793" s="1"/>
      <c r="Z793" s="1"/>
    </row>
    <row r="794" customFormat="false" ht="15.75" hidden="false" customHeight="true" outlineLevel="0" collapsed="false">
      <c r="Y794" s="1"/>
      <c r="Z794" s="1"/>
    </row>
    <row r="795" customFormat="false" ht="15.75" hidden="false" customHeight="true" outlineLevel="0" collapsed="false">
      <c r="Y795" s="1"/>
      <c r="Z795" s="1"/>
    </row>
    <row r="796" customFormat="false" ht="15.75" hidden="false" customHeight="true" outlineLevel="0" collapsed="false">
      <c r="Y796" s="1"/>
      <c r="Z796" s="1"/>
    </row>
    <row r="797" customFormat="false" ht="15.75" hidden="false" customHeight="true" outlineLevel="0" collapsed="false">
      <c r="Y797" s="1"/>
      <c r="Z797" s="1"/>
    </row>
    <row r="798" customFormat="false" ht="15.75" hidden="false" customHeight="true" outlineLevel="0" collapsed="false">
      <c r="Y798" s="1"/>
      <c r="Z798" s="1"/>
    </row>
    <row r="799" customFormat="false" ht="15.75" hidden="false" customHeight="true" outlineLevel="0" collapsed="false">
      <c r="Y799" s="1"/>
      <c r="Z799" s="1"/>
    </row>
    <row r="800" customFormat="false" ht="15.75" hidden="false" customHeight="true" outlineLevel="0" collapsed="false">
      <c r="Y800" s="1"/>
      <c r="Z800" s="1"/>
    </row>
    <row r="801" customFormat="false" ht="15.75" hidden="false" customHeight="true" outlineLevel="0" collapsed="false">
      <c r="Y801" s="1"/>
      <c r="Z801" s="1"/>
    </row>
    <row r="802" customFormat="false" ht="15.75" hidden="false" customHeight="true" outlineLevel="0" collapsed="false">
      <c r="Y802" s="1"/>
      <c r="Z802" s="1"/>
    </row>
    <row r="803" customFormat="false" ht="15.75" hidden="false" customHeight="true" outlineLevel="0" collapsed="false">
      <c r="Y803" s="1"/>
      <c r="Z803" s="1"/>
    </row>
    <row r="804" customFormat="false" ht="15.75" hidden="false" customHeight="true" outlineLevel="0" collapsed="false">
      <c r="Y804" s="1"/>
      <c r="Z804" s="1"/>
    </row>
    <row r="805" customFormat="false" ht="15.75" hidden="false" customHeight="true" outlineLevel="0" collapsed="false">
      <c r="Y805" s="1"/>
      <c r="Z805" s="1"/>
    </row>
    <row r="806" customFormat="false" ht="15.75" hidden="false" customHeight="true" outlineLevel="0" collapsed="false">
      <c r="Y806" s="1"/>
      <c r="Z806" s="1"/>
    </row>
    <row r="807" customFormat="false" ht="15.75" hidden="false" customHeight="true" outlineLevel="0" collapsed="false">
      <c r="Y807" s="1"/>
      <c r="Z807" s="1"/>
    </row>
    <row r="808" customFormat="false" ht="15.75" hidden="false" customHeight="true" outlineLevel="0" collapsed="false">
      <c r="Y808" s="1"/>
      <c r="Z808" s="1"/>
    </row>
    <row r="809" customFormat="false" ht="15.75" hidden="false" customHeight="true" outlineLevel="0" collapsed="false">
      <c r="Y809" s="1"/>
      <c r="Z809" s="1"/>
    </row>
    <row r="810" customFormat="false" ht="15.75" hidden="false" customHeight="true" outlineLevel="0" collapsed="false">
      <c r="Y810" s="1"/>
      <c r="Z810" s="1"/>
    </row>
    <row r="811" customFormat="false" ht="15.75" hidden="false" customHeight="true" outlineLevel="0" collapsed="false">
      <c r="Y811" s="1"/>
      <c r="Z811" s="1"/>
    </row>
    <row r="812" customFormat="false" ht="15.75" hidden="false" customHeight="true" outlineLevel="0" collapsed="false">
      <c r="Y812" s="1"/>
      <c r="Z812" s="1"/>
    </row>
    <row r="813" customFormat="false" ht="15.75" hidden="false" customHeight="true" outlineLevel="0" collapsed="false">
      <c r="Y813" s="1"/>
      <c r="Z813" s="1"/>
    </row>
    <row r="814" customFormat="false" ht="15.75" hidden="false" customHeight="true" outlineLevel="0" collapsed="false">
      <c r="Y814" s="1"/>
      <c r="Z814" s="1"/>
    </row>
    <row r="815" customFormat="false" ht="15.75" hidden="false" customHeight="true" outlineLevel="0" collapsed="false">
      <c r="Y815" s="1"/>
      <c r="Z815" s="1"/>
    </row>
    <row r="816" customFormat="false" ht="15.75" hidden="false" customHeight="true" outlineLevel="0" collapsed="false">
      <c r="Y816" s="1"/>
      <c r="Z816" s="1"/>
    </row>
    <row r="817" customFormat="false" ht="15.75" hidden="false" customHeight="true" outlineLevel="0" collapsed="false">
      <c r="Y817" s="1"/>
      <c r="Z817" s="1"/>
    </row>
    <row r="818" customFormat="false" ht="15.75" hidden="false" customHeight="true" outlineLevel="0" collapsed="false">
      <c r="Y818" s="1"/>
      <c r="Z818" s="1"/>
    </row>
    <row r="819" customFormat="false" ht="15.75" hidden="false" customHeight="true" outlineLevel="0" collapsed="false">
      <c r="Y819" s="1"/>
      <c r="Z819" s="1"/>
    </row>
    <row r="820" customFormat="false" ht="15.75" hidden="false" customHeight="true" outlineLevel="0" collapsed="false">
      <c r="Y820" s="1"/>
      <c r="Z820" s="1"/>
    </row>
    <row r="821" customFormat="false" ht="15.75" hidden="false" customHeight="true" outlineLevel="0" collapsed="false">
      <c r="Y821" s="1"/>
      <c r="Z821" s="1"/>
    </row>
    <row r="822" customFormat="false" ht="15.75" hidden="false" customHeight="true" outlineLevel="0" collapsed="false">
      <c r="Y822" s="1"/>
      <c r="Z822" s="1"/>
    </row>
    <row r="823" customFormat="false" ht="15.75" hidden="false" customHeight="true" outlineLevel="0" collapsed="false">
      <c r="Y823" s="1"/>
      <c r="Z823" s="1"/>
    </row>
    <row r="824" customFormat="false" ht="15.75" hidden="false" customHeight="true" outlineLevel="0" collapsed="false">
      <c r="Y824" s="1"/>
      <c r="Z824" s="1"/>
    </row>
    <row r="825" customFormat="false" ht="15.75" hidden="false" customHeight="true" outlineLevel="0" collapsed="false">
      <c r="Y825" s="1"/>
      <c r="Z825" s="1"/>
    </row>
    <row r="826" customFormat="false" ht="15.75" hidden="false" customHeight="true" outlineLevel="0" collapsed="false">
      <c r="Y826" s="1"/>
      <c r="Z826" s="1"/>
    </row>
    <row r="827" customFormat="false" ht="15.75" hidden="false" customHeight="true" outlineLevel="0" collapsed="false">
      <c r="Y827" s="1"/>
      <c r="Z827" s="1"/>
    </row>
    <row r="828" customFormat="false" ht="15.75" hidden="false" customHeight="true" outlineLevel="0" collapsed="false">
      <c r="Y828" s="1"/>
      <c r="Z828" s="1"/>
    </row>
    <row r="829" customFormat="false" ht="15.75" hidden="false" customHeight="true" outlineLevel="0" collapsed="false">
      <c r="Y829" s="1"/>
      <c r="Z829" s="1"/>
    </row>
    <row r="830" customFormat="false" ht="15.75" hidden="false" customHeight="true" outlineLevel="0" collapsed="false">
      <c r="Y830" s="1"/>
      <c r="Z830" s="1"/>
    </row>
    <row r="831" customFormat="false" ht="15.75" hidden="false" customHeight="true" outlineLevel="0" collapsed="false">
      <c r="Y831" s="1"/>
      <c r="Z831" s="1"/>
    </row>
    <row r="832" customFormat="false" ht="15.75" hidden="false" customHeight="true" outlineLevel="0" collapsed="false">
      <c r="Y832" s="1"/>
      <c r="Z832" s="1"/>
    </row>
    <row r="833" customFormat="false" ht="15.75" hidden="false" customHeight="true" outlineLevel="0" collapsed="false">
      <c r="Y833" s="1"/>
      <c r="Z833" s="1"/>
    </row>
    <row r="834" customFormat="false" ht="15.75" hidden="false" customHeight="true" outlineLevel="0" collapsed="false">
      <c r="Y834" s="1"/>
      <c r="Z834" s="1"/>
    </row>
    <row r="835" customFormat="false" ht="15.75" hidden="false" customHeight="true" outlineLevel="0" collapsed="false">
      <c r="Y835" s="1"/>
      <c r="Z835" s="1"/>
    </row>
    <row r="836" customFormat="false" ht="15.75" hidden="false" customHeight="true" outlineLevel="0" collapsed="false">
      <c r="Y836" s="1"/>
      <c r="Z836" s="1"/>
    </row>
    <row r="837" customFormat="false" ht="15.75" hidden="false" customHeight="true" outlineLevel="0" collapsed="false">
      <c r="Y837" s="1"/>
      <c r="Z837" s="1"/>
    </row>
    <row r="838" customFormat="false" ht="15.75" hidden="false" customHeight="true" outlineLevel="0" collapsed="false">
      <c r="Y838" s="1"/>
      <c r="Z838" s="1"/>
    </row>
    <row r="839" customFormat="false" ht="15.75" hidden="false" customHeight="true" outlineLevel="0" collapsed="false">
      <c r="Y839" s="1"/>
      <c r="Z839" s="1"/>
    </row>
    <row r="840" customFormat="false" ht="15.75" hidden="false" customHeight="true" outlineLevel="0" collapsed="false">
      <c r="Y840" s="1"/>
      <c r="Z840" s="1"/>
    </row>
    <row r="841" customFormat="false" ht="15.75" hidden="false" customHeight="true" outlineLevel="0" collapsed="false">
      <c r="Y841" s="1"/>
      <c r="Z841" s="1"/>
    </row>
    <row r="842" customFormat="false" ht="15.75" hidden="false" customHeight="true" outlineLevel="0" collapsed="false">
      <c r="Y842" s="1"/>
      <c r="Z842" s="1"/>
    </row>
    <row r="843" customFormat="false" ht="15.75" hidden="false" customHeight="true" outlineLevel="0" collapsed="false">
      <c r="Y843" s="1"/>
      <c r="Z843" s="1"/>
    </row>
    <row r="844" customFormat="false" ht="15.75" hidden="false" customHeight="true" outlineLevel="0" collapsed="false">
      <c r="Y844" s="1"/>
      <c r="Z844" s="1"/>
    </row>
    <row r="845" customFormat="false" ht="15.75" hidden="false" customHeight="true" outlineLevel="0" collapsed="false">
      <c r="Y845" s="1"/>
      <c r="Z845" s="1"/>
    </row>
    <row r="846" customFormat="false" ht="15.75" hidden="false" customHeight="true" outlineLevel="0" collapsed="false">
      <c r="Y846" s="1"/>
      <c r="Z846" s="1"/>
    </row>
    <row r="847" customFormat="false" ht="15.75" hidden="false" customHeight="true" outlineLevel="0" collapsed="false">
      <c r="Y847" s="1"/>
      <c r="Z847" s="1"/>
    </row>
    <row r="848" customFormat="false" ht="15.75" hidden="false" customHeight="true" outlineLevel="0" collapsed="false">
      <c r="Y848" s="1"/>
      <c r="Z848" s="1"/>
    </row>
    <row r="849" customFormat="false" ht="15.75" hidden="false" customHeight="true" outlineLevel="0" collapsed="false">
      <c r="Y849" s="1"/>
      <c r="Z849" s="1"/>
    </row>
    <row r="850" customFormat="false" ht="15.75" hidden="false" customHeight="true" outlineLevel="0" collapsed="false">
      <c r="Y850" s="1"/>
      <c r="Z850" s="1"/>
    </row>
    <row r="851" customFormat="false" ht="15.75" hidden="false" customHeight="true" outlineLevel="0" collapsed="false">
      <c r="Y851" s="1"/>
      <c r="Z851" s="1"/>
    </row>
    <row r="852" customFormat="false" ht="15.75" hidden="false" customHeight="true" outlineLevel="0" collapsed="false">
      <c r="Y852" s="1"/>
      <c r="Z852" s="1"/>
    </row>
    <row r="853" customFormat="false" ht="15.75" hidden="false" customHeight="true" outlineLevel="0" collapsed="false">
      <c r="Y853" s="1"/>
      <c r="Z853" s="1"/>
    </row>
    <row r="854" customFormat="false" ht="15.75" hidden="false" customHeight="true" outlineLevel="0" collapsed="false">
      <c r="Y854" s="1"/>
      <c r="Z854" s="1"/>
    </row>
    <row r="855" customFormat="false" ht="15.75" hidden="false" customHeight="true" outlineLevel="0" collapsed="false">
      <c r="Y855" s="1"/>
      <c r="Z855" s="1"/>
    </row>
    <row r="856" customFormat="false" ht="15.75" hidden="false" customHeight="true" outlineLevel="0" collapsed="false">
      <c r="Y856" s="1"/>
      <c r="Z856" s="1"/>
    </row>
    <row r="857" customFormat="false" ht="15.75" hidden="false" customHeight="true" outlineLevel="0" collapsed="false">
      <c r="Y857" s="1"/>
      <c r="Z857" s="1"/>
    </row>
    <row r="858" customFormat="false" ht="15.75" hidden="false" customHeight="true" outlineLevel="0" collapsed="false">
      <c r="Y858" s="1"/>
      <c r="Z858" s="1"/>
    </row>
    <row r="859" customFormat="false" ht="15.75" hidden="false" customHeight="true" outlineLevel="0" collapsed="false">
      <c r="Y859" s="1"/>
      <c r="Z859" s="1"/>
    </row>
    <row r="860" customFormat="false" ht="15.75" hidden="false" customHeight="true" outlineLevel="0" collapsed="false">
      <c r="Y860" s="1"/>
      <c r="Z860" s="1"/>
    </row>
    <row r="861" customFormat="false" ht="15.75" hidden="false" customHeight="true" outlineLevel="0" collapsed="false">
      <c r="Y861" s="1"/>
      <c r="Z861" s="1"/>
    </row>
    <row r="862" customFormat="false" ht="15.75" hidden="false" customHeight="true" outlineLevel="0" collapsed="false">
      <c r="Y862" s="1"/>
      <c r="Z862" s="1"/>
    </row>
    <row r="863" customFormat="false" ht="15.75" hidden="false" customHeight="true" outlineLevel="0" collapsed="false">
      <c r="Y863" s="1"/>
      <c r="Z863" s="1"/>
    </row>
    <row r="864" customFormat="false" ht="15.75" hidden="false" customHeight="true" outlineLevel="0" collapsed="false">
      <c r="Y864" s="1"/>
      <c r="Z864" s="1"/>
    </row>
    <row r="865" customFormat="false" ht="15.75" hidden="false" customHeight="true" outlineLevel="0" collapsed="false">
      <c r="Y865" s="1"/>
      <c r="Z865" s="1"/>
    </row>
    <row r="866" customFormat="false" ht="15.75" hidden="false" customHeight="true" outlineLevel="0" collapsed="false">
      <c r="Y866" s="1"/>
      <c r="Z866" s="1"/>
    </row>
    <row r="867" customFormat="false" ht="15.75" hidden="false" customHeight="true" outlineLevel="0" collapsed="false">
      <c r="Y867" s="1"/>
      <c r="Z867" s="1"/>
    </row>
    <row r="868" customFormat="false" ht="15.75" hidden="false" customHeight="true" outlineLevel="0" collapsed="false">
      <c r="Y868" s="1"/>
      <c r="Z868" s="1"/>
    </row>
    <row r="869" customFormat="false" ht="15.75" hidden="false" customHeight="true" outlineLevel="0" collapsed="false">
      <c r="Y869" s="1"/>
      <c r="Z869" s="1"/>
    </row>
    <row r="870" customFormat="false" ht="15.75" hidden="false" customHeight="true" outlineLevel="0" collapsed="false">
      <c r="Y870" s="1"/>
      <c r="Z870" s="1"/>
    </row>
    <row r="871" customFormat="false" ht="15.75" hidden="false" customHeight="true" outlineLevel="0" collapsed="false">
      <c r="Y871" s="1"/>
      <c r="Z871" s="1"/>
    </row>
    <row r="872" customFormat="false" ht="15.75" hidden="false" customHeight="true" outlineLevel="0" collapsed="false">
      <c r="Y872" s="1"/>
      <c r="Z872" s="1"/>
    </row>
    <row r="873" customFormat="false" ht="15.75" hidden="false" customHeight="true" outlineLevel="0" collapsed="false">
      <c r="Y873" s="1"/>
      <c r="Z873" s="1"/>
    </row>
    <row r="874" customFormat="false" ht="15.75" hidden="false" customHeight="true" outlineLevel="0" collapsed="false">
      <c r="Y874" s="1"/>
      <c r="Z874" s="1"/>
    </row>
    <row r="875" customFormat="false" ht="15.75" hidden="false" customHeight="true" outlineLevel="0" collapsed="false">
      <c r="Y875" s="1"/>
      <c r="Z875" s="1"/>
    </row>
    <row r="876" customFormat="false" ht="15.75" hidden="false" customHeight="true" outlineLevel="0" collapsed="false">
      <c r="Y876" s="1"/>
      <c r="Z876" s="1"/>
    </row>
    <row r="877" customFormat="false" ht="15.75" hidden="false" customHeight="true" outlineLevel="0" collapsed="false">
      <c r="Y877" s="1"/>
      <c r="Z877" s="1"/>
    </row>
    <row r="878" customFormat="false" ht="15.75" hidden="false" customHeight="true" outlineLevel="0" collapsed="false">
      <c r="Y878" s="1"/>
      <c r="Z878" s="1"/>
    </row>
    <row r="879" customFormat="false" ht="15.75" hidden="false" customHeight="true" outlineLevel="0" collapsed="false">
      <c r="Y879" s="1"/>
      <c r="Z879" s="1"/>
    </row>
    <row r="880" customFormat="false" ht="15.75" hidden="false" customHeight="true" outlineLevel="0" collapsed="false">
      <c r="Y880" s="1"/>
      <c r="Z880" s="1"/>
    </row>
    <row r="881" customFormat="false" ht="15.75" hidden="false" customHeight="true" outlineLevel="0" collapsed="false">
      <c r="Y881" s="1"/>
      <c r="Z881" s="1"/>
    </row>
    <row r="882" customFormat="false" ht="15.75" hidden="false" customHeight="true" outlineLevel="0" collapsed="false">
      <c r="Y882" s="1"/>
      <c r="Z882" s="1"/>
    </row>
    <row r="883" customFormat="false" ht="15.75" hidden="false" customHeight="true" outlineLevel="0" collapsed="false">
      <c r="Y883" s="1"/>
      <c r="Z883" s="1"/>
    </row>
    <row r="884" customFormat="false" ht="15.75" hidden="false" customHeight="true" outlineLevel="0" collapsed="false">
      <c r="Y884" s="1"/>
      <c r="Z884" s="1"/>
    </row>
    <row r="885" customFormat="false" ht="15.75" hidden="false" customHeight="true" outlineLevel="0" collapsed="false">
      <c r="Y885" s="1"/>
      <c r="Z885" s="1"/>
    </row>
    <row r="886" customFormat="false" ht="15.75" hidden="false" customHeight="true" outlineLevel="0" collapsed="false">
      <c r="Y886" s="1"/>
      <c r="Z886" s="1"/>
    </row>
    <row r="887" customFormat="false" ht="15.75" hidden="false" customHeight="true" outlineLevel="0" collapsed="false">
      <c r="Y887" s="1"/>
      <c r="Z887" s="1"/>
    </row>
    <row r="888" customFormat="false" ht="15.75" hidden="false" customHeight="true" outlineLevel="0" collapsed="false">
      <c r="Y888" s="1"/>
      <c r="Z888" s="1"/>
    </row>
    <row r="889" customFormat="false" ht="15.75" hidden="false" customHeight="true" outlineLevel="0" collapsed="false">
      <c r="Y889" s="1"/>
      <c r="Z889" s="1"/>
    </row>
    <row r="890" customFormat="false" ht="15.75" hidden="false" customHeight="true" outlineLevel="0" collapsed="false">
      <c r="Y890" s="1"/>
      <c r="Z890" s="1"/>
    </row>
    <row r="891" customFormat="false" ht="15.75" hidden="false" customHeight="true" outlineLevel="0" collapsed="false">
      <c r="Y891" s="1"/>
      <c r="Z891" s="1"/>
    </row>
    <row r="892" customFormat="false" ht="15.75" hidden="false" customHeight="true" outlineLevel="0" collapsed="false">
      <c r="Y892" s="1"/>
      <c r="Z892" s="1"/>
    </row>
    <row r="893" customFormat="false" ht="15.75" hidden="false" customHeight="true" outlineLevel="0" collapsed="false">
      <c r="Y893" s="1"/>
      <c r="Z893" s="1"/>
    </row>
    <row r="894" customFormat="false" ht="15.75" hidden="false" customHeight="true" outlineLevel="0" collapsed="false">
      <c r="Y894" s="1"/>
      <c r="Z894" s="1"/>
    </row>
    <row r="895" customFormat="false" ht="15.75" hidden="false" customHeight="true" outlineLevel="0" collapsed="false">
      <c r="Y895" s="1"/>
      <c r="Z895" s="1"/>
    </row>
    <row r="896" customFormat="false" ht="15.75" hidden="false" customHeight="true" outlineLevel="0" collapsed="false">
      <c r="Y896" s="1"/>
      <c r="Z896" s="1"/>
    </row>
    <row r="897" customFormat="false" ht="15.75" hidden="false" customHeight="true" outlineLevel="0" collapsed="false">
      <c r="Y897" s="1"/>
      <c r="Z897" s="1"/>
    </row>
    <row r="898" customFormat="false" ht="15.75" hidden="false" customHeight="true" outlineLevel="0" collapsed="false">
      <c r="Y898" s="1"/>
      <c r="Z898" s="1"/>
    </row>
    <row r="899" customFormat="false" ht="15.75" hidden="false" customHeight="true" outlineLevel="0" collapsed="false">
      <c r="Y899" s="1"/>
      <c r="Z899" s="1"/>
    </row>
    <row r="900" customFormat="false" ht="15.75" hidden="false" customHeight="true" outlineLevel="0" collapsed="false">
      <c r="Y900" s="1"/>
      <c r="Z900" s="1"/>
    </row>
    <row r="901" customFormat="false" ht="15.75" hidden="false" customHeight="true" outlineLevel="0" collapsed="false">
      <c r="Y901" s="1"/>
      <c r="Z901" s="1"/>
    </row>
    <row r="902" customFormat="false" ht="15.75" hidden="false" customHeight="true" outlineLevel="0" collapsed="false">
      <c r="Y902" s="1"/>
      <c r="Z902" s="1"/>
    </row>
    <row r="903" customFormat="false" ht="15.75" hidden="false" customHeight="true" outlineLevel="0" collapsed="false">
      <c r="Y903" s="1"/>
      <c r="Z903" s="1"/>
    </row>
    <row r="904" customFormat="false" ht="15.75" hidden="false" customHeight="true" outlineLevel="0" collapsed="false">
      <c r="Y904" s="1"/>
      <c r="Z904" s="1"/>
    </row>
    <row r="905" customFormat="false" ht="15.75" hidden="false" customHeight="true" outlineLevel="0" collapsed="false">
      <c r="Y905" s="1"/>
      <c r="Z905" s="1"/>
    </row>
    <row r="906" customFormat="false" ht="15.75" hidden="false" customHeight="true" outlineLevel="0" collapsed="false">
      <c r="Y906" s="1"/>
      <c r="Z906" s="1"/>
    </row>
    <row r="907" customFormat="false" ht="15.75" hidden="false" customHeight="true" outlineLevel="0" collapsed="false">
      <c r="Y907" s="1"/>
      <c r="Z907" s="1"/>
    </row>
    <row r="908" customFormat="false" ht="15.75" hidden="false" customHeight="true" outlineLevel="0" collapsed="false">
      <c r="Y908" s="1"/>
      <c r="Z908" s="1"/>
    </row>
    <row r="909" customFormat="false" ht="15.75" hidden="false" customHeight="true" outlineLevel="0" collapsed="false">
      <c r="Y909" s="1"/>
      <c r="Z909" s="1"/>
    </row>
    <row r="910" customFormat="false" ht="15.75" hidden="false" customHeight="true" outlineLevel="0" collapsed="false">
      <c r="Y910" s="1"/>
      <c r="Z910" s="1"/>
    </row>
    <row r="911" customFormat="false" ht="15.75" hidden="false" customHeight="true" outlineLevel="0" collapsed="false">
      <c r="Y911" s="1"/>
      <c r="Z911" s="1"/>
    </row>
    <row r="912" customFormat="false" ht="15.75" hidden="false" customHeight="true" outlineLevel="0" collapsed="false">
      <c r="Y912" s="1"/>
      <c r="Z912" s="1"/>
    </row>
    <row r="913" customFormat="false" ht="15.75" hidden="false" customHeight="true" outlineLevel="0" collapsed="false">
      <c r="Y913" s="1"/>
      <c r="Z913" s="1"/>
    </row>
    <row r="914" customFormat="false" ht="15.75" hidden="false" customHeight="true" outlineLevel="0" collapsed="false">
      <c r="Y914" s="1"/>
      <c r="Z914" s="1"/>
    </row>
    <row r="915" customFormat="false" ht="15.75" hidden="false" customHeight="true" outlineLevel="0" collapsed="false">
      <c r="Y915" s="1"/>
      <c r="Z915" s="1"/>
    </row>
    <row r="916" customFormat="false" ht="15.75" hidden="false" customHeight="true" outlineLevel="0" collapsed="false">
      <c r="Y916" s="1"/>
      <c r="Z916" s="1"/>
    </row>
    <row r="917" customFormat="false" ht="15.75" hidden="false" customHeight="true" outlineLevel="0" collapsed="false">
      <c r="Y917" s="1"/>
      <c r="Z917" s="1"/>
    </row>
    <row r="918" customFormat="false" ht="15.75" hidden="false" customHeight="true" outlineLevel="0" collapsed="false">
      <c r="Y918" s="1"/>
      <c r="Z918" s="1"/>
    </row>
    <row r="919" customFormat="false" ht="15.75" hidden="false" customHeight="true" outlineLevel="0" collapsed="false">
      <c r="Y919" s="1"/>
      <c r="Z919" s="1"/>
    </row>
    <row r="920" customFormat="false" ht="15.75" hidden="false" customHeight="true" outlineLevel="0" collapsed="false">
      <c r="Y920" s="1"/>
      <c r="Z920" s="1"/>
    </row>
    <row r="921" customFormat="false" ht="15.75" hidden="false" customHeight="true" outlineLevel="0" collapsed="false">
      <c r="Y921" s="1"/>
      <c r="Z921" s="1"/>
    </row>
    <row r="922" customFormat="false" ht="15.75" hidden="false" customHeight="true" outlineLevel="0" collapsed="false">
      <c r="Y922" s="1"/>
      <c r="Z922" s="1"/>
    </row>
    <row r="923" customFormat="false" ht="15.75" hidden="false" customHeight="true" outlineLevel="0" collapsed="false">
      <c r="Y923" s="1"/>
      <c r="Z923" s="1"/>
    </row>
    <row r="924" customFormat="false" ht="15.75" hidden="false" customHeight="true" outlineLevel="0" collapsed="false">
      <c r="Y924" s="1"/>
      <c r="Z924" s="1"/>
    </row>
    <row r="925" customFormat="false" ht="15.75" hidden="false" customHeight="true" outlineLevel="0" collapsed="false">
      <c r="Y925" s="1"/>
      <c r="Z925" s="1"/>
    </row>
    <row r="926" customFormat="false" ht="15.75" hidden="false" customHeight="true" outlineLevel="0" collapsed="false">
      <c r="Y926" s="1"/>
      <c r="Z926" s="1"/>
    </row>
    <row r="927" customFormat="false" ht="15.75" hidden="false" customHeight="true" outlineLevel="0" collapsed="false">
      <c r="Y927" s="1"/>
      <c r="Z927" s="1"/>
    </row>
    <row r="928" customFormat="false" ht="15.75" hidden="false" customHeight="true" outlineLevel="0" collapsed="false">
      <c r="Y928" s="1"/>
      <c r="Z928" s="1"/>
    </row>
    <row r="929" customFormat="false" ht="15.75" hidden="false" customHeight="true" outlineLevel="0" collapsed="false">
      <c r="Y929" s="1"/>
      <c r="Z929" s="1"/>
    </row>
    <row r="930" customFormat="false" ht="15.75" hidden="false" customHeight="true" outlineLevel="0" collapsed="false">
      <c r="Y930" s="1"/>
      <c r="Z930" s="1"/>
    </row>
    <row r="931" customFormat="false" ht="15.75" hidden="false" customHeight="true" outlineLevel="0" collapsed="false">
      <c r="Y931" s="1"/>
      <c r="Z931" s="1"/>
    </row>
    <row r="932" customFormat="false" ht="15.75" hidden="false" customHeight="true" outlineLevel="0" collapsed="false">
      <c r="Y932" s="1"/>
      <c r="Z932" s="1"/>
    </row>
    <row r="933" customFormat="false" ht="15.75" hidden="false" customHeight="true" outlineLevel="0" collapsed="false">
      <c r="Y933" s="1"/>
      <c r="Z933" s="1"/>
    </row>
    <row r="934" customFormat="false" ht="15.75" hidden="false" customHeight="true" outlineLevel="0" collapsed="false">
      <c r="Y934" s="1"/>
      <c r="Z934" s="1"/>
    </row>
    <row r="935" customFormat="false" ht="15.75" hidden="false" customHeight="true" outlineLevel="0" collapsed="false">
      <c r="Y935" s="1"/>
      <c r="Z935" s="1"/>
    </row>
    <row r="936" customFormat="false" ht="15.75" hidden="false" customHeight="true" outlineLevel="0" collapsed="false">
      <c r="Y936" s="1"/>
      <c r="Z936" s="1"/>
    </row>
    <row r="937" customFormat="false" ht="15.75" hidden="false" customHeight="true" outlineLevel="0" collapsed="false">
      <c r="Y937" s="1"/>
      <c r="Z937" s="1"/>
    </row>
    <row r="938" customFormat="false" ht="15.75" hidden="false" customHeight="true" outlineLevel="0" collapsed="false">
      <c r="Y938" s="1"/>
      <c r="Z938" s="1"/>
    </row>
    <row r="939" customFormat="false" ht="15.75" hidden="false" customHeight="true" outlineLevel="0" collapsed="false">
      <c r="Y939" s="1"/>
      <c r="Z939" s="1"/>
    </row>
    <row r="940" customFormat="false" ht="15.75" hidden="false" customHeight="true" outlineLevel="0" collapsed="false">
      <c r="Y940" s="1"/>
      <c r="Z940" s="1"/>
    </row>
    <row r="941" customFormat="false" ht="15.75" hidden="false" customHeight="true" outlineLevel="0" collapsed="false">
      <c r="Y941" s="1"/>
      <c r="Z941" s="1"/>
    </row>
    <row r="942" customFormat="false" ht="15.75" hidden="false" customHeight="true" outlineLevel="0" collapsed="false">
      <c r="Y942" s="1"/>
      <c r="Z942" s="1"/>
    </row>
    <row r="943" customFormat="false" ht="15.75" hidden="false" customHeight="true" outlineLevel="0" collapsed="false">
      <c r="Y943" s="1"/>
      <c r="Z943" s="1"/>
    </row>
    <row r="944" customFormat="false" ht="15.75" hidden="false" customHeight="true" outlineLevel="0" collapsed="false">
      <c r="Y944" s="1"/>
      <c r="Z944" s="1"/>
    </row>
    <row r="945" customFormat="false" ht="15.75" hidden="false" customHeight="true" outlineLevel="0" collapsed="false">
      <c r="Y945" s="1"/>
      <c r="Z945" s="1"/>
    </row>
    <row r="946" customFormat="false" ht="15.75" hidden="false" customHeight="true" outlineLevel="0" collapsed="false">
      <c r="Y946" s="1"/>
      <c r="Z946" s="1"/>
    </row>
    <row r="947" customFormat="false" ht="15.75" hidden="false" customHeight="true" outlineLevel="0" collapsed="false">
      <c r="Y947" s="1"/>
      <c r="Z947" s="1"/>
    </row>
    <row r="948" customFormat="false" ht="15.75" hidden="false" customHeight="true" outlineLevel="0" collapsed="false">
      <c r="Y948" s="1"/>
      <c r="Z948" s="1"/>
    </row>
    <row r="949" customFormat="false" ht="15.75" hidden="false" customHeight="true" outlineLevel="0" collapsed="false">
      <c r="Y949" s="1"/>
      <c r="Z949" s="1"/>
    </row>
    <row r="950" customFormat="false" ht="15.75" hidden="false" customHeight="true" outlineLevel="0" collapsed="false">
      <c r="Y950" s="1"/>
      <c r="Z950" s="1"/>
    </row>
    <row r="951" customFormat="false" ht="15.75" hidden="false" customHeight="true" outlineLevel="0" collapsed="false">
      <c r="Y951" s="1"/>
      <c r="Z951" s="1"/>
    </row>
    <row r="952" customFormat="false" ht="15.75" hidden="false" customHeight="true" outlineLevel="0" collapsed="false">
      <c r="Y952" s="1"/>
      <c r="Z952" s="1"/>
    </row>
    <row r="953" customFormat="false" ht="15.75" hidden="false" customHeight="true" outlineLevel="0" collapsed="false">
      <c r="Y953" s="1"/>
      <c r="Z953" s="1"/>
    </row>
    <row r="954" customFormat="false" ht="15.75" hidden="false" customHeight="true" outlineLevel="0" collapsed="false">
      <c r="Y954" s="1"/>
      <c r="Z954" s="1"/>
    </row>
    <row r="955" customFormat="false" ht="15.75" hidden="false" customHeight="true" outlineLevel="0" collapsed="false">
      <c r="Y955" s="1"/>
      <c r="Z955" s="1"/>
    </row>
    <row r="956" customFormat="false" ht="15.75" hidden="false" customHeight="true" outlineLevel="0" collapsed="false">
      <c r="Y956" s="1"/>
      <c r="Z956" s="1"/>
    </row>
    <row r="957" customFormat="false" ht="15.75" hidden="false" customHeight="true" outlineLevel="0" collapsed="false">
      <c r="Y957" s="1"/>
      <c r="Z957" s="1"/>
    </row>
    <row r="958" customFormat="false" ht="15.75" hidden="false" customHeight="true" outlineLevel="0" collapsed="false">
      <c r="Y958" s="1"/>
      <c r="Z958" s="1"/>
    </row>
    <row r="959" customFormat="false" ht="15.75" hidden="false" customHeight="true" outlineLevel="0" collapsed="false">
      <c r="Y959" s="1"/>
      <c r="Z959" s="1"/>
    </row>
    <row r="960" customFormat="false" ht="15.75" hidden="false" customHeight="true" outlineLevel="0" collapsed="false">
      <c r="Y960" s="1"/>
      <c r="Z960" s="1"/>
    </row>
    <row r="961" customFormat="false" ht="15.75" hidden="false" customHeight="true" outlineLevel="0" collapsed="false">
      <c r="Y961" s="1"/>
      <c r="Z961" s="1"/>
    </row>
    <row r="962" customFormat="false" ht="15.75" hidden="false" customHeight="true" outlineLevel="0" collapsed="false">
      <c r="Y962" s="1"/>
      <c r="Z962" s="1"/>
    </row>
    <row r="963" customFormat="false" ht="15.75" hidden="false" customHeight="true" outlineLevel="0" collapsed="false">
      <c r="Y963" s="1"/>
      <c r="Z963" s="1"/>
    </row>
    <row r="964" customFormat="false" ht="15.75" hidden="false" customHeight="true" outlineLevel="0" collapsed="false">
      <c r="Y964" s="1"/>
      <c r="Z964" s="1"/>
    </row>
    <row r="965" customFormat="false" ht="15.75" hidden="false" customHeight="true" outlineLevel="0" collapsed="false">
      <c r="Y965" s="1"/>
      <c r="Z965" s="1"/>
    </row>
    <row r="966" customFormat="false" ht="15.75" hidden="false" customHeight="true" outlineLevel="0" collapsed="false">
      <c r="Y966" s="1"/>
      <c r="Z966" s="1"/>
    </row>
    <row r="967" customFormat="false" ht="15.75" hidden="false" customHeight="true" outlineLevel="0" collapsed="false">
      <c r="Y967" s="1"/>
      <c r="Z967" s="1"/>
    </row>
    <row r="968" customFormat="false" ht="15.75" hidden="false" customHeight="true" outlineLevel="0" collapsed="false">
      <c r="Y968" s="1"/>
      <c r="Z968" s="1"/>
    </row>
    <row r="969" customFormat="false" ht="15.75" hidden="false" customHeight="true" outlineLevel="0" collapsed="false">
      <c r="Y969" s="1"/>
      <c r="Z969" s="1"/>
    </row>
    <row r="970" customFormat="false" ht="15.75" hidden="false" customHeight="true" outlineLevel="0" collapsed="false">
      <c r="Y970" s="1"/>
      <c r="Z970" s="1"/>
    </row>
    <row r="971" customFormat="false" ht="15.75" hidden="false" customHeight="true" outlineLevel="0" collapsed="false">
      <c r="Y971" s="1"/>
      <c r="Z971" s="1"/>
    </row>
    <row r="972" customFormat="false" ht="15.75" hidden="false" customHeight="true" outlineLevel="0" collapsed="false">
      <c r="Y972" s="1"/>
      <c r="Z972" s="1"/>
    </row>
    <row r="973" customFormat="false" ht="15.75" hidden="false" customHeight="true" outlineLevel="0" collapsed="false">
      <c r="Y973" s="1"/>
      <c r="Z973" s="1"/>
    </row>
    <row r="974" customFormat="false" ht="15.75" hidden="false" customHeight="true" outlineLevel="0" collapsed="false">
      <c r="Y974" s="1"/>
      <c r="Z974" s="1"/>
    </row>
    <row r="975" customFormat="false" ht="15.75" hidden="false" customHeight="true" outlineLevel="0" collapsed="false">
      <c r="Y975" s="1"/>
      <c r="Z975" s="1"/>
    </row>
    <row r="976" customFormat="false" ht="15.75" hidden="false" customHeight="true" outlineLevel="0" collapsed="false">
      <c r="Y976" s="1"/>
      <c r="Z976" s="1"/>
    </row>
    <row r="977" customFormat="false" ht="15.75" hidden="false" customHeight="true" outlineLevel="0" collapsed="false">
      <c r="Y977" s="1"/>
      <c r="Z977" s="1"/>
    </row>
    <row r="978" customFormat="false" ht="15.75" hidden="false" customHeight="true" outlineLevel="0" collapsed="false">
      <c r="Y978" s="1"/>
      <c r="Z978" s="1"/>
    </row>
    <row r="979" customFormat="false" ht="15.75" hidden="false" customHeight="true" outlineLevel="0" collapsed="false">
      <c r="Y979" s="1"/>
      <c r="Z979" s="1"/>
    </row>
    <row r="980" customFormat="false" ht="15.75" hidden="false" customHeight="true" outlineLevel="0" collapsed="false">
      <c r="Y980" s="1"/>
      <c r="Z980" s="1"/>
    </row>
    <row r="981" customFormat="false" ht="15.75" hidden="false" customHeight="true" outlineLevel="0" collapsed="false">
      <c r="Y981" s="1"/>
      <c r="Z981" s="1"/>
    </row>
    <row r="982" customFormat="false" ht="15.75" hidden="false" customHeight="true" outlineLevel="0" collapsed="false">
      <c r="Y982" s="1"/>
      <c r="Z982" s="1"/>
    </row>
    <row r="983" customFormat="false" ht="15.75" hidden="false" customHeight="true" outlineLevel="0" collapsed="false">
      <c r="Y983" s="1"/>
      <c r="Z983" s="1"/>
    </row>
    <row r="984" customFormat="false" ht="15.75" hidden="false" customHeight="true" outlineLevel="0" collapsed="false">
      <c r="Y984" s="1"/>
      <c r="Z984" s="1"/>
    </row>
    <row r="985" customFormat="false" ht="15.75" hidden="false" customHeight="true" outlineLevel="0" collapsed="false">
      <c r="Y985" s="1"/>
      <c r="Z985" s="1"/>
    </row>
    <row r="986" customFormat="false" ht="15.75" hidden="false" customHeight="true" outlineLevel="0" collapsed="false">
      <c r="Y986" s="1"/>
      <c r="Z986" s="1"/>
    </row>
    <row r="987" customFormat="false" ht="15.75" hidden="false" customHeight="true" outlineLevel="0" collapsed="false">
      <c r="Y987" s="1"/>
      <c r="Z987" s="1"/>
    </row>
    <row r="988" customFormat="false" ht="15.75" hidden="false" customHeight="true" outlineLevel="0" collapsed="false">
      <c r="Y988" s="1"/>
      <c r="Z988" s="1"/>
    </row>
    <row r="989" customFormat="false" ht="15.75" hidden="false" customHeight="true" outlineLevel="0" collapsed="false">
      <c r="Y989" s="1"/>
      <c r="Z989" s="1"/>
    </row>
    <row r="990" customFormat="false" ht="15.75" hidden="false" customHeight="true" outlineLevel="0" collapsed="false">
      <c r="Y990" s="1"/>
      <c r="Z990" s="1"/>
    </row>
    <row r="991" customFormat="false" ht="15.75" hidden="false" customHeight="true" outlineLevel="0" collapsed="false">
      <c r="Y991" s="1"/>
      <c r="Z991" s="1"/>
    </row>
    <row r="992" customFormat="false" ht="15.75" hidden="false" customHeight="true" outlineLevel="0" collapsed="false">
      <c r="Y992" s="1"/>
      <c r="Z992" s="1"/>
    </row>
    <row r="993" customFormat="false" ht="15.75" hidden="false" customHeight="true" outlineLevel="0" collapsed="false">
      <c r="Y993" s="1"/>
      <c r="Z993" s="1"/>
    </row>
    <row r="994" customFormat="false" ht="15.75" hidden="false" customHeight="true" outlineLevel="0" collapsed="false">
      <c r="Y994" s="1"/>
      <c r="Z994" s="1"/>
    </row>
    <row r="995" customFormat="false" ht="15.75" hidden="false" customHeight="true" outlineLevel="0" collapsed="false">
      <c r="Y995" s="1"/>
      <c r="Z995" s="1"/>
    </row>
    <row r="996" customFormat="false" ht="15.75" hidden="false" customHeight="true" outlineLevel="0" collapsed="false">
      <c r="Y996" s="1"/>
      <c r="Z996" s="1"/>
    </row>
    <row r="997" customFormat="false" ht="15.75" hidden="false" customHeight="true" outlineLevel="0" collapsed="false">
      <c r="Y997" s="1"/>
      <c r="Z997" s="1"/>
    </row>
    <row r="998" customFormat="false" ht="15.75" hidden="false" customHeight="true" outlineLevel="0" collapsed="false">
      <c r="Y998" s="1"/>
      <c r="Z998" s="1"/>
    </row>
    <row r="999" customFormat="false" ht="15.75" hidden="false" customHeight="true" outlineLevel="0" collapsed="false">
      <c r="Y999" s="1"/>
      <c r="Z999" s="1"/>
    </row>
    <row r="1000" customFormat="false" ht="15.75" hidden="false" customHeight="true" outlineLevel="0" collapsed="false">
      <c r="Y1000" s="1"/>
      <c r="Z1000" s="1"/>
    </row>
  </sheetData>
  <mergeCells count="15">
    <mergeCell ref="C62:E62"/>
    <mergeCell ref="C63:E63"/>
    <mergeCell ref="C64:E64"/>
    <mergeCell ref="C65:E65"/>
    <mergeCell ref="C66:E66"/>
    <mergeCell ref="C67:E67"/>
    <mergeCell ref="C68:E68"/>
    <mergeCell ref="C69:E69"/>
    <mergeCell ref="C93:E93"/>
    <mergeCell ref="C94:E94"/>
    <mergeCell ref="C95:E95"/>
    <mergeCell ref="C96:E96"/>
    <mergeCell ref="C97:E97"/>
    <mergeCell ref="C98:E98"/>
    <mergeCell ref="C99:E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8" activeCellId="0" sqref="B8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9" min="4" style="1" width="10"/>
    <col collapsed="false" customWidth="true" hidden="false" outlineLevel="0" max="15" min="10" style="1" width="11"/>
    <col collapsed="false" customWidth="true" hidden="false" outlineLevel="0" max="18" min="16" style="1" width="10"/>
    <col collapsed="false" customWidth="true" hidden="false" outlineLevel="0" max="19" min="19" style="1" width="11"/>
    <col collapsed="false" customWidth="true" hidden="false" outlineLevel="0" max="21" min="20" style="1" width="10"/>
    <col collapsed="false" customWidth="true" hidden="false" outlineLevel="0" max="22" min="22" style="1" width="9"/>
    <col collapsed="false" customWidth="true" hidden="false" outlineLevel="0" max="23" min="23" style="1" width="12"/>
    <col collapsed="false" customWidth="true" hidden="false" outlineLevel="0" max="24" min="24" style="1" width="10"/>
    <col collapsed="false" customWidth="true" hidden="false" outlineLevel="0" max="25" min="25" style="1" width="11"/>
    <col collapsed="false" customWidth="true" hidden="false" outlineLevel="0" max="26" min="26" style="1" width="56"/>
  </cols>
  <sheetData>
    <row r="1" customFormat="false" ht="15" hidden="false" customHeight="true" outlineLevel="0" collapsed="false">
      <c r="A1" s="2" t="s">
        <v>530</v>
      </c>
    </row>
    <row r="2" customFormat="false" ht="15" hidden="false" customHeight="true" outlineLevel="0" collapsed="false">
      <c r="A2" s="3" t="s">
        <v>531</v>
      </c>
    </row>
    <row r="3" customFormat="false" ht="15" hidden="false" customHeight="true" outlineLevel="0" collapsed="false">
      <c r="A3" s="32" t="s">
        <v>532</v>
      </c>
    </row>
    <row r="4" customFormat="false" ht="15" hidden="false" customHeight="true" outlineLevel="0" collapsed="false">
      <c r="A4" s="4" t="s">
        <v>339</v>
      </c>
      <c r="B4" s="8" t="str">
        <f aca="false">Carga!B4</f>
        <v>Ene 2035</v>
      </c>
    </row>
    <row r="5" customFormat="false" ht="15" hidden="false" customHeight="true" outlineLevel="0" collapsed="false"/>
    <row r="6" customFormat="false" ht="15" hidden="false" customHeight="true" outlineLevel="0" collapsed="false">
      <c r="A6" s="9" t="s">
        <v>533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75" hidden="false" customHeight="true" outlineLevel="0" collapsed="false">
      <c r="A7" s="10" t="s">
        <v>50</v>
      </c>
      <c r="B7" s="10" t="s">
        <v>28</v>
      </c>
      <c r="C7" s="10" t="s">
        <v>534</v>
      </c>
      <c r="D7" s="10" t="s">
        <v>535</v>
      </c>
      <c r="E7" s="10" t="s">
        <v>536</v>
      </c>
      <c r="F7" s="10" t="s">
        <v>537</v>
      </c>
      <c r="G7" s="10" t="s">
        <v>538</v>
      </c>
      <c r="H7" s="10" t="s">
        <v>539</v>
      </c>
      <c r="I7" s="10" t="s">
        <v>540</v>
      </c>
      <c r="J7" s="10" t="s">
        <v>541</v>
      </c>
      <c r="K7" s="10" t="s">
        <v>542</v>
      </c>
      <c r="L7" s="10" t="s">
        <v>543</v>
      </c>
      <c r="M7" s="10" t="s">
        <v>544</v>
      </c>
      <c r="N7" s="10" t="s">
        <v>545</v>
      </c>
      <c r="O7" s="10" t="s">
        <v>546</v>
      </c>
      <c r="P7" s="10" t="s">
        <v>547</v>
      </c>
      <c r="Q7" s="10" t="s">
        <v>548</v>
      </c>
      <c r="R7" s="10" t="s">
        <v>549</v>
      </c>
      <c r="S7" s="10" t="s">
        <v>550</v>
      </c>
      <c r="T7" s="10" t="s">
        <v>551</v>
      </c>
      <c r="U7" s="10" t="s">
        <v>70</v>
      </c>
      <c r="V7" s="10" t="s">
        <v>552</v>
      </c>
      <c r="W7" s="10" t="s">
        <v>58</v>
      </c>
      <c r="X7" s="10" t="s">
        <v>553</v>
      </c>
      <c r="Y7" s="10" t="s">
        <v>554</v>
      </c>
      <c r="Z7" s="10" t="s">
        <v>555</v>
      </c>
    </row>
    <row r="8" customFormat="false" ht="15" hidden="false" customHeight="true" outlineLevel="0" collapsed="false">
      <c r="A8" s="4" t="s">
        <v>60</v>
      </c>
      <c r="B8" s="16" t="s">
        <v>46</v>
      </c>
      <c r="C8" s="27" t="s">
        <v>556</v>
      </c>
      <c r="D8" s="60" t="n">
        <v>45</v>
      </c>
      <c r="E8" s="22" t="n">
        <f aca="false">Carga!$F$14</f>
        <v>911.7928760985</v>
      </c>
      <c r="F8" s="61" t="n">
        <f aca="false">Carga!G$35/60</f>
        <v>0.0822222222166667</v>
      </c>
      <c r="G8" s="61" t="n">
        <f aca="false">Carga!G$36/60</f>
        <v>0.05555555555</v>
      </c>
      <c r="H8" s="22" t="n">
        <f aca="false">E8*F8</f>
        <v>74.9696364741445</v>
      </c>
      <c r="I8" s="22" t="n">
        <f aca="false">E8*G8</f>
        <v>50.6551597781845</v>
      </c>
      <c r="J8" s="22" t="n">
        <f aca="false">IF(H8=0,0,R_CORRIDA*S_G1/H8)</f>
        <v>0.600243006587335</v>
      </c>
      <c r="K8" s="14" t="n">
        <f aca="false">Rueda!$H$35</f>
        <v>1</v>
      </c>
      <c r="L8" s="62" t="n">
        <f aca="false">K_MAX</f>
        <v>16</v>
      </c>
      <c r="M8" s="14" t="n">
        <f aca="false">MAX(K8,MIN(MIN(K_MAX,BASE*2^MAX(0,ROUNDUP(LOG(MAX(1,(MAX(J8,K8))/BASE),2)-0.000001,0))),MIN(K_MAX,BASE*2^MAX(0,ROUNDDOWN(LOG(MAX(BASE,L8)/BASE,2)+0.000001,0)))))</f>
        <v>1</v>
      </c>
      <c r="N8" s="62"/>
      <c r="O8" s="23" t="n">
        <f aca="false">IF(N8="",M8,N8)</f>
        <v>1</v>
      </c>
      <c r="P8" s="43" t="n">
        <f aca="false">ROUNDUP(E8*O8/D8,0)</f>
        <v>21</v>
      </c>
      <c r="Q8" s="14" t="n">
        <f aca="false">P8*D8</f>
        <v>945</v>
      </c>
      <c r="R8" s="22" t="n">
        <f aca="false">IF(E8=0,0,Q8/E8)</f>
        <v>1.0364195913041</v>
      </c>
      <c r="S8" s="22" t="n">
        <f aca="false">Q8*F8</f>
        <v>77.69999999475</v>
      </c>
      <c r="T8" s="18" t="n">
        <f aca="false">IF(S8+S_G1=0,0,S_G1/(S_G1+S8))</f>
        <v>0.161812297743792</v>
      </c>
      <c r="U8" s="24" t="n">
        <f aca="false">IF(E8=0,0,1/O8)</f>
        <v>1</v>
      </c>
      <c r="V8" s="63" t="n">
        <v>0</v>
      </c>
      <c r="W8" s="43" t="n">
        <f aca="false">IF(Q8=0,0,Q8*(1-E8*S8/(Q8*MIN_TURNO))+E8*H_PROT*60/MIN_TURNO)</f>
        <v>909.136146884097</v>
      </c>
      <c r="X8" s="38" t="n">
        <v>21.0311</v>
      </c>
      <c r="Y8" s="14" t="n">
        <f aca="false">P8*X8</f>
        <v>441.6531</v>
      </c>
      <c r="Z8" s="41" t="str">
        <f aca="false">IF(E8=0,"Sin producción este mes",IF(O8&lt;=BASE,"Se corta todos los días: "&amp;P8&amp;" hojas","Se corta cada "&amp;O8&amp;" días: "&amp;P8&amp;" hojas por tanda; entre tandas sale del pulmón"))</f>
        <v>Se corta todos los días: 21 hojas</v>
      </c>
    </row>
    <row r="9" customFormat="false" ht="15" hidden="false" customHeight="true" outlineLevel="0" collapsed="false">
      <c r="A9" s="4" t="s">
        <v>61</v>
      </c>
      <c r="B9" s="16" t="s">
        <v>46</v>
      </c>
      <c r="C9" s="27" t="s">
        <v>557</v>
      </c>
      <c r="D9" s="60" t="n">
        <v>27</v>
      </c>
      <c r="E9" s="22" t="n">
        <f aca="false">Carga!$F$15</f>
        <v>63.56852299845</v>
      </c>
      <c r="F9" s="61" t="n">
        <f aca="false">Carga!H$35/60</f>
        <v>0.137037037033333</v>
      </c>
      <c r="G9" s="61" t="n">
        <f aca="false">Carga!H$36/60</f>
        <v>0.0703703703666667</v>
      </c>
      <c r="H9" s="22" t="n">
        <f aca="false">E9*F9</f>
        <v>8.71124204029289</v>
      </c>
      <c r="I9" s="22" t="n">
        <f aca="false">E9*G9</f>
        <v>4.47334050706289</v>
      </c>
      <c r="J9" s="22" t="n">
        <f aca="false">IF(H9=0,0,R_CORRIDA*S_G1/H9)</f>
        <v>5.16573868477738</v>
      </c>
      <c r="K9" s="14" t="n">
        <f aca="false">Rueda!$H$36</f>
        <v>1</v>
      </c>
      <c r="L9" s="62" t="n">
        <f aca="false">K_MAX</f>
        <v>16</v>
      </c>
      <c r="M9" s="14" t="n">
        <f aca="false">MAX(K9,MIN(MIN(K_MAX,BASE*2^MAX(0,ROUNDUP(LOG(MAX(1,(MAX(J9,K9))/BASE),2)-0.000001,0))),MIN(K_MAX,BASE*2^MAX(0,ROUNDDOWN(LOG(MAX(BASE,L9)/BASE,2)+0.000001,0)))))</f>
        <v>8</v>
      </c>
      <c r="N9" s="62"/>
      <c r="O9" s="23" t="n">
        <f aca="false">IF(N9="",M9,N9)</f>
        <v>8</v>
      </c>
      <c r="P9" s="43" t="n">
        <f aca="false">ROUNDUP(E9*O9/D9,0)</f>
        <v>19</v>
      </c>
      <c r="Q9" s="14" t="n">
        <f aca="false">P9*D9</f>
        <v>513</v>
      </c>
      <c r="R9" s="22" t="n">
        <f aca="false">IF(E9=0,0,Q9/E9)</f>
        <v>8.0700317673341</v>
      </c>
      <c r="S9" s="22" t="n">
        <f aca="false">Q9*F9</f>
        <v>70.2999999981</v>
      </c>
      <c r="T9" s="18" t="n">
        <f aca="false">IF(S9+S_G1=0,0,S_G1/(S_G1+S9))</f>
        <v>0.17584994138727</v>
      </c>
      <c r="U9" s="24" t="n">
        <f aca="false">IF(E9=0,0,1/O9)</f>
        <v>0.125</v>
      </c>
      <c r="V9" s="63" t="n">
        <v>0</v>
      </c>
      <c r="W9" s="43" t="n">
        <f aca="false">IF(Q9=0,0,Q9*(1-E9*S9/(Q9*MIN_TURNO))+E9*H_PROT*60/MIN_TURNO)</f>
        <v>511.544987140526</v>
      </c>
      <c r="X9" s="38" t="n">
        <v>29.2098</v>
      </c>
      <c r="Y9" s="14" t="n">
        <f aca="false">P9*X9</f>
        <v>554.9862</v>
      </c>
      <c r="Z9" s="41" t="str">
        <f aca="false">IF(E9=0,"Sin producción este mes",IF(O9&lt;=BASE,"Se corta todos los días: "&amp;P9&amp;" hojas","Se corta cada "&amp;O9&amp;" días: "&amp;P9&amp;" hojas por tanda; entre tandas sale del pulmón"))</f>
        <v>Se corta cada 8 días: 19 hojas por tanda; entre tandas sale del pulmón</v>
      </c>
    </row>
    <row r="10" customFormat="false" ht="15" hidden="false" customHeight="true" outlineLevel="0" collapsed="false">
      <c r="A10" s="4" t="s">
        <v>62</v>
      </c>
      <c r="B10" s="16" t="s">
        <v>46</v>
      </c>
      <c r="C10" s="27" t="s">
        <v>558</v>
      </c>
      <c r="D10" s="60" t="n">
        <v>12</v>
      </c>
      <c r="E10" s="22" t="n">
        <f aca="false">Carga!$F$16</f>
        <v>287.3369642445</v>
      </c>
      <c r="F10" s="61" t="n">
        <f aca="false">Carga!I$35/60</f>
        <v>0.183333333333333</v>
      </c>
      <c r="G10" s="61" t="n">
        <f aca="false">Carga!I$36/60</f>
        <v>0.158333333333333</v>
      </c>
      <c r="H10" s="22" t="n">
        <f aca="false">E10*F10</f>
        <v>52.678443444825</v>
      </c>
      <c r="I10" s="22" t="n">
        <f aca="false">E10*G10</f>
        <v>45.4950193387125</v>
      </c>
      <c r="J10" s="22" t="n">
        <f aca="false">IF(H10=0,0,R_CORRIDA*S_G1/H10)</f>
        <v>0.854239363528891</v>
      </c>
      <c r="K10" s="14" t="n">
        <f aca="false">Rueda!$H$37</f>
        <v>1</v>
      </c>
      <c r="L10" s="62" t="n">
        <f aca="false">K_MAX</f>
        <v>16</v>
      </c>
      <c r="M10" s="14" t="n">
        <f aca="false">MAX(K10,MIN(MIN(K_MAX,BASE*2^MAX(0,ROUNDUP(LOG(MAX(1,(MAX(J10,K10))/BASE),2)-0.000001,0))),MIN(K_MAX,BASE*2^MAX(0,ROUNDDOWN(LOG(MAX(BASE,L10)/BASE,2)+0.000001,0)))))</f>
        <v>1</v>
      </c>
      <c r="N10" s="62"/>
      <c r="O10" s="23" t="n">
        <f aca="false">IF(N10="",M10,N10)</f>
        <v>1</v>
      </c>
      <c r="P10" s="43" t="n">
        <f aca="false">ROUNDUP(E10*O10/D10,0)</f>
        <v>24</v>
      </c>
      <c r="Q10" s="14" t="n">
        <f aca="false">P10*D10</f>
        <v>288</v>
      </c>
      <c r="R10" s="22" t="n">
        <f aca="false">IF(E10=0,0,Q10/E10)</f>
        <v>1.0023075198739</v>
      </c>
      <c r="S10" s="22" t="n">
        <f aca="false">Q10*F10</f>
        <v>52.8</v>
      </c>
      <c r="T10" s="18" t="n">
        <f aca="false">IF(S10+S_G1=0,0,S_G1/(S_G1+S10))</f>
        <v>0.221238938053097</v>
      </c>
      <c r="U10" s="24" t="n">
        <f aca="false">IF(E10=0,0,1/O10)</f>
        <v>1</v>
      </c>
      <c r="V10" s="63" t="n">
        <v>0</v>
      </c>
      <c r="W10" s="43" t="n">
        <f aca="false">IF(Q10=0,0,Q10*(1-E10*S10/(Q10*MIN_TURNO))+E10*H_PROT*60/MIN_TURNO)</f>
        <v>292.597391427912</v>
      </c>
      <c r="X10" s="38" t="n">
        <v>25.12</v>
      </c>
      <c r="Y10" s="14" t="n">
        <f aca="false">P10*X10</f>
        <v>602.88</v>
      </c>
      <c r="Z10" s="41" t="str">
        <f aca="false">IF(E10=0,"Sin producción este mes",IF(O10&lt;=BASE,"Se corta todos los días: "&amp;P10&amp;" hojas","Se corta cada "&amp;O10&amp;" días: "&amp;P10&amp;" hojas por tanda; entre tandas sale del pulmón"))</f>
        <v>Se corta todos los días: 24 hojas</v>
      </c>
    </row>
    <row r="11" customFormat="false" ht="15" hidden="false" customHeight="true" outlineLevel="0" collapsed="false">
      <c r="A11" s="4" t="s">
        <v>63</v>
      </c>
      <c r="B11" s="16" t="s">
        <v>46</v>
      </c>
      <c r="C11" s="27" t="s">
        <v>559</v>
      </c>
      <c r="D11" s="60" t="n">
        <v>15</v>
      </c>
      <c r="E11" s="22" t="n">
        <f aca="false">Carga!$F$17</f>
        <v>17.38317635415</v>
      </c>
      <c r="F11" s="61" t="n">
        <f aca="false">Carga!J$35/60</f>
        <v>0.233333333333333</v>
      </c>
      <c r="G11" s="61" t="n">
        <f aca="false">Carga!J$36/60</f>
        <v>0.2</v>
      </c>
      <c r="H11" s="22" t="n">
        <f aca="false">E11*F11</f>
        <v>4.056074482635</v>
      </c>
      <c r="I11" s="22" t="n">
        <f aca="false">E11*G11</f>
        <v>3.47663527083</v>
      </c>
      <c r="J11" s="22" t="n">
        <f aca="false">IF(H11=0,0,R_CORRIDA*S_G1/H11)</f>
        <v>11.0944708221349</v>
      </c>
      <c r="K11" s="14" t="n">
        <f aca="false">Rueda!$H$38</f>
        <v>2</v>
      </c>
      <c r="L11" s="62" t="n">
        <f aca="false">K_MAX</f>
        <v>16</v>
      </c>
      <c r="M11" s="14" t="n">
        <f aca="false">MAX(K11,MIN(MIN(K_MAX,BASE*2^MAX(0,ROUNDUP(LOG(MAX(1,(MAX(J11,K11))/BASE),2)-0.000001,0))),MIN(K_MAX,BASE*2^MAX(0,ROUNDDOWN(LOG(MAX(BASE,L11)/BASE,2)+0.000001,0)))))</f>
        <v>16</v>
      </c>
      <c r="N11" s="62"/>
      <c r="O11" s="23" t="n">
        <f aca="false">IF(N11="",M11,N11)</f>
        <v>16</v>
      </c>
      <c r="P11" s="43" t="n">
        <f aca="false">ROUNDUP(E11*O11/D11,0)</f>
        <v>19</v>
      </c>
      <c r="Q11" s="14" t="n">
        <f aca="false">P11*D11</f>
        <v>285</v>
      </c>
      <c r="R11" s="22" t="n">
        <f aca="false">IF(E11=0,0,Q11/E11)</f>
        <v>16.3951624371549</v>
      </c>
      <c r="S11" s="22" t="n">
        <f aca="false">Q11*F11</f>
        <v>66.5</v>
      </c>
      <c r="T11" s="18" t="n">
        <f aca="false">IF(S11+S_G1=0,0,S_G1/(S_G1+S11))</f>
        <v>0.184049079754601</v>
      </c>
      <c r="U11" s="24" t="n">
        <f aca="false">IF(E11=0,0,1/O11)</f>
        <v>0.0625</v>
      </c>
      <c r="V11" s="63" t="n">
        <v>2</v>
      </c>
      <c r="W11" s="43" t="n">
        <f aca="false">IF(Q11=0,0,Q11*(1-E11*S11/(Q11*MIN_TURNO))+E11*H_PROT*60/MIN_TURNO)</f>
        <v>284.748909674885</v>
      </c>
      <c r="X11" s="38" t="n">
        <v>70.65</v>
      </c>
      <c r="Y11" s="14" t="n">
        <f aca="false">P11*X11</f>
        <v>1342.35</v>
      </c>
      <c r="Z11" s="41" t="str">
        <f aca="false">IF(E11=0,"Sin producción este mes",IF(O11&lt;=BASE,"Se corta todos los días: "&amp;P11&amp;" hojas","Se corta cada "&amp;O11&amp;" días: "&amp;P11&amp;" hojas por tanda; entre tandas sale del pulmón"))</f>
        <v>Se corta cada 16 días: 19 hojas por tanda; entre tandas sale del pulmón</v>
      </c>
    </row>
    <row r="12" customFormat="false" ht="15" hidden="false" customHeight="true" outlineLevel="0" collapsed="false">
      <c r="A12" s="4" t="s">
        <v>64</v>
      </c>
      <c r="B12" s="16" t="s">
        <v>47</v>
      </c>
      <c r="C12" s="27" t="s">
        <v>560</v>
      </c>
      <c r="D12" s="60" t="n">
        <v>9</v>
      </c>
      <c r="E12" s="22" t="n">
        <f aca="false">Carga!$E$22</f>
        <v>3.3035697665</v>
      </c>
      <c r="F12" s="64" t="n">
        <v>0.5764917131</v>
      </c>
      <c r="G12" s="64" t="n">
        <v>0.6390331493</v>
      </c>
      <c r="H12" s="22" t="n">
        <f aca="false">E12*F12</f>
        <v>1.90448059403495</v>
      </c>
      <c r="I12" s="22" t="n">
        <f aca="false">E12*G12</f>
        <v>2.11109059181876</v>
      </c>
      <c r="J12" s="22" t="n">
        <f aca="false">IF(H12=0,0,R_CORRIDA*S_G1/H12)</f>
        <v>23.6284896474898</v>
      </c>
      <c r="K12" s="14" t="n">
        <f aca="false">BASE</f>
        <v>1</v>
      </c>
      <c r="L12" s="62" t="n">
        <v>4</v>
      </c>
      <c r="M12" s="14" t="n">
        <f aca="false">MAX(K12,MIN(MIN(K_MAX,BASE*2^MAX(0,ROUNDUP(LOG(MAX(1,(MAX(J12,K12))/BASE),2)-0.000001,0))),MIN(K_MAX,BASE*2^MAX(0,ROUNDDOWN(LOG(MAX(BASE,L12)/BASE,2)+0.000001,0)))))</f>
        <v>4</v>
      </c>
      <c r="N12" s="62"/>
      <c r="O12" s="23" t="n">
        <f aca="false">IF(N12="",M12,N12)</f>
        <v>4</v>
      </c>
      <c r="P12" s="43" t="n">
        <f aca="false">ROUNDUP(E12*O12/D12,0)</f>
        <v>2</v>
      </c>
      <c r="Q12" s="14" t="n">
        <f aca="false">P12*D12</f>
        <v>18</v>
      </c>
      <c r="R12" s="22" t="n">
        <f aca="false">IF(E12=0,0,Q12/E12)</f>
        <v>5.44865138993879</v>
      </c>
      <c r="S12" s="22" t="n">
        <f aca="false">Q12*F12</f>
        <v>10.3768508358</v>
      </c>
      <c r="T12" s="18" t="n">
        <f aca="false">IF(S12+S_G1=0,0,S_G1/(S_G1+S12))</f>
        <v>0.591089891218456</v>
      </c>
      <c r="U12" s="24" t="n">
        <f aca="false">IF(E12=0,0,1/O12)</f>
        <v>0.25</v>
      </c>
      <c r="V12" s="63" t="n">
        <v>1</v>
      </c>
      <c r="W12" s="43" t="n">
        <f aca="false">IF(Q12=0,0,Q12*(1-E12*S12/(Q12*MIN_TURNO))+E12*H_PROT*60/MIN_TURNO)</f>
        <v>18.3642967451053</v>
      </c>
      <c r="X12" s="38" t="n">
        <v>113.04</v>
      </c>
      <c r="Y12" s="14" t="n">
        <f aca="false">P12*X12</f>
        <v>226.08</v>
      </c>
      <c r="Z12" s="41" t="str">
        <f aca="false">IF(E12=0,"Sin producción este mes",IF(O12&lt;=BASE,"Se corta todos los días: "&amp;P12&amp;" hojas","Se corta cada "&amp;O12&amp;" días: "&amp;P12&amp;" hojas por tanda; entre tandas sale del pulmón"))</f>
        <v>Se corta cada 4 días: 2 hojas por tanda; entre tandas sale del pulmón</v>
      </c>
    </row>
    <row r="13" customFormat="false" ht="15" hidden="false" customHeight="true" outlineLevel="0" collapsed="false">
      <c r="A13" s="4" t="s">
        <v>65</v>
      </c>
      <c r="B13" s="16" t="s">
        <v>47</v>
      </c>
      <c r="C13" s="27" t="s">
        <v>560</v>
      </c>
      <c r="D13" s="60" t="n">
        <v>6</v>
      </c>
      <c r="E13" s="22" t="n">
        <f aca="false">Carga!$E$23</f>
        <v>7.260849486</v>
      </c>
      <c r="F13" s="64" t="n">
        <v>0.5343093926</v>
      </c>
      <c r="G13" s="64" t="n">
        <v>0.5968508288</v>
      </c>
      <c r="H13" s="22" t="n">
        <f aca="false">E13*F13</f>
        <v>3.87954007862468</v>
      </c>
      <c r="I13" s="22" t="n">
        <f aca="false">E13*G13</f>
        <v>4.33364403351115</v>
      </c>
      <c r="J13" s="22" t="n">
        <f aca="false">IF(H13=0,0,R_CORRIDA*S_G1/H13)</f>
        <v>11.599313085574</v>
      </c>
      <c r="K13" s="14" t="n">
        <f aca="false">BASE</f>
        <v>1</v>
      </c>
      <c r="L13" s="62" t="n">
        <v>4</v>
      </c>
      <c r="M13" s="14" t="n">
        <f aca="false">MAX(K13,MIN(MIN(K_MAX,BASE*2^MAX(0,ROUNDUP(LOG(MAX(1,(MAX(J13,K13))/BASE),2)-0.000001,0))),MIN(K_MAX,BASE*2^MAX(0,ROUNDDOWN(LOG(MAX(BASE,L13)/BASE,2)+0.000001,0)))))</f>
        <v>4</v>
      </c>
      <c r="N13" s="62"/>
      <c r="O13" s="23" t="n">
        <f aca="false">IF(N13="",M13,N13)</f>
        <v>4</v>
      </c>
      <c r="P13" s="43" t="n">
        <f aca="false">ROUNDUP(E13*O13/D13,0)</f>
        <v>5</v>
      </c>
      <c r="Q13" s="14" t="n">
        <f aca="false">P13*D13</f>
        <v>30</v>
      </c>
      <c r="R13" s="22" t="n">
        <f aca="false">IF(E13=0,0,Q13/E13)</f>
        <v>4.13174795288685</v>
      </c>
      <c r="S13" s="22" t="n">
        <f aca="false">Q13*F13</f>
        <v>16.029281778</v>
      </c>
      <c r="T13" s="18" t="n">
        <f aca="false">IF(S13+S_G1=0,0,S_G1/(S_G1+S13))</f>
        <v>0.483414347367689</v>
      </c>
      <c r="U13" s="24" t="n">
        <f aca="false">IF(E13=0,0,1/O13)</f>
        <v>0.25</v>
      </c>
      <c r="V13" s="63" t="n">
        <v>2</v>
      </c>
      <c r="W13" s="43" t="n">
        <f aca="false">IF(Q13=0,0,Q13*(1-E13*S13/(Q13*MIN_TURNO))+E13*H_PROT*60/MIN_TURNO)</f>
        <v>30.7094772595584</v>
      </c>
      <c r="X13" s="38" t="n">
        <v>113.04</v>
      </c>
      <c r="Y13" s="14" t="n">
        <f aca="false">P13*X13</f>
        <v>565.2</v>
      </c>
      <c r="Z13" s="41" t="str">
        <f aca="false">IF(E13=0,"Sin producción este mes",IF(O13&lt;=BASE,"Se corta todos los días: "&amp;P13&amp;" hojas","Se corta cada "&amp;O13&amp;" días: "&amp;P13&amp;" hojas por tanda; entre tandas sale del pulmón"))</f>
        <v>Se corta cada 4 días: 5 hojas por tanda; entre tandas sale del pulmón</v>
      </c>
    </row>
    <row r="14" customFormat="false" ht="15" hidden="false" customHeight="true" outlineLevel="0" collapsed="false">
      <c r="A14" s="4" t="s">
        <v>66</v>
      </c>
      <c r="B14" s="16" t="s">
        <v>47</v>
      </c>
      <c r="C14" s="27" t="s">
        <v>561</v>
      </c>
      <c r="D14" s="60" t="n">
        <v>4</v>
      </c>
      <c r="E14" s="22" t="n">
        <f aca="false">Carga!$E$24+Carga!$E$25</f>
        <v>2.641699813</v>
      </c>
      <c r="F14" s="64" t="n">
        <v>1.8125</v>
      </c>
      <c r="G14" s="64" t="n">
        <v>1.4125</v>
      </c>
      <c r="H14" s="22" t="n">
        <f aca="false">E14*F14</f>
        <v>4.7880809110625</v>
      </c>
      <c r="I14" s="22" t="n">
        <f aca="false">E14*G14</f>
        <v>3.7314009858625</v>
      </c>
      <c r="J14" s="22" t="n">
        <f aca="false">IF(H14=0,0,R_CORRIDA*S_G1/H14)</f>
        <v>9.39833742074636</v>
      </c>
      <c r="K14" s="14" t="n">
        <f aca="false">BASE</f>
        <v>1</v>
      </c>
      <c r="L14" s="62" t="n">
        <v>4</v>
      </c>
      <c r="M14" s="14" t="n">
        <f aca="false">MAX(K14,MIN(MIN(K_MAX,BASE*2^MAX(0,ROUNDUP(LOG(MAX(1,(MAX(J14,K14))/BASE),2)-0.000001,0))),MIN(K_MAX,BASE*2^MAX(0,ROUNDDOWN(LOG(MAX(BASE,L14)/BASE,2)+0.000001,0)))))</f>
        <v>4</v>
      </c>
      <c r="N14" s="62"/>
      <c r="O14" s="23" t="n">
        <f aca="false">IF(N14="",M14,N14)</f>
        <v>4</v>
      </c>
      <c r="P14" s="43" t="n">
        <f aca="false">ROUNDUP(E14*O14/D14,0)</f>
        <v>3</v>
      </c>
      <c r="Q14" s="14" t="n">
        <f aca="false">P14*D14</f>
        <v>12</v>
      </c>
      <c r="R14" s="22" t="n">
        <f aca="false">IF(E14=0,0,Q14/E14)</f>
        <v>4.54252975336074</v>
      </c>
      <c r="S14" s="22" t="n">
        <f aca="false">Q14*F14</f>
        <v>21.75</v>
      </c>
      <c r="T14" s="18" t="n">
        <f aca="false">IF(S14+S_G1=0,0,S_G1/(S_G1+S14))</f>
        <v>0.408163265306122</v>
      </c>
      <c r="U14" s="24" t="n">
        <f aca="false">IF(E14=0,0,1/O14)</f>
        <v>0.25</v>
      </c>
      <c r="V14" s="63" t="n">
        <v>3</v>
      </c>
      <c r="W14" s="43" t="n">
        <f aca="false">IF(Q14=0,0,Q14*(1-E14*S14/(Q14*MIN_TURNO))+E14*H_PROT*60/MIN_TURNO)</f>
        <v>12.224544484105</v>
      </c>
      <c r="X14" s="38" t="n">
        <v>167.7937</v>
      </c>
      <c r="Y14" s="14" t="n">
        <f aca="false">P14*X14</f>
        <v>503.3811</v>
      </c>
      <c r="Z14" s="41" t="str">
        <f aca="false">IF(E14=0,"Sin producción este mes",IF(O14&lt;=BASE,"Se corta todos los días: "&amp;P14&amp;" hojas","Se corta cada "&amp;O14&amp;" días: "&amp;P14&amp;" hojas por tanda; entre tandas sale del pulmón"))</f>
        <v>Se corta cada 4 días: 3 hojas por tanda; entre tandas sale del pulmón</v>
      </c>
    </row>
    <row r="15" customFormat="false" ht="15" hidden="false" customHeight="true" outlineLevel="0" collapsed="false">
      <c r="A15" s="41" t="s">
        <v>562</v>
      </c>
      <c r="H15" s="22" t="n">
        <f aca="false">TIRAS_CARROS+TIRAS_EXTRA</f>
        <v>44.8</v>
      </c>
      <c r="I15" s="22" t="n">
        <v>0</v>
      </c>
    </row>
    <row r="16" customFormat="false" ht="15" hidden="false" customHeight="true" outlineLevel="0" collapsed="false">
      <c r="A16" s="4" t="s">
        <v>563</v>
      </c>
      <c r="H16" s="45" t="n">
        <f aca="false">SUM(H12:H14)</f>
        <v>10.5721015837221</v>
      </c>
      <c r="I16" s="45" t="n">
        <f aca="false">SUM(I12:I14)</f>
        <v>10.1761356111924</v>
      </c>
    </row>
    <row r="17" customFormat="false" ht="15" hidden="false" customHeight="true" outlineLevel="0" collapsed="false">
      <c r="A17" s="4" t="s">
        <v>564</v>
      </c>
      <c r="H17" s="45" t="n">
        <f aca="false">SUM(H8:H11)</f>
        <v>140.415396441897</v>
      </c>
      <c r="I17" s="45" t="n">
        <f aca="false">SUM(I8:I11)</f>
        <v>104.10015489479</v>
      </c>
    </row>
    <row r="18" customFormat="false" ht="15" hidden="false" customHeight="true" outlineLevel="0" collapsed="false">
      <c r="A18" s="4" t="s">
        <v>363</v>
      </c>
      <c r="U18" s="47" t="n">
        <f aca="false">SUM(U8:U14)</f>
        <v>2.9375</v>
      </c>
      <c r="W18" s="43" t="n">
        <f aca="false">SUM(W8:W14)</f>
        <v>2059.32575361619</v>
      </c>
    </row>
    <row r="19" customFormat="false" ht="15" hidden="false" customHeight="true" outlineLevel="0" collapsed="false"/>
    <row r="20" customFormat="false" ht="15" hidden="false" customHeight="true" outlineLevel="0" collapsed="false">
      <c r="A20" s="9" t="s">
        <v>565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60" hidden="false" customHeight="true" outlineLevel="0" collapsed="false">
      <c r="A21" s="10" t="s">
        <v>69</v>
      </c>
      <c r="B21" s="10" t="s">
        <v>385</v>
      </c>
      <c r="C21" s="10" t="s">
        <v>386</v>
      </c>
      <c r="D21" s="10" t="s">
        <v>387</v>
      </c>
      <c r="E21" s="10" t="s">
        <v>566</v>
      </c>
      <c r="F21" s="10" t="s">
        <v>567</v>
      </c>
      <c r="G21" s="10" t="s">
        <v>568</v>
      </c>
      <c r="H21" s="10" t="s">
        <v>70</v>
      </c>
      <c r="I21" s="10" t="s">
        <v>71</v>
      </c>
      <c r="J21" s="10" t="s">
        <v>569</v>
      </c>
      <c r="K21" s="10" t="s">
        <v>384</v>
      </c>
      <c r="L21" s="10" t="s">
        <v>389</v>
      </c>
      <c r="M21" s="10" t="s">
        <v>45</v>
      </c>
    </row>
    <row r="22" customFormat="false" ht="15.75" hidden="false" customHeight="true" outlineLevel="0" collapsed="false">
      <c r="A22" s="65" t="s">
        <v>570</v>
      </c>
      <c r="B22" s="42" t="n">
        <f aca="false">Carga!R35</f>
        <v>1</v>
      </c>
      <c r="C22" s="42" t="n">
        <f aca="false">Carga!S35</f>
        <v>1</v>
      </c>
      <c r="D22" s="14" t="n">
        <f aca="false">B22*C22*MIN_TURNO</f>
        <v>450</v>
      </c>
      <c r="E22" s="22" t="n">
        <f aca="false">H17</f>
        <v>140.415396441897</v>
      </c>
      <c r="F22" s="22" t="n">
        <f aca="false">H16+H15</f>
        <v>55.3721015837221</v>
      </c>
      <c r="G22" s="22" t="n">
        <f aca="false">(E22+F22)/REND_CORTE</f>
        <v>230.338232971317</v>
      </c>
      <c r="H22" s="24" t="n">
        <f aca="false">U18</f>
        <v>2.9375</v>
      </c>
      <c r="I22" s="22" t="n">
        <f aca="false">H22*S_G1</f>
        <v>44.0625</v>
      </c>
      <c r="J22" s="14" t="n">
        <f aca="false">B22*C22*(ALIST_G+DESALIST_G)</f>
        <v>20</v>
      </c>
      <c r="K22" s="45" t="n">
        <f aca="false">G22+I22+J22</f>
        <v>294.400732971317</v>
      </c>
      <c r="L22" s="20" t="n">
        <f aca="false">K22/D22</f>
        <v>0.654223851047371</v>
      </c>
      <c r="M22" s="16" t="str">
        <f aca="false">IF(L22&lt;=UMBRAL,"OK","Pasa el umbral")</f>
        <v>OK</v>
      </c>
    </row>
    <row r="23" customFormat="false" ht="15.75" hidden="false" customHeight="true" outlineLevel="0" collapsed="false">
      <c r="A23" s="65" t="s">
        <v>571</v>
      </c>
      <c r="B23" s="42" t="n">
        <f aca="false">Carga!R36</f>
        <v>1</v>
      </c>
      <c r="C23" s="42" t="n">
        <f aca="false">Carga!S36</f>
        <v>1</v>
      </c>
      <c r="D23" s="14" t="n">
        <f aca="false">B23*C23*MIN_TURNO</f>
        <v>450</v>
      </c>
      <c r="E23" s="22" t="n">
        <f aca="false">I17</f>
        <v>104.10015489479</v>
      </c>
      <c r="F23" s="22" t="n">
        <f aca="false">I16</f>
        <v>10.1761356111924</v>
      </c>
      <c r="G23" s="22" t="n">
        <f aca="false">(E23+F23)/REND_CORTE</f>
        <v>134.44269471292</v>
      </c>
      <c r="H23" s="24" t="n">
        <f aca="false">U18</f>
        <v>2.9375</v>
      </c>
      <c r="I23" s="22" t="n">
        <f aca="false">H23*S_G2</f>
        <v>14.6875</v>
      </c>
      <c r="J23" s="14" t="n">
        <f aca="false">B23*C23*(ALIST_G+DESALIST_G)</f>
        <v>20</v>
      </c>
      <c r="K23" s="45" t="n">
        <f aca="false">G23+I23+J23</f>
        <v>169.13019471292</v>
      </c>
      <c r="L23" s="20" t="n">
        <f aca="false">K23/D23</f>
        <v>0.375844877139823</v>
      </c>
      <c r="M23" s="16" t="str">
        <f aca="false">IF(L23&lt;=UMBRAL,"OK","Pasa el umbral")</f>
        <v>OK</v>
      </c>
    </row>
    <row r="24" customFormat="false" ht="15.75" hidden="false" customHeight="true" outlineLevel="0" collapsed="false">
      <c r="A24" s="65" t="s">
        <v>572</v>
      </c>
      <c r="B24" s="5"/>
      <c r="C24" s="5"/>
      <c r="D24" s="14" t="n">
        <f aca="false">MIN_TURNO*MAX(C22,C23)</f>
        <v>450</v>
      </c>
      <c r="E24" s="5"/>
      <c r="F24" s="5"/>
      <c r="G24" s="5"/>
      <c r="H24" s="5"/>
      <c r="I24" s="5"/>
      <c r="J24" s="5"/>
      <c r="K24" s="45" t="n">
        <f aca="false">K22+K23</f>
        <v>463.530927684237</v>
      </c>
      <c r="L24" s="20" t="n">
        <f aca="false">K24/D24</f>
        <v>1.03006872818719</v>
      </c>
      <c r="M24" s="27" t="str">
        <f aca="false">IF(L24&lt;=UMBRAL,"OK con 1 operario","Hacen falta 2 operarios")</f>
        <v>Hacen falta 2 operarios</v>
      </c>
    </row>
    <row r="25" customFormat="false" ht="15.75" hidden="false" customHeight="true" outlineLevel="0" collapsed="false">
      <c r="A25" s="25" t="s">
        <v>573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>
      <c r="A28" s="9" t="s">
        <v>574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75" hidden="false" customHeight="true" outlineLevel="0" collapsed="false">
      <c r="A29" s="10" t="s">
        <v>575</v>
      </c>
      <c r="B29" s="10" t="s">
        <v>356</v>
      </c>
      <c r="C29" s="10" t="s">
        <v>261</v>
      </c>
      <c r="D29" s="10" t="s">
        <v>576</v>
      </c>
      <c r="E29" s="10" t="s">
        <v>577</v>
      </c>
      <c r="F29" s="10" t="s">
        <v>578</v>
      </c>
      <c r="G29" s="10" t="s">
        <v>579</v>
      </c>
      <c r="H29" s="10" t="s">
        <v>544</v>
      </c>
      <c r="I29" s="10" t="s">
        <v>545</v>
      </c>
      <c r="J29" s="10" t="s">
        <v>546</v>
      </c>
      <c r="K29" s="10" t="s">
        <v>580</v>
      </c>
      <c r="L29" s="10" t="s">
        <v>581</v>
      </c>
      <c r="M29" s="10" t="s">
        <v>551</v>
      </c>
      <c r="N29" s="10" t="s">
        <v>552</v>
      </c>
      <c r="O29" s="10" t="s">
        <v>582</v>
      </c>
      <c r="P29" s="10" t="s">
        <v>583</v>
      </c>
      <c r="Q29" s="10" t="s">
        <v>584</v>
      </c>
      <c r="R29" s="10" t="s">
        <v>585</v>
      </c>
      <c r="S29" s="10" t="s">
        <v>586</v>
      </c>
      <c r="T29" s="10" t="s">
        <v>555</v>
      </c>
    </row>
    <row r="30" customFormat="false" ht="15.75" hidden="false" customHeight="true" outlineLevel="0" collapsed="false">
      <c r="A30" s="21" t="s">
        <v>587</v>
      </c>
      <c r="B30" s="16" t="s">
        <v>233</v>
      </c>
      <c r="C30" s="16" t="s">
        <v>264</v>
      </c>
      <c r="D30" s="14" t="n">
        <f aca="false">Carga!K$37/Carga!$E$37</f>
        <v>911.7928760985</v>
      </c>
      <c r="E30" s="22" t="n">
        <f aca="false">Carga!G$37</f>
        <v>8</v>
      </c>
      <c r="F30" s="22" t="n">
        <f aca="false">D30*E30/60</f>
        <v>121.5723834798</v>
      </c>
      <c r="G30" s="22" t="n">
        <f aca="false">IF(F30=0,0,R_CORRIDA*S_EMB/F30)</f>
        <v>2.22089912422308</v>
      </c>
      <c r="H30" s="14" t="n">
        <f aca="false">MIN(K_MAX,BASE*2^MAX(0,ROUNDUP(LOG(MAX(1,(G30)/BASE),2)-0.000001,0)))</f>
        <v>4</v>
      </c>
      <c r="I30" s="62"/>
      <c r="J30" s="23" t="n">
        <f aca="false">IF(I30="",H30,I30)</f>
        <v>4</v>
      </c>
      <c r="K30" s="43" t="n">
        <f aca="false">D30*J30</f>
        <v>3647.171504394</v>
      </c>
      <c r="L30" s="14" t="n">
        <f aca="false">K30*E30/60</f>
        <v>486.2895339192</v>
      </c>
      <c r="M30" s="18" t="n">
        <f aca="false">IF(L30+S_EMB=0,0,S_EMB/(S_EMB+L30))</f>
        <v>0.156171498357662</v>
      </c>
      <c r="N30" s="63" t="n">
        <v>0</v>
      </c>
      <c r="O30" s="43" t="n">
        <f aca="false">K30*(1-IF($D$42=0,0,F30/$D$42))+D30*SS_SUPER</f>
        <v>4066.30289966052</v>
      </c>
      <c r="P30" s="14" t="n">
        <f aca="false">IF(Pulmones!$H$23=0,0,ROUNDUP(Pulmones!$H$23/Parametros!$B$67,0))</f>
        <v>15</v>
      </c>
      <c r="Q30" s="14" t="n">
        <f aca="false">IF(P30=0,0,ROUNDUP(P30/PAL_CAJ,0))</f>
        <v>2</v>
      </c>
      <c r="R30" s="66" t="n">
        <v>0.0596944038956498</v>
      </c>
      <c r="S30" s="14" t="n">
        <f aca="false">K30*R30</f>
        <v>217.71572886</v>
      </c>
      <c r="T30" s="41" t="str">
        <f aca="false">IF(D30=0,"Sin producción este mes","Se prensa cada "&amp;J30&amp;" días: "&amp;FIXED(K30,0)&amp;" piezas en "&amp;FIXED(L30/60,1)&amp;" h")</f>
        <v>Se prensa cada 4 días: 3,647 piezas en 8.1 h</v>
      </c>
    </row>
    <row r="31" customFormat="false" ht="15.75" hidden="false" customHeight="true" outlineLevel="0" collapsed="false">
      <c r="A31" s="21" t="s">
        <v>588</v>
      </c>
      <c r="B31" s="16" t="s">
        <v>233</v>
      </c>
      <c r="C31" s="16" t="s">
        <v>266</v>
      </c>
      <c r="D31" s="14" t="n">
        <f aca="false">Carga!K$37/Carga!$E$37</f>
        <v>911.7928760985</v>
      </c>
      <c r="E31" s="22" t="n">
        <f aca="false">Carga!G$37</f>
        <v>8</v>
      </c>
      <c r="F31" s="22" t="n">
        <f aca="false">D31*E31/60</f>
        <v>121.5723834798</v>
      </c>
      <c r="G31" s="22" t="n">
        <f aca="false">IF(F31=0,0,R_CORRIDA*S_EMB/F31)</f>
        <v>2.22089912422308</v>
      </c>
      <c r="H31" s="14" t="n">
        <f aca="false">MIN(K_MAX,BASE*2^MAX(0,ROUNDUP(LOG(MAX(1,(G31)/BASE),2)-0.000001,0)))</f>
        <v>4</v>
      </c>
      <c r="I31" s="62"/>
      <c r="J31" s="23" t="n">
        <f aca="false">IF(I31="",H31,I31)</f>
        <v>4</v>
      </c>
      <c r="K31" s="43" t="n">
        <f aca="false">D31*J31</f>
        <v>3647.171504394</v>
      </c>
      <c r="L31" s="14" t="n">
        <f aca="false">K31*E31/60</f>
        <v>486.2895339192</v>
      </c>
      <c r="M31" s="18" t="n">
        <f aca="false">IF(L31+S_EMB=0,0,S_EMB/(S_EMB+L31))</f>
        <v>0.156171498357662</v>
      </c>
      <c r="N31" s="63" t="n">
        <v>1</v>
      </c>
      <c r="O31" s="43" t="n">
        <f aca="false">K31*(1-IF($D$42=0,0,F31/$D$42))+D31*SS_SUPER</f>
        <v>4066.30289966052</v>
      </c>
      <c r="P31" s="14" t="n">
        <f aca="false">IF(Pulmones!$H$22=0,0,ROUNDUP(Pulmones!$H$22/Parametros!$B$66,0))</f>
        <v>14</v>
      </c>
      <c r="Q31" s="14" t="n">
        <f aca="false">IF(P31=0,0,ROUNDUP(P31/PAL_CAJ,0))</f>
        <v>2</v>
      </c>
      <c r="R31" s="66" t="n">
        <v>0.0692160485723977</v>
      </c>
      <c r="S31" s="14" t="n">
        <f aca="false">K31*R31</f>
        <v>252.4428</v>
      </c>
      <c r="T31" s="41" t="str">
        <f aca="false">IF(D31=0,"Sin producción este mes","Se prensa cada "&amp;J31&amp;" días: "&amp;FIXED(K31,0)&amp;" piezas en "&amp;FIXED(L31/60,1)&amp;" h")</f>
        <v>Se prensa cada 4 días: 3,647 piezas en 8.1 h</v>
      </c>
    </row>
    <row r="32" customFormat="false" ht="15.75" hidden="false" customHeight="true" outlineLevel="0" collapsed="false">
      <c r="A32" s="21" t="s">
        <v>589</v>
      </c>
      <c r="B32" s="16" t="s">
        <v>234</v>
      </c>
      <c r="C32" s="16" t="s">
        <v>264</v>
      </c>
      <c r="D32" s="14" t="n">
        <f aca="false">Carga!L$37/Carga!$E$37</f>
        <v>63.56852299845</v>
      </c>
      <c r="E32" s="22" t="n">
        <f aca="false">Carga!H$37</f>
        <v>8</v>
      </c>
      <c r="F32" s="22" t="n">
        <f aca="false">D32*E32/60</f>
        <v>8.47580306646</v>
      </c>
      <c r="G32" s="22" t="n">
        <f aca="false">IF(F32=0,0,R_CORRIDA*S_EMB/F32)</f>
        <v>31.8553885552662</v>
      </c>
      <c r="H32" s="14" t="n">
        <f aca="false">MIN(K_MAX,BASE*2^MAX(0,ROUNDUP(LOG(MAX(1,(G32)/BASE),2)-0.000001,0)))</f>
        <v>16</v>
      </c>
      <c r="I32" s="62"/>
      <c r="J32" s="23" t="n">
        <f aca="false">IF(I32="",H32,I32)</f>
        <v>16</v>
      </c>
      <c r="K32" s="43" t="n">
        <f aca="false">D32*J32</f>
        <v>1017.0963679752</v>
      </c>
      <c r="L32" s="14" t="n">
        <f aca="false">K32*E32/60</f>
        <v>135.61284906336</v>
      </c>
      <c r="M32" s="18" t="n">
        <f aca="false">IF(L32+S_EMB=0,0,S_EMB/(S_EMB+L32))</f>
        <v>0.398913450070057</v>
      </c>
      <c r="N32" s="63" t="n">
        <v>6</v>
      </c>
      <c r="O32" s="43" t="n">
        <f aca="false">K32*(1-IF($D$42=0,0,F32/$D$42))+D32*SS_SUPER</f>
        <v>1071.08632595746</v>
      </c>
      <c r="P32" s="14" t="n">
        <f aca="false">IF(Pulmones!$I$23=0,0,ROUNDUP(Pulmones!$I$23/Parametros!$C$67,0))</f>
        <v>8</v>
      </c>
      <c r="Q32" s="14" t="n">
        <f aca="false">IF(P32=0,0,ROUNDUP(P32/PAL_CAJ,0))</f>
        <v>1</v>
      </c>
      <c r="R32" s="66" t="n">
        <v>0.253217202189714</v>
      </c>
      <c r="S32" s="14" t="n">
        <f aca="false">K32*R32</f>
        <v>257.546296656</v>
      </c>
      <c r="T32" s="41" t="str">
        <f aca="false">IF(D32=0,"Sin producción este mes","Se prensa cada "&amp;J32&amp;" días: "&amp;FIXED(K32,0)&amp;" piezas en "&amp;FIXED(L32/60,1)&amp;" h")</f>
        <v>Se prensa cada 16 días: 1,017 piezas en 2.3 h</v>
      </c>
    </row>
    <row r="33" customFormat="false" ht="15.75" hidden="false" customHeight="true" outlineLevel="0" collapsed="false">
      <c r="A33" s="21" t="s">
        <v>590</v>
      </c>
      <c r="B33" s="16" t="s">
        <v>234</v>
      </c>
      <c r="C33" s="16" t="s">
        <v>266</v>
      </c>
      <c r="D33" s="14" t="n">
        <f aca="false">Carga!L$37/Carga!$E$37</f>
        <v>63.56852299845</v>
      </c>
      <c r="E33" s="22" t="n">
        <f aca="false">Carga!H$37</f>
        <v>8</v>
      </c>
      <c r="F33" s="22" t="n">
        <f aca="false">D33*E33/60</f>
        <v>8.47580306646</v>
      </c>
      <c r="G33" s="22" t="n">
        <f aca="false">IF(F33=0,0,R_CORRIDA*S_EMB/F33)</f>
        <v>31.8553885552662</v>
      </c>
      <c r="H33" s="14" t="n">
        <f aca="false">MIN(K_MAX,BASE*2^MAX(0,ROUNDUP(LOG(MAX(1,(G33)/BASE),2)-0.000001,0)))</f>
        <v>16</v>
      </c>
      <c r="I33" s="62"/>
      <c r="J33" s="23" t="n">
        <f aca="false">IF(I33="",H33,I33)</f>
        <v>16</v>
      </c>
      <c r="K33" s="43" t="n">
        <f aca="false">D33*J33</f>
        <v>1017.0963679752</v>
      </c>
      <c r="L33" s="14" t="n">
        <f aca="false">K33*E33/60</f>
        <v>135.61284906336</v>
      </c>
      <c r="M33" s="18" t="n">
        <f aca="false">IF(L33+S_EMB=0,0,S_EMB/(S_EMB+L33))</f>
        <v>0.398913450070057</v>
      </c>
      <c r="N33" s="63" t="n">
        <v>7</v>
      </c>
      <c r="O33" s="43" t="n">
        <f aca="false">K33*(1-IF($D$42=0,0,F33/$D$42))+D33*SS_SUPER</f>
        <v>1071.08632595746</v>
      </c>
      <c r="P33" s="14" t="n">
        <f aca="false">IF(Pulmones!$I$22=0,0,ROUNDUP(Pulmones!$I$22/Parametros!$C$66,0))</f>
        <v>8</v>
      </c>
      <c r="Q33" s="14" t="n">
        <f aca="false">IF(P33=0,0,ROUNDUP(P33/PAL_CAJ,0))</f>
        <v>1</v>
      </c>
      <c r="R33" s="66" t="n">
        <v>0.205170468587386</v>
      </c>
      <c r="S33" s="14" t="n">
        <f aca="false">K33*R33</f>
        <v>208.678138416</v>
      </c>
      <c r="T33" s="41" t="str">
        <f aca="false">IF(D33=0,"Sin producción este mes","Se prensa cada "&amp;J33&amp;" días: "&amp;FIXED(K33,0)&amp;" piezas en "&amp;FIXED(L33/60,1)&amp;" h")</f>
        <v>Se prensa cada 16 días: 1,017 piezas en 2.3 h</v>
      </c>
    </row>
    <row r="34" customFormat="false" ht="15.75" hidden="false" customHeight="true" outlineLevel="0" collapsed="false">
      <c r="A34" s="21" t="s">
        <v>591</v>
      </c>
      <c r="B34" s="16" t="s">
        <v>235</v>
      </c>
      <c r="C34" s="16" t="s">
        <v>264</v>
      </c>
      <c r="D34" s="14" t="n">
        <f aca="false">Carga!M$37/Carga!$E$37</f>
        <v>287.3369642445</v>
      </c>
      <c r="E34" s="22" t="n">
        <f aca="false">Carga!I$37</f>
        <v>8</v>
      </c>
      <c r="F34" s="22" t="n">
        <f aca="false">D34*E34/60</f>
        <v>38.3115952326</v>
      </c>
      <c r="G34" s="22" t="n">
        <f aca="false">IF(F34=0,0,R_CORRIDA*S_EMB/F34)</f>
        <v>7.04747474911335</v>
      </c>
      <c r="H34" s="14" t="n">
        <f aca="false">MIN(K_MAX,BASE*2^MAX(0,ROUNDUP(LOG(MAX(1,(G34)/BASE),2)-0.000001,0)))</f>
        <v>8</v>
      </c>
      <c r="I34" s="62"/>
      <c r="J34" s="23" t="n">
        <f aca="false">IF(I34="",H34,I34)</f>
        <v>8</v>
      </c>
      <c r="K34" s="43" t="n">
        <f aca="false">D34*J34</f>
        <v>2298.695713956</v>
      </c>
      <c r="L34" s="14" t="n">
        <f aca="false">K34*E34/60</f>
        <v>306.4927618608</v>
      </c>
      <c r="M34" s="18" t="n">
        <f aca="false">IF(L34+S_EMB=0,0,S_EMB/(S_EMB+L34))</f>
        <v>0.226990272351042</v>
      </c>
      <c r="N34" s="63" t="n">
        <v>2</v>
      </c>
      <c r="O34" s="43" t="n">
        <f aca="false">K34*(1-IF($D$42=0,0,F34/$D$42))+D34*SS_SUPER</f>
        <v>2488.18078958273</v>
      </c>
      <c r="P34" s="14" t="n">
        <f aca="false">IF(Pulmones!$J$23=0,0,ROUNDUP(Pulmones!$J$23/Parametros!$D$67,0))</f>
        <v>55</v>
      </c>
      <c r="Q34" s="14" t="n">
        <f aca="false">IF(P34=0,0,ROUNDUP(P34/PAL_CAJ,0))</f>
        <v>5</v>
      </c>
      <c r="R34" s="66" t="n">
        <v>0.513981456017373</v>
      </c>
      <c r="S34" s="14" t="n">
        <f aca="false">K34*R34</f>
        <v>1181.48697</v>
      </c>
      <c r="T34" s="41" t="str">
        <f aca="false">IF(D34=0,"Sin producción este mes","Se prensa cada "&amp;J34&amp;" días: "&amp;FIXED(K34,0)&amp;" piezas en "&amp;FIXED(L34/60,1)&amp;" h")</f>
        <v>Se prensa cada 8 días: 2,299 piezas en 5.1 h</v>
      </c>
    </row>
    <row r="35" customFormat="false" ht="15.75" hidden="false" customHeight="true" outlineLevel="0" collapsed="false">
      <c r="A35" s="21" t="s">
        <v>592</v>
      </c>
      <c r="B35" s="16" t="s">
        <v>235</v>
      </c>
      <c r="C35" s="16" t="s">
        <v>266</v>
      </c>
      <c r="D35" s="14" t="n">
        <f aca="false">Carga!M$37/Carga!$E$37</f>
        <v>287.3369642445</v>
      </c>
      <c r="E35" s="22" t="n">
        <f aca="false">Carga!I$37</f>
        <v>8</v>
      </c>
      <c r="F35" s="22" t="n">
        <f aca="false">D35*E35/60</f>
        <v>38.3115952326</v>
      </c>
      <c r="G35" s="22" t="n">
        <f aca="false">IF(F35=0,0,R_CORRIDA*S_EMB/F35)</f>
        <v>7.04747474911335</v>
      </c>
      <c r="H35" s="14" t="n">
        <f aca="false">MIN(K_MAX,BASE*2^MAX(0,ROUNDUP(LOG(MAX(1,(G35)/BASE),2)-0.000001,0)))</f>
        <v>8</v>
      </c>
      <c r="I35" s="62"/>
      <c r="J35" s="23" t="n">
        <f aca="false">IF(I35="",H35,I35)</f>
        <v>8</v>
      </c>
      <c r="K35" s="43" t="n">
        <f aca="false">D35*J35</f>
        <v>2298.695713956</v>
      </c>
      <c r="L35" s="14" t="n">
        <f aca="false">K35*E35/60</f>
        <v>306.4927618608</v>
      </c>
      <c r="M35" s="18" t="n">
        <f aca="false">IF(L35+S_EMB=0,0,S_EMB/(S_EMB+L35))</f>
        <v>0.226990272351042</v>
      </c>
      <c r="N35" s="63" t="n">
        <v>3</v>
      </c>
      <c r="O35" s="43" t="n">
        <f aca="false">K35*(1-IF($D$42=0,0,F35/$D$42))+D35*SS_SUPER</f>
        <v>2488.18078958273</v>
      </c>
      <c r="P35" s="14" t="n">
        <f aca="false">IF(Pulmones!$J$22=0,0,ROUNDUP(Pulmones!$J$22/Parametros!$D$66,0))</f>
        <v>41</v>
      </c>
      <c r="Q35" s="14" t="n">
        <f aca="false">IF(P35=0,0,ROUNDUP(P35/PAL_CAJ,0))</f>
        <v>4</v>
      </c>
      <c r="R35" s="66" t="n">
        <v>0.385627092171525</v>
      </c>
      <c r="S35" s="14" t="n">
        <f aca="false">K35*R35</f>
        <v>886.43934396</v>
      </c>
      <c r="T35" s="41" t="str">
        <f aca="false">IF(D35=0,"Sin producción este mes","Se prensa cada "&amp;J35&amp;" días: "&amp;FIXED(K35,0)&amp;" piezas en "&amp;FIXED(L35/60,1)&amp;" h")</f>
        <v>Se prensa cada 8 días: 2,299 piezas en 5.1 h</v>
      </c>
    </row>
    <row r="36" customFormat="false" ht="15.75" hidden="false" customHeight="true" outlineLevel="0" collapsed="false">
      <c r="A36" s="21" t="s">
        <v>593</v>
      </c>
      <c r="B36" s="16" t="s">
        <v>236</v>
      </c>
      <c r="C36" s="16" t="s">
        <v>264</v>
      </c>
      <c r="D36" s="14" t="n">
        <f aca="false">Carga!N$37/Carga!$E$37</f>
        <v>17.38317635415</v>
      </c>
      <c r="E36" s="22" t="n">
        <f aca="false">Carga!J$37</f>
        <v>8</v>
      </c>
      <c r="F36" s="22" t="n">
        <f aca="false">D36*E36/60</f>
        <v>2.31775684722</v>
      </c>
      <c r="G36" s="22" t="n">
        <f aca="false">IF(F36=0,0,R_CORRIDA*S_EMB/F36)</f>
        <v>116.491943632417</v>
      </c>
      <c r="H36" s="14" t="n">
        <f aca="false">MIN(K_MAX,BASE*2^MAX(0,ROUNDUP(LOG(MAX(1,(G36)/BASE),2)-0.000001,0)))</f>
        <v>16</v>
      </c>
      <c r="I36" s="62"/>
      <c r="J36" s="23" t="n">
        <f aca="false">IF(I36="",H36,I36)</f>
        <v>16</v>
      </c>
      <c r="K36" s="43" t="n">
        <f aca="false">D36*J36</f>
        <v>278.1308216664</v>
      </c>
      <c r="L36" s="14" t="n">
        <f aca="false">K36*E36/60</f>
        <v>37.08410955552</v>
      </c>
      <c r="M36" s="18" t="n">
        <f aca="false">IF(L36+S_EMB=0,0,S_EMB/(S_EMB+L36))</f>
        <v>0.708192395688</v>
      </c>
      <c r="N36" s="63" t="n">
        <v>14</v>
      </c>
      <c r="O36" s="43" t="n">
        <f aca="false">K36*(1-IF($D$42=0,0,F36/$D$42))+D36*SS_SUPER</f>
        <v>294.797731780172</v>
      </c>
      <c r="P36" s="14" t="n">
        <f aca="false">IF(Pulmones!$K$23=0,0,ROUNDUP(Pulmones!$K$23/Parametros!$E$67,0))</f>
        <v>2</v>
      </c>
      <c r="Q36" s="14" t="n">
        <f aca="false">IF(P36=0,0,ROUNDUP(P36/PAL_CAJ,0))</f>
        <v>1</v>
      </c>
      <c r="R36" s="66" t="n">
        <v>0.880966440655363</v>
      </c>
      <c r="S36" s="14" t="n">
        <f aca="false">K36*R36</f>
        <v>245.02392</v>
      </c>
      <c r="T36" s="41" t="str">
        <f aca="false">IF(D36=0,"Sin producción este mes","Se prensa cada "&amp;J36&amp;" días: "&amp;FIXED(K36,0)&amp;" piezas en "&amp;FIXED(L36/60,1)&amp;" h")</f>
        <v>Se prensa cada 16 días: 278 piezas en 0.6 h</v>
      </c>
    </row>
    <row r="37" customFormat="false" ht="15.75" hidden="false" customHeight="true" outlineLevel="0" collapsed="false">
      <c r="A37" s="21" t="s">
        <v>594</v>
      </c>
      <c r="B37" s="16" t="s">
        <v>236</v>
      </c>
      <c r="C37" s="16" t="s">
        <v>266</v>
      </c>
      <c r="D37" s="14" t="n">
        <f aca="false">Carga!N$37/Carga!$E$37</f>
        <v>17.38317635415</v>
      </c>
      <c r="E37" s="22" t="n">
        <f aca="false">Carga!J$37</f>
        <v>8</v>
      </c>
      <c r="F37" s="22" t="n">
        <f aca="false">D37*E37/60</f>
        <v>2.31775684722</v>
      </c>
      <c r="G37" s="22" t="n">
        <f aca="false">IF(F37=0,0,R_CORRIDA*S_EMB/F37)</f>
        <v>116.491943632417</v>
      </c>
      <c r="H37" s="14" t="n">
        <f aca="false">MIN(K_MAX,BASE*2^MAX(0,ROUNDUP(LOG(MAX(1,(G37)/BASE),2)-0.000001,0)))</f>
        <v>16</v>
      </c>
      <c r="I37" s="62"/>
      <c r="J37" s="23" t="n">
        <f aca="false">IF(I37="",H37,I37)</f>
        <v>16</v>
      </c>
      <c r="K37" s="43" t="n">
        <f aca="false">D37*J37</f>
        <v>278.1308216664</v>
      </c>
      <c r="L37" s="14" t="n">
        <f aca="false">K37*E37/60</f>
        <v>37.08410955552</v>
      </c>
      <c r="M37" s="18" t="n">
        <f aca="false">IF(L37+S_EMB=0,0,S_EMB/(S_EMB+L37))</f>
        <v>0.708192395688</v>
      </c>
      <c r="N37" s="63" t="n">
        <v>15</v>
      </c>
      <c r="O37" s="43" t="n">
        <f aca="false">K37*(1-IF($D$42=0,0,F37/$D$42))+D37*SS_SUPER</f>
        <v>294.797731780172</v>
      </c>
      <c r="P37" s="14" t="n">
        <f aca="false">IF(Pulmones!$K$22=0,0,ROUNDUP(Pulmones!$K$22/Parametros!$E$66,0))</f>
        <v>2</v>
      </c>
      <c r="Q37" s="14" t="n">
        <f aca="false">IF(P37=0,0,ROUNDUP(P37/PAL_CAJ,0))</f>
        <v>1</v>
      </c>
      <c r="R37" s="66" t="n">
        <v>0.643699999932903</v>
      </c>
      <c r="S37" s="14" t="n">
        <f aca="false">K37*R37</f>
        <v>179.032809888</v>
      </c>
      <c r="T37" s="41" t="str">
        <f aca="false">IF(D37=0,"Sin producción este mes","Se prensa cada "&amp;J37&amp;" días: "&amp;FIXED(K37,0)&amp;" piezas en "&amp;FIXED(L37/60,1)&amp;" h")</f>
        <v>Se prensa cada 16 días: 278 piezas en 0.6 h</v>
      </c>
    </row>
    <row r="38" customFormat="false" ht="15.75" hidden="false" customHeight="true" outlineLevel="0" collapsed="false">
      <c r="A38" s="4" t="s">
        <v>363</v>
      </c>
      <c r="F38" s="45" t="n">
        <f aca="false">SUM(F30:F37)</f>
        <v>341.35507725216</v>
      </c>
      <c r="O38" s="43" t="n">
        <f aca="false">SUM(O30:O37)</f>
        <v>15840.7354939618</v>
      </c>
      <c r="P38" s="43" t="n">
        <f aca="false">SUM(P30:P37)</f>
        <v>145</v>
      </c>
      <c r="Q38" s="43" t="n">
        <f aca="false">SUM(Q30:Q37)</f>
        <v>17</v>
      </c>
    </row>
    <row r="39" customFormat="false" ht="15.75" hidden="false" customHeight="true" outlineLevel="0" collapsed="false">
      <c r="A39" s="25" t="s">
        <v>595</v>
      </c>
    </row>
    <row r="40" customFormat="false" ht="15.75" hidden="false" customHeight="true" outlineLevel="0" collapsed="false"/>
    <row r="41" customFormat="false" ht="45" hidden="false" customHeight="true" outlineLevel="0" collapsed="false">
      <c r="A41" s="10" t="s">
        <v>69</v>
      </c>
      <c r="B41" s="10" t="s">
        <v>385</v>
      </c>
      <c r="C41" s="10" t="s">
        <v>386</v>
      </c>
      <c r="D41" s="10" t="s">
        <v>387</v>
      </c>
      <c r="E41" s="10" t="s">
        <v>596</v>
      </c>
      <c r="F41" s="10" t="s">
        <v>70</v>
      </c>
      <c r="G41" s="10" t="s">
        <v>71</v>
      </c>
      <c r="H41" s="10" t="s">
        <v>72</v>
      </c>
      <c r="I41" s="10" t="s">
        <v>597</v>
      </c>
      <c r="J41" s="10" t="s">
        <v>598</v>
      </c>
      <c r="K41" s="10" t="s">
        <v>45</v>
      </c>
    </row>
    <row r="42" customFormat="false" ht="15.75" hidden="false" customHeight="true" outlineLevel="0" collapsed="false">
      <c r="A42" s="4" t="s">
        <v>599</v>
      </c>
      <c r="B42" s="42" t="n">
        <f aca="false">Carga!R37</f>
        <v>1</v>
      </c>
      <c r="C42" s="42" t="n">
        <f aca="false">Carga!S37</f>
        <v>2</v>
      </c>
      <c r="D42" s="14" t="n">
        <f aca="false">B42*C42*MIN_TURNO</f>
        <v>900</v>
      </c>
      <c r="E42" s="22" t="n">
        <f aca="false">F38</f>
        <v>341.35507725216</v>
      </c>
      <c r="F42" s="24" t="n">
        <f aca="false">SUMPRODUCT(--(D30:D37&gt;0),1/J30:J37)</f>
        <v>1</v>
      </c>
      <c r="G42" s="22" t="n">
        <f aca="false">F42*S_EMB</f>
        <v>90</v>
      </c>
      <c r="H42" s="20" t="n">
        <f aca="false">(E42+G42)/D42</f>
        <v>0.479283419169067</v>
      </c>
      <c r="I42" s="18" t="n">
        <f aca="false">Carga!V37</f>
        <v>0.557769734072157</v>
      </c>
      <c r="J42" s="22" t="n">
        <f aca="false">F42*DIAS</f>
        <v>20</v>
      </c>
      <c r="K42" s="16" t="str">
        <f aca="false">IF(H42&lt;=UMBRAL,"OK","Pasa el umbral")</f>
        <v>OK</v>
      </c>
    </row>
    <row r="43" customFormat="false" ht="15.75" hidden="false" customHeight="true" outlineLevel="0" collapsed="false">
      <c r="A43" s="25" t="s">
        <v>600</v>
      </c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AA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C8" activeCellId="0" sqref="C8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26" min="3" style="1" width="10"/>
    <col collapsed="false" customWidth="true" hidden="false" outlineLevel="0" max="27" min="27" style="1" width="52"/>
  </cols>
  <sheetData>
    <row r="1" customFormat="false" ht="15" hidden="false" customHeight="true" outlineLevel="0" collapsed="false">
      <c r="A1" s="2" t="s">
        <v>601</v>
      </c>
    </row>
    <row r="2" customFormat="false" ht="15" hidden="false" customHeight="true" outlineLevel="0" collapsed="false">
      <c r="A2" s="3" t="s">
        <v>602</v>
      </c>
    </row>
    <row r="3" customFormat="false" ht="15" hidden="false" customHeight="true" outlineLevel="0" collapsed="false">
      <c r="A3" s="32" t="s">
        <v>603</v>
      </c>
    </row>
    <row r="4" customFormat="false" ht="15" hidden="false" customHeight="true" outlineLevel="0" collapsed="false">
      <c r="A4" s="4" t="s">
        <v>339</v>
      </c>
      <c r="B4" s="8" t="str">
        <f aca="false">Carga!B4</f>
        <v>Ene 2035</v>
      </c>
    </row>
    <row r="5" customFormat="false" ht="15" hidden="false" customHeight="true" outlineLevel="0" collapsed="false"/>
    <row r="6" customFormat="false" ht="15" hidden="false" customHeight="true" outlineLevel="0" collapsed="false">
      <c r="A6" s="9" t="s">
        <v>604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customFormat="false" ht="60" hidden="false" customHeight="true" outlineLevel="0" collapsed="false">
      <c r="A7" s="10" t="s">
        <v>371</v>
      </c>
      <c r="B7" s="10" t="s">
        <v>372</v>
      </c>
      <c r="C7" s="10" t="s">
        <v>451</v>
      </c>
      <c r="D7" s="10" t="s">
        <v>605</v>
      </c>
      <c r="E7" s="10" t="s">
        <v>606</v>
      </c>
      <c r="F7" s="10" t="s">
        <v>385</v>
      </c>
      <c r="G7" s="10" t="s">
        <v>386</v>
      </c>
      <c r="H7" s="10" t="s">
        <v>387</v>
      </c>
      <c r="I7" s="10" t="s">
        <v>607</v>
      </c>
      <c r="J7" s="10" t="s">
        <v>608</v>
      </c>
      <c r="K7" s="10" t="s">
        <v>609</v>
      </c>
      <c r="L7" s="10" t="s">
        <v>610</v>
      </c>
      <c r="M7" s="10" t="s">
        <v>611</v>
      </c>
      <c r="N7" s="10" t="s">
        <v>612</v>
      </c>
      <c r="O7" s="10" t="s">
        <v>613</v>
      </c>
      <c r="P7" s="10" t="s">
        <v>614</v>
      </c>
      <c r="Q7" s="10" t="s">
        <v>615</v>
      </c>
      <c r="R7" s="10" t="s">
        <v>616</v>
      </c>
      <c r="S7" s="10" t="s">
        <v>617</v>
      </c>
      <c r="T7" s="10" t="s">
        <v>618</v>
      </c>
      <c r="U7" s="10" t="s">
        <v>619</v>
      </c>
      <c r="V7" s="10" t="s">
        <v>620</v>
      </c>
      <c r="W7" s="10" t="s">
        <v>70</v>
      </c>
      <c r="X7" s="10" t="s">
        <v>71</v>
      </c>
      <c r="Y7" s="10" t="s">
        <v>621</v>
      </c>
      <c r="Z7" s="10" t="s">
        <v>45</v>
      </c>
      <c r="AA7" s="10" t="s">
        <v>391</v>
      </c>
    </row>
    <row r="8" customFormat="false" ht="15" hidden="false" customHeight="true" outlineLevel="0" collapsed="false">
      <c r="A8" s="42" t="n">
        <v>5</v>
      </c>
      <c r="B8" s="12" t="str">
        <f aca="false">Carga!B38</f>
        <v>Preparación de cuello</v>
      </c>
      <c r="C8" s="40" t="n">
        <v>0</v>
      </c>
      <c r="D8" s="67" t="s">
        <v>622</v>
      </c>
      <c r="E8" s="68" t="s">
        <v>622</v>
      </c>
      <c r="F8" s="42" t="n">
        <f aca="false">Carga!R38</f>
        <v>2</v>
      </c>
      <c r="G8" s="42" t="n">
        <f aca="false">Carga!S38</f>
        <v>2</v>
      </c>
      <c r="H8" s="14" t="n">
        <f aca="false">F8*G8*MIN_TURNO</f>
        <v>1800</v>
      </c>
      <c r="I8" s="14" t="n">
        <f aca="false">Carga!Q38</f>
        <v>1280.0815396956</v>
      </c>
      <c r="J8" s="14" t="n">
        <f aca="false">Carga!K38*Carga!G38/60</f>
        <v>911.7928760985</v>
      </c>
      <c r="K8" s="22" t="n">
        <f aca="false">Carga!K38*Carga!G38/60</f>
        <v>911.7928760985</v>
      </c>
      <c r="L8" s="22" t="n">
        <f aca="false">Carga!L38*Carga!H38/60</f>
        <v>63.56852299845</v>
      </c>
      <c r="M8" s="22" t="n">
        <f aca="false">Carga!M38*Carga!I38/60</f>
        <v>287.3369642445</v>
      </c>
      <c r="N8" s="22" t="n">
        <f aca="false">Carga!N38*Carga!J38/60</f>
        <v>17.38317635415</v>
      </c>
      <c r="O8" s="22" t="n">
        <f aca="false">IF(OR($D8="No",K8=0,AND($E8="Sí",$F8&gt;=2)),0,R_CORRIDA*$C8/K8)</f>
        <v>0</v>
      </c>
      <c r="P8" s="22" t="n">
        <f aca="false">IF(OR($D8="No",L8=0,FALSE()),0,R_CORRIDA*$C8/L8)</f>
        <v>0</v>
      </c>
      <c r="Q8" s="22" t="n">
        <f aca="false">IF(OR($D8="No",M8=0,FALSE()),0,R_CORRIDA*$C8/M8)</f>
        <v>0</v>
      </c>
      <c r="R8" s="22" t="n">
        <f aca="false">IF(OR($D8="No",N8=0,FALSE()),0,R_CORRIDA*$C8/N8)</f>
        <v>0</v>
      </c>
      <c r="S8" s="22" t="n">
        <f aca="false">IF(OR($D8="No",K8=0),99,MAX(0,IF(AND($E8="Sí",$F8&gt;=2),99*K8,$H8*UMBRAL-($I8-K8)-$C8*COUNTIF($K8:$N8,"&gt;0")))/K8)</f>
        <v>99</v>
      </c>
      <c r="T8" s="22" t="n">
        <f aca="false">IF(OR($D8="No",L8=0),99,MAX(0,IF(AND($E8="Sí",$F8&gt;=2),($F8-1)*$G8*MIN_TURNO*UMBRAL-($I8-$J8-L8)-$C8*(COUNTIF($K8:$N8,"&gt;0")-1),$H8*UMBRAL-($I8-L8)-$C8*COUNTIF($K8:$N8,"&gt;0")))/L8)</f>
        <v>99</v>
      </c>
      <c r="U8" s="22" t="n">
        <f aca="false">IF(OR($D8="No",M8=0),99,MAX(0,IF(AND($E8="Sí",$F8&gt;=2),($F8-1)*$G8*MIN_TURNO*UMBRAL-($I8-$J8-M8)-$C8*(COUNTIF($K8:$N8,"&gt;0")-1),$H8*UMBRAL-($I8-M8)-$C8*COUNTIF($K8:$N8,"&gt;0")))/M8)</f>
        <v>99</v>
      </c>
      <c r="V8" s="22" t="n">
        <f aca="false">IF(OR($D8="No",N8=0),99,MAX(0,IF(AND($E8="Sí",$F8&gt;=2),($F8-1)*$G8*MIN_TURNO*UMBRAL-($I8-$J8-N8)-$C8*(COUNTIF($K8:$N8,"&gt;0")-1),$H8*UMBRAL-($I8-N8)-$C8*COUNTIF($K8:$N8,"&gt;0")))/N8)</f>
        <v>99</v>
      </c>
      <c r="W8" s="24" t="n">
        <f aca="false">IF(OR($D8="No",K8=0,AND($E8="Sí",$F8&gt;=2)),0,1/$H$35)+IF(OR($D8="No",L8=0),0,1/$H$36)+IF(OR($D8="No",M8=0),0,1/$H$37)+IF(OR($D8="No",N8=0),0,1/$H$38)</f>
        <v>0</v>
      </c>
      <c r="X8" s="22" t="n">
        <f aca="false">W8*C8</f>
        <v>0</v>
      </c>
      <c r="Y8" s="20" t="n">
        <f aca="false">IF(H8=0,0,IF(AND(E8="Sí",F8&gt;=2),MAX(J8/(G8*MIN_TURNO),(I8-J8+X8)/((F8-1)*G8*MIN_TURNO)),(I8+X8)/H8))</f>
        <v>0.711156410942</v>
      </c>
      <c r="Z8" s="16" t="str">
        <f aca="false">IF(Y8&lt;=UMBRAL,"OK","Pasa el umbral")</f>
        <v>OK</v>
      </c>
      <c r="AA8" s="12"/>
    </row>
    <row r="9" customFormat="false" ht="42.75" hidden="false" customHeight="true" outlineLevel="0" collapsed="false">
      <c r="A9" s="42" t="n">
        <v>6</v>
      </c>
      <c r="B9" s="12" t="str">
        <f aca="false">Carga!B39</f>
        <v>Marcado del cuerpo (manuales + carros)</v>
      </c>
      <c r="C9" s="40" t="n">
        <v>15</v>
      </c>
      <c r="D9" s="67" t="s">
        <v>623</v>
      </c>
      <c r="E9" s="68" t="s">
        <v>623</v>
      </c>
      <c r="F9" s="42" t="n">
        <f aca="false">Carga!R39</f>
        <v>2</v>
      </c>
      <c r="G9" s="42" t="n">
        <f aca="false">Carga!S39</f>
        <v>1</v>
      </c>
      <c r="H9" s="14" t="n">
        <f aca="false">F9*G9*MIN_TURNO</f>
        <v>900</v>
      </c>
      <c r="I9" s="14" t="n">
        <f aca="false">Carga!Q39</f>
        <v>451.29553510735</v>
      </c>
      <c r="J9" s="14" t="n">
        <f aca="false">Carga!K39*Carga!G39/60</f>
        <v>303.9309586995</v>
      </c>
      <c r="K9" s="22" t="n">
        <f aca="false">Carga!K39*Carga!G39/60</f>
        <v>303.9309586995</v>
      </c>
      <c r="L9" s="22" t="n">
        <f aca="false">Carga!L39*Carga!H39/60</f>
        <v>21.18950766615</v>
      </c>
      <c r="M9" s="22" t="n">
        <f aca="false">Carga!M39*Carga!I39/60</f>
        <v>95.7789880815</v>
      </c>
      <c r="N9" s="22" t="n">
        <f aca="false">Carga!N39*Carga!J39/60</f>
        <v>5.79439211805</v>
      </c>
      <c r="O9" s="22" t="n">
        <v>0</v>
      </c>
      <c r="P9" s="22" t="n">
        <v>0</v>
      </c>
      <c r="Q9" s="22" t="n">
        <v>0</v>
      </c>
      <c r="R9" s="22" t="n">
        <v>0</v>
      </c>
      <c r="S9" s="22" t="n">
        <v>99</v>
      </c>
      <c r="T9" s="22" t="n">
        <v>99</v>
      </c>
      <c r="U9" s="22" t="n">
        <v>99</v>
      </c>
      <c r="V9" s="22" t="n">
        <v>99</v>
      </c>
      <c r="W9" s="24" t="n">
        <f aca="false">IF(AND($E9="Sí",$F9&gt;=2),0,Lotes!$U$8)+SUM(Lotes!$U$9:$U$14)</f>
        <v>1.9375</v>
      </c>
      <c r="X9" s="22" t="n">
        <f aca="false">W9*C9</f>
        <v>29.0625</v>
      </c>
      <c r="Y9" s="20" t="n">
        <f aca="false">IF(H9=0,0,(I9+X9)/H9)</f>
        <v>0.533731150119278</v>
      </c>
      <c r="Z9" s="16" t="str">
        <f aca="false">IF(Y9&lt;=UMBRAL,"OK","Pasa el umbral")</f>
        <v>OK</v>
      </c>
      <c r="AA9" s="12" t="s">
        <v>624</v>
      </c>
    </row>
    <row r="10" customFormat="false" ht="15" hidden="false" customHeight="true" outlineLevel="0" collapsed="false">
      <c r="A10" s="42" t="n">
        <v>7</v>
      </c>
      <c r="B10" s="12" t="str">
        <f aca="false">Carga!B40</f>
        <v>Soldadura del cuello a la cúpula</v>
      </c>
      <c r="C10" s="40" t="n">
        <v>15</v>
      </c>
      <c r="D10" s="67" t="s">
        <v>623</v>
      </c>
      <c r="E10" s="68" t="s">
        <v>622</v>
      </c>
      <c r="F10" s="42" t="n">
        <f aca="false">Carga!R40</f>
        <v>1</v>
      </c>
      <c r="G10" s="42" t="n">
        <f aca="false">Carga!S40</f>
        <v>2</v>
      </c>
      <c r="H10" s="14" t="n">
        <f aca="false">F10*G10*MIN_TURNO</f>
        <v>900</v>
      </c>
      <c r="I10" s="14" t="n">
        <f aca="false">Carga!Q40</f>
        <v>533.3673082065</v>
      </c>
      <c r="J10" s="14" t="n">
        <f aca="false">Carga!K40*Carga!G40/60</f>
        <v>379.913698374375</v>
      </c>
      <c r="K10" s="22" t="n">
        <f aca="false">Carga!K40*Carga!G40/60</f>
        <v>379.913698374375</v>
      </c>
      <c r="L10" s="22" t="n">
        <f aca="false">Carga!L40*Carga!H40/60</f>
        <v>26.4868845826875</v>
      </c>
      <c r="M10" s="22" t="n">
        <f aca="false">Carga!M40*Carga!I40/60</f>
        <v>119.723735101875</v>
      </c>
      <c r="N10" s="22" t="n">
        <f aca="false">Carga!N40*Carga!J40/60</f>
        <v>7.2429901475625</v>
      </c>
      <c r="O10" s="22" t="n">
        <f aca="false">IF(OR($D10="No",K10=0,AND($E10="Sí",$F10&gt;=2)),0,R_CORRIDA*$C10/K10)</f>
        <v>0.118447953291897</v>
      </c>
      <c r="P10" s="22" t="n">
        <f aca="false">IF(OR($D10="No",L10=0,FALSE()),0,R_CORRIDA*$C10/L10)</f>
        <v>1.69895405628086</v>
      </c>
      <c r="Q10" s="22" t="n">
        <f aca="false">IF(OR($D10="No",M10=0,FALSE()),0,R_CORRIDA*$C10/M10)</f>
        <v>0.375865319952712</v>
      </c>
      <c r="R10" s="22" t="n">
        <f aca="false">IF(OR($D10="No",N10=0,FALSE()),0,R_CORRIDA*$C10/N10)</f>
        <v>6.21290366039556</v>
      </c>
      <c r="S10" s="22" t="n">
        <f aca="false">IF(OR($D10="No",K10=0),99,MAX(0,IF(AND($E10="Sí",$F10&gt;=2),99*K10,$H10*UMBRAL-($I10-K10)-$C10*COUNTIF($K10:$N10,"&gt;0")))/K10)</f>
        <v>1.57021553242343</v>
      </c>
      <c r="T10" s="22" t="n">
        <f aca="false">IF(OR($D10="No",L10=0),99,MAX(0,IF(AND($E10="Sí",$F10&gt;=2),($F10-1)*$G10*MIN_TURNO*UMBRAL-($I10-$J10-L10)-$C10*(COUNTIF($K10:$N10,"&gt;0")-1),$H10*UMBRAL-($I10-L10)-$C10*COUNTIF($K10:$N10,"&gt;0")))/L10)</f>
        <v>9.17886645434687</v>
      </c>
      <c r="U10" s="22" t="n">
        <f aca="false">IF(OR($D10="No",M10=0),99,MAX(0,IF(AND($E10="Sí",$F10&gt;=2),($F10-1)*$G10*MIN_TURNO*UMBRAL-($I10-$J10-M10)-$C10*(COUNTIF($K10:$N10,"&gt;0")-1),$H10*UMBRAL-($I10-M10)-$C10*COUNTIF($K10:$N10,"&gt;0")))/M10)</f>
        <v>2.80943813362625</v>
      </c>
      <c r="V10" s="22" t="n">
        <f aca="false">IF(OR($D10="No",N10=0),99,MAX(0,IF(AND($E10="Sí",$F10&gt;=2),($F10-1)*$G10*MIN_TURNO*UMBRAL-($I10-$J10-N10)-$C10*(COUNTIF($K10:$N10,"&gt;0")-1),$H10*UMBRAL-($I10-N10)-$C10*COUNTIF($K10:$N10,"&gt;0")))/N10)</f>
        <v>30.9092898623373</v>
      </c>
      <c r="W10" s="24" t="n">
        <f aca="false">IF(OR($D10="No",K10=0,AND($E10="Sí",$F10&gt;=2)),0,1/$H$35)+IF(OR($D10="No",L10=0),0,1/$H$36)+IF(OR($D10="No",M10=0),0,1/$H$37)+IF(OR($D10="No",N10=0),0,1/$H$38)</f>
        <v>3.5</v>
      </c>
      <c r="X10" s="22" t="n">
        <f aca="false">W10*C10</f>
        <v>52.5</v>
      </c>
      <c r="Y10" s="20" t="n">
        <f aca="false">IF(H10=0,0,IF(AND(E10="Sí",F10&gt;=2),MAX(J10/(G10*MIN_TURNO),(I10-J10+X10)/((F10-1)*G10*MIN_TURNO)),(I10+X10)/H10))</f>
        <v>0.650963675785</v>
      </c>
      <c r="Z10" s="16" t="str">
        <f aca="false">IF(Y10&lt;=UMBRAL,"OK","Pasa el umbral")</f>
        <v>OK</v>
      </c>
      <c r="AA10" s="12"/>
    </row>
    <row r="11" customFormat="false" ht="21.75" hidden="false" customHeight="true" outlineLevel="0" collapsed="false">
      <c r="A11" s="42" t="n">
        <v>8</v>
      </c>
      <c r="B11" s="12" t="str">
        <f aca="false">Carga!B41</f>
        <v>Cilindrado</v>
      </c>
      <c r="C11" s="40" t="n">
        <v>10</v>
      </c>
      <c r="D11" s="67" t="s">
        <v>623</v>
      </c>
      <c r="E11" s="68" t="s">
        <v>623</v>
      </c>
      <c r="F11" s="63" t="n">
        <f aca="false">MAX(2,Carga!R41)</f>
        <v>2</v>
      </c>
      <c r="G11" s="42" t="n">
        <f aca="false">Carga!S41</f>
        <v>1</v>
      </c>
      <c r="H11" s="14" t="n">
        <f aca="false">F11*G11*MIN_TURNO</f>
        <v>900</v>
      </c>
      <c r="I11" s="14" t="n">
        <f aca="false">Carga!Q41</f>
        <v>320.0203849239</v>
      </c>
      <c r="J11" s="14" t="n">
        <f aca="false">Carga!K41*Carga!G41/60</f>
        <v>227.948219024625</v>
      </c>
      <c r="K11" s="22" t="n">
        <f aca="false">Carga!K41*Carga!G41/60</f>
        <v>227.948219024625</v>
      </c>
      <c r="L11" s="22" t="n">
        <f aca="false">Carga!L41*Carga!H41/60</f>
        <v>15.8921307496125</v>
      </c>
      <c r="M11" s="22" t="n">
        <f aca="false">Carga!M41*Carga!I41/60</f>
        <v>71.834241061125</v>
      </c>
      <c r="N11" s="22" t="n">
        <f aca="false">Carga!N41*Carga!J41/60</f>
        <v>4.3457940885375</v>
      </c>
      <c r="O11" s="22" t="n">
        <f aca="false">IF(OR($D11="No",K11=0,AND($E11="Sí",$F11&gt;=2)),0,R_CORRIDA*$C11/K11)</f>
        <v>0</v>
      </c>
      <c r="P11" s="22" t="n">
        <f aca="false">IF(OR($D11="No",L11=0,FALSE()),0,R_CORRIDA*$C11/L11)</f>
        <v>1.88772672920096</v>
      </c>
      <c r="Q11" s="22" t="n">
        <f aca="false">IF(OR($D11="No",M11=0,FALSE()),0,R_CORRIDA*$C11/M11)</f>
        <v>0.417628133280791</v>
      </c>
      <c r="R11" s="22" t="n">
        <f aca="false">IF(OR($D11="No",N11=0,FALSE()),0,R_CORRIDA*$C11/N11)</f>
        <v>6.9032262893284</v>
      </c>
      <c r="S11" s="22" t="n">
        <f aca="false">IF(OR($D11="No",K11=0),99,MAX(0,IF(AND($E11="Sí",$F11&gt;=2),99*K11,$H11*UMBRAL-($I11-K11)-$C11*COUNTIF($K11:$N11,"&gt;0")))/K11)</f>
        <v>99</v>
      </c>
      <c r="T11" s="22" t="n">
        <f aca="false">IF(OR($D11="No",L11=0),99,MAX(0,IF(AND($E11="Sí",$F11&gt;=2),($F11-1)*$G11*MIN_TURNO*UMBRAL-($I11-$J11-L11)-$C11*(COUNTIF($K11:$N11,"&gt;0")-1),$H11*UMBRAL-($I11-L11)-$C11*COUNTIF($K11:$N11,"&gt;0")))/L11)</f>
        <v>18.8030144955625</v>
      </c>
      <c r="U11" s="22" t="n">
        <f aca="false">IF(OR($D11="No",M11=0),99,MAX(0,IF(AND($E11="Sí",$F11&gt;=2),($F11-1)*$G11*MIN_TURNO*UMBRAL-($I11-$J11-M11)-$C11*(COUNTIF($K11:$N11,"&gt;0")-1),$H11*UMBRAL-($I11-M11)-$C11*COUNTIF($K11:$N11,"&gt;0")))/M11)</f>
        <v>4.93862077362211</v>
      </c>
      <c r="V11" s="22" t="n">
        <f aca="false">IF(OR($D11="No",N11=0),99,MAX(0,IF(AND($E11="Sí",$F11&gt;=2),($F11-1)*$G11*MIN_TURNO*UMBRAL-($I11-$J11-N11)-$C11*(COUNTIF($K11:$N11,"&gt;0")-1),$H11*UMBRAL-($I11-N11)-$C11*COUNTIF($K11:$N11,"&gt;0")))/N11)</f>
        <v>66.1038287448956</v>
      </c>
      <c r="W11" s="24" t="n">
        <f aca="false">IF(OR($D11="No",K11=0,AND($E11="Sí",$F11&gt;=2)),0,1/$H$35)+IF(OR($D11="No",L11=0),0,1/$H$36)+IF(OR($D11="No",M11=0),0,1/$H$37)+IF(OR($D11="No",N11=0),0,1/$H$38)</f>
        <v>2.5</v>
      </c>
      <c r="X11" s="22" t="n">
        <f aca="false">W11*C11</f>
        <v>25</v>
      </c>
      <c r="Y11" s="20" t="n">
        <f aca="false">IF(H11=0,0,IF(AND(E11="Sí",F11&gt;=2),MAX(J11/(G11*MIN_TURNO),(I11-J11+X11)/((F11-1)*G11*MIN_TURNO)),(I11+X11)/H11))</f>
        <v>0.5065515978325</v>
      </c>
      <c r="Z11" s="16" t="str">
        <f aca="false">IF(Y11&lt;=UMBRAL,"OK","Pasa el umbral")</f>
        <v>OK</v>
      </c>
      <c r="AA11" s="12" t="s">
        <v>625</v>
      </c>
    </row>
    <row r="12" customFormat="false" ht="21.75" hidden="false" customHeight="true" outlineLevel="0" collapsed="false">
      <c r="A12" s="42" t="n">
        <v>9</v>
      </c>
      <c r="B12" s="12" t="str">
        <f aca="false">Carga!B42</f>
        <v>Soldadura longitudinal — 2,5 a 10 kg</v>
      </c>
      <c r="C12" s="40" t="n">
        <v>10</v>
      </c>
      <c r="D12" s="67" t="s">
        <v>623</v>
      </c>
      <c r="E12" s="68" t="s">
        <v>622</v>
      </c>
      <c r="F12" s="42" t="n">
        <f aca="false">Carga!R42</f>
        <v>1</v>
      </c>
      <c r="G12" s="42" t="n">
        <f aca="false">Carga!S42</f>
        <v>2</v>
      </c>
      <c r="H12" s="14" t="n">
        <f aca="false">F12*G12*MIN_TURNO</f>
        <v>900</v>
      </c>
      <c r="I12" s="14" t="n">
        <f aca="false">Carga!Q42</f>
        <v>705.886605227775</v>
      </c>
      <c r="J12" s="14" t="n">
        <f aca="false">Carga!K42*Carga!G42/60</f>
        <v>0</v>
      </c>
      <c r="K12" s="22" t="n">
        <f aca="false">Carga!K42*Carga!G42/60</f>
        <v>0</v>
      </c>
      <c r="L12" s="22" t="n">
        <f aca="false">Carga!L42*Carga!H42/60</f>
        <v>121.839669080362</v>
      </c>
      <c r="M12" s="22" t="n">
        <f aca="false">Carga!M42*Carga!I42/60</f>
        <v>550.729181468625</v>
      </c>
      <c r="N12" s="22" t="n">
        <f aca="false">Carga!N42*Carga!J42/60</f>
        <v>33.3177546787875</v>
      </c>
      <c r="O12" s="22" t="n">
        <f aca="false">IF(OR($D12="No",K12=0,AND($E12="Sí",$F12&gt;=2)),0,R_CORRIDA*$C12/K12)</f>
        <v>0</v>
      </c>
      <c r="P12" s="22" t="n">
        <f aca="false">IF(OR($D12="No",L12=0,FALSE()),0,R_CORRIDA*$C12/L12)</f>
        <v>0.246225225547951</v>
      </c>
      <c r="Q12" s="22" t="n">
        <f aca="false">IF(OR($D12="No",M12=0,FALSE()),0,R_CORRIDA*$C12/M12)</f>
        <v>0.0544732347757554</v>
      </c>
      <c r="R12" s="22" t="n">
        <f aca="false">IF(OR($D12="No",N12=0,FALSE()),0,R_CORRIDA*$C12/N12)</f>
        <v>0.900420820347182</v>
      </c>
      <c r="S12" s="22" t="n">
        <f aca="false">IF(OR($D12="No",K12=0),99,MAX(0,IF(AND($E12="Sí",$F12&gt;=2),99*K12,$H12*UMBRAL-($I12-K12)-$C12*COUNTIF($K12:$N12,"&gt;0")))/K12)</f>
        <v>99</v>
      </c>
      <c r="T12" s="22" t="n">
        <f aca="false">IF(OR($D12="No",L12=0),99,MAX(0,IF(AND($E12="Sí",$F12&gt;=2),($F12-1)*$G12*MIN_TURNO*UMBRAL-($I12-$J12-L12)-$C12*(COUNTIF($K12:$N12,"&gt;0")-1),$H12*UMBRAL-($I12-L12)-$C12*COUNTIF($K12:$N12,"&gt;0")))/L12)</f>
        <v>1.60828624479718</v>
      </c>
      <c r="U12" s="22" t="n">
        <f aca="false">IF(OR($D12="No",M12=0),99,MAX(0,IF(AND($E12="Sí",$F12&gt;=2),($F12-1)*$G12*MIN_TURNO*UMBRAL-($I12-$J12-M12)-$C12*(COUNTIF($K12:$N12,"&gt;0")-1),$H12*UMBRAL-($I12-M12)-$C12*COUNTIF($K12:$N12,"&gt;0")))/M12)</f>
        <v>1.13457321178186</v>
      </c>
      <c r="V12" s="22" t="n">
        <f aca="false">IF(OR($D12="No",N12=0),99,MAX(0,IF(AND($E12="Sí",$F12&gt;=2),($F12-1)*$G12*MIN_TURNO*UMBRAL-($I12-$J12-N12)-$C12*(COUNTIF($K12:$N12,"&gt;0")-1),$H12*UMBRAL-($I12-N12)-$C12*COUNTIF($K12:$N12,"&gt;0")))/N12)</f>
        <v>3.22444145731738</v>
      </c>
      <c r="W12" s="24" t="n">
        <f aca="false">IF(OR($D12="No",K12=0,AND($E12="Sí",$F12&gt;=2)),0,1/$H$35)+IF(OR($D12="No",L12=0),0,1/$H$36)+IF(OR($D12="No",M12=0),0,1/$H$37)+IF(OR($D12="No",N12=0),0,1/$H$38)</f>
        <v>2.5</v>
      </c>
      <c r="X12" s="22" t="n">
        <f aca="false">W12*C12</f>
        <v>25</v>
      </c>
      <c r="Y12" s="20" t="n">
        <f aca="false">IF(H12=0,0,IF(AND(E12="Sí",F12&gt;=2),MAX(J12/(G12*MIN_TURNO),(I12-J12+X12)/((F12-1)*G12*MIN_TURNO)),(I12+X12)/H12))</f>
        <v>0.812096228030861</v>
      </c>
      <c r="Z12" s="16" t="str">
        <f aca="false">IF(Y12&lt;=UMBRAL,"OK","Pasa el umbral")</f>
        <v>OK</v>
      </c>
      <c r="AA12" s="12" t="s">
        <v>626</v>
      </c>
    </row>
    <row r="13" customFormat="false" ht="15" hidden="false" customHeight="true" outlineLevel="0" collapsed="false">
      <c r="A13" s="42" t="n">
        <v>10</v>
      </c>
      <c r="B13" s="12" t="str">
        <f aca="false">Carga!B43</f>
        <v>Soldadura longitudinal TIG — 1 kg</v>
      </c>
      <c r="C13" s="40" t="n">
        <v>0</v>
      </c>
      <c r="D13" s="67" t="s">
        <v>622</v>
      </c>
      <c r="E13" s="68" t="s">
        <v>622</v>
      </c>
      <c r="F13" s="42" t="n">
        <f aca="false">Carga!R43</f>
        <v>1</v>
      </c>
      <c r="G13" s="42" t="n">
        <f aca="false">Carga!S43</f>
        <v>2</v>
      </c>
      <c r="H13" s="14" t="n">
        <f aca="false">F13*G13*MIN_TURNO</f>
        <v>900</v>
      </c>
      <c r="I13" s="14" t="n">
        <f aca="false">Carga!Q43</f>
        <v>455.89643804925</v>
      </c>
      <c r="J13" s="14" t="n">
        <f aca="false">Carga!K43*Carga!G43/60</f>
        <v>455.89643804925</v>
      </c>
      <c r="K13" s="22" t="n">
        <f aca="false">Carga!K43*Carga!G43/60</f>
        <v>455.89643804925</v>
      </c>
      <c r="L13" s="22" t="n">
        <f aca="false">Carga!L43*Carga!H43/60</f>
        <v>0</v>
      </c>
      <c r="M13" s="22" t="n">
        <f aca="false">Carga!M43*Carga!I43/60</f>
        <v>0</v>
      </c>
      <c r="N13" s="22" t="n">
        <f aca="false">Carga!N43*Carga!J43/60</f>
        <v>0</v>
      </c>
      <c r="O13" s="22" t="n">
        <f aca="false">IF(OR($D13="No",K13=0,AND($E13="Sí",$F13&gt;=2)),0,R_CORRIDA*$C13/K13)</f>
        <v>0</v>
      </c>
      <c r="P13" s="22" t="n">
        <f aca="false">IF(OR($D13="No",L13=0,FALSE()),0,R_CORRIDA*$C13/L13)</f>
        <v>0</v>
      </c>
      <c r="Q13" s="22" t="n">
        <f aca="false">IF(OR($D13="No",M13=0,FALSE()),0,R_CORRIDA*$C13/M13)</f>
        <v>0</v>
      </c>
      <c r="R13" s="22" t="n">
        <f aca="false">IF(OR($D13="No",N13=0,FALSE()),0,R_CORRIDA*$C13/N13)</f>
        <v>0</v>
      </c>
      <c r="S13" s="22" t="n">
        <f aca="false">IF(OR($D13="No",K13=0),99,MAX(0,IF(AND($E13="Sí",$F13&gt;=2),99*K13,$H13*UMBRAL-($I13-K13)-$C13*COUNTIF($K13:$N13,"&gt;0")))/K13)</f>
        <v>99</v>
      </c>
      <c r="T13" s="22" t="n">
        <f aca="false">IF(OR($D13="No",L13=0),99,MAX(0,IF(AND($E13="Sí",$F13&gt;=2),($F13-1)*$G13*MIN_TURNO*UMBRAL-($I13-$J13-L13)-$C13*(COUNTIF($K13:$N13,"&gt;0")-1),$H13*UMBRAL-($I13-L13)-$C13*COUNTIF($K13:$N13,"&gt;0")))/L13)</f>
        <v>99</v>
      </c>
      <c r="U13" s="22" t="n">
        <f aca="false">IF(OR($D13="No",M13=0),99,MAX(0,IF(AND($E13="Sí",$F13&gt;=2),($F13-1)*$G13*MIN_TURNO*UMBRAL-($I13-$J13-M13)-$C13*(COUNTIF($K13:$N13,"&gt;0")-1),$H13*UMBRAL-($I13-M13)-$C13*COUNTIF($K13:$N13,"&gt;0")))/M13)</f>
        <v>99</v>
      </c>
      <c r="V13" s="22" t="n">
        <f aca="false">IF(OR($D13="No",N13=0),99,MAX(0,IF(AND($E13="Sí",$F13&gt;=2),($F13-1)*$G13*MIN_TURNO*UMBRAL-($I13-$J13-N13)-$C13*(COUNTIF($K13:$N13,"&gt;0")-1),$H13*UMBRAL-($I13-N13)-$C13*COUNTIF($K13:$N13,"&gt;0")))/N13)</f>
        <v>99</v>
      </c>
      <c r="W13" s="24" t="n">
        <f aca="false">IF(OR($D13="No",K13=0,AND($E13="Sí",$F13&gt;=2)),0,1/$H$35)+IF(OR($D13="No",L13=0),0,1/$H$36)+IF(OR($D13="No",M13=0),0,1/$H$37)+IF(OR($D13="No",N13=0),0,1/$H$38)</f>
        <v>0</v>
      </c>
      <c r="X13" s="22" t="n">
        <f aca="false">W13*C13</f>
        <v>0</v>
      </c>
      <c r="Y13" s="20" t="n">
        <f aca="false">IF(H13=0,0,IF(AND(E13="Sí",F13&gt;=2),MAX(J13/(G13*MIN_TURNO),(I13-J13+X13)/((F13-1)*G13*MIN_TURNO)),(I13+X13)/H13))</f>
        <v>0.5065515978325</v>
      </c>
      <c r="Z13" s="16" t="str">
        <f aca="false">IF(Y13&lt;=UMBRAL,"OK","Pasa el umbral")</f>
        <v>OK</v>
      </c>
      <c r="AA13" s="12" t="s">
        <v>627</v>
      </c>
    </row>
    <row r="14" customFormat="false" ht="15" hidden="false" customHeight="true" outlineLevel="0" collapsed="false">
      <c r="A14" s="42" t="n">
        <v>11</v>
      </c>
      <c r="B14" s="12" t="str">
        <f aca="false">Carga!B44</f>
        <v>Encastre de fondo</v>
      </c>
      <c r="C14" s="40" t="n">
        <v>10</v>
      </c>
      <c r="D14" s="67" t="s">
        <v>623</v>
      </c>
      <c r="E14" s="68" t="s">
        <v>622</v>
      </c>
      <c r="F14" s="42" t="n">
        <f aca="false">Carga!R44</f>
        <v>1</v>
      </c>
      <c r="G14" s="42" t="n">
        <f aca="false">Carga!S44</f>
        <v>2</v>
      </c>
      <c r="H14" s="14" t="n">
        <f aca="false">F14*G14*MIN_TURNO</f>
        <v>900</v>
      </c>
      <c r="I14" s="14" t="n">
        <f aca="false">Carga!Q44</f>
        <v>640.0407698478</v>
      </c>
      <c r="J14" s="14" t="n">
        <f aca="false">Carga!K44*Carga!G44/60</f>
        <v>455.89643804925</v>
      </c>
      <c r="K14" s="22" t="n">
        <f aca="false">Carga!K44*Carga!G44/60</f>
        <v>455.89643804925</v>
      </c>
      <c r="L14" s="22" t="n">
        <f aca="false">Carga!L44*Carga!H44/60</f>
        <v>31.784261499225</v>
      </c>
      <c r="M14" s="22" t="n">
        <f aca="false">Carga!M44*Carga!I44/60</f>
        <v>143.66848212225</v>
      </c>
      <c r="N14" s="22" t="n">
        <f aca="false">Carga!N44*Carga!J44/60</f>
        <v>8.691588177075</v>
      </c>
      <c r="O14" s="22" t="n">
        <f aca="false">IF(OR($D14="No",K14=0,AND($E14="Sí",$F14&gt;=2)),0,R_CORRIDA*$C14/K14)</f>
        <v>0.0658044184954986</v>
      </c>
      <c r="P14" s="22" t="n">
        <f aca="false">IF(OR($D14="No",L14=0,FALSE()),0,R_CORRIDA*$C14/L14)</f>
        <v>0.94386336460048</v>
      </c>
      <c r="Q14" s="22" t="n">
        <f aca="false">IF(OR($D14="No",M14=0,FALSE()),0,R_CORRIDA*$C14/M14)</f>
        <v>0.208814066640396</v>
      </c>
      <c r="R14" s="22" t="n">
        <f aca="false">IF(OR($D14="No",N14=0,FALSE()),0,R_CORRIDA*$C14/N14)</f>
        <v>3.4516131446642</v>
      </c>
      <c r="S14" s="22" t="n">
        <f aca="false">IF(OR($D14="No",K14=0),99,MAX(0,IF(AND($E14="Sí",$F14&gt;=2),99*K14,$H14*UMBRAL-($I14-K14)-$C14*COUNTIF($K14:$N14,"&gt;0")))/K14)</f>
        <v>1.28506305227627</v>
      </c>
      <c r="T14" s="22" t="n">
        <f aca="false">IF(OR($D14="No",L14=0),99,MAX(0,IF(AND($E14="Sí",$F14&gt;=2),($F14-1)*$G14*MIN_TURNO*UMBRAL-($I14-$J14-L14)-$C14*(COUNTIF($K14:$N14,"&gt;0")-1),$H14*UMBRAL-($I14-L14)-$C14*COUNTIF($K14:$N14,"&gt;0")))/L14)</f>
        <v>5.08879187441145</v>
      </c>
      <c r="U14" s="22" t="n">
        <f aca="false">IF(OR($D14="No",M14=0),99,MAX(0,IF(AND($E14="Sí",$F14&gt;=2),($F14-1)*$G14*MIN_TURNO*UMBRAL-($I14-$J14-M14)-$C14*(COUNTIF($K14:$N14,"&gt;0")-1),$H14*UMBRAL-($I14-M14)-$C14*COUNTIF($K14:$N14,"&gt;0")))/M14)</f>
        <v>1.90457717818453</v>
      </c>
      <c r="V14" s="22" t="n">
        <f aca="false">IF(OR($D14="No",N14=0),99,MAX(0,IF(AND($E14="Sí",$F14&gt;=2),($F14-1)*$G14*MIN_TURNO*UMBRAL-($I14-$J14-N14)-$C14*(COUNTIF($K14:$N14,"&gt;0")-1),$H14*UMBRAL-($I14-N14)-$C14*COUNTIF($K14:$N14,"&gt;0")))/N14)</f>
        <v>15.9522995687924</v>
      </c>
      <c r="W14" s="24" t="n">
        <f aca="false">IF(OR($D14="No",K14=0,AND($E14="Sí",$F14&gt;=2)),0,1/$H$35)+IF(OR($D14="No",L14=0),0,1/$H$36)+IF(OR($D14="No",M14=0),0,1/$H$37)+IF(OR($D14="No",N14=0),0,1/$H$38)</f>
        <v>3.5</v>
      </c>
      <c r="X14" s="22" t="n">
        <f aca="false">W14*C14</f>
        <v>35</v>
      </c>
      <c r="Y14" s="20" t="n">
        <f aca="false">IF(H14=0,0,IF(AND(E14="Sí",F14&gt;=2),MAX(J14/(G14*MIN_TURNO),(I14-J14+X14)/((F14-1)*G14*MIN_TURNO)),(I14+X14)/H14))</f>
        <v>0.750045299830889</v>
      </c>
      <c r="Z14" s="16" t="str">
        <f aca="false">IF(Y14&lt;=UMBRAL,"OK","Pasa el umbral")</f>
        <v>OK</v>
      </c>
      <c r="AA14" s="12"/>
    </row>
    <row r="15" customFormat="false" ht="15" hidden="false" customHeight="true" outlineLevel="0" collapsed="false">
      <c r="A15" s="42" t="n">
        <v>12</v>
      </c>
      <c r="B15" s="12" t="str">
        <f aca="false">Carga!B45</f>
        <v>Bordoneado</v>
      </c>
      <c r="C15" s="40" t="n">
        <v>10</v>
      </c>
      <c r="D15" s="67" t="s">
        <v>623</v>
      </c>
      <c r="E15" s="68" t="s">
        <v>622</v>
      </c>
      <c r="F15" s="42" t="n">
        <f aca="false">Carga!R45</f>
        <v>1</v>
      </c>
      <c r="G15" s="42" t="n">
        <f aca="false">Carga!S45</f>
        <v>2</v>
      </c>
      <c r="H15" s="14" t="n">
        <f aca="false">F15*G15*MIN_TURNO</f>
        <v>900</v>
      </c>
      <c r="I15" s="14" t="n">
        <f aca="false">Carga!Q45</f>
        <v>426.6938465652</v>
      </c>
      <c r="J15" s="14" t="n">
        <f aca="false">Carga!K45*Carga!G45/60</f>
        <v>303.9309586995</v>
      </c>
      <c r="K15" s="22" t="n">
        <f aca="false">Carga!K45*Carga!G45/60</f>
        <v>303.9309586995</v>
      </c>
      <c r="L15" s="22" t="n">
        <f aca="false">Carga!L45*Carga!H45/60</f>
        <v>21.18950766615</v>
      </c>
      <c r="M15" s="22" t="n">
        <f aca="false">Carga!M45*Carga!I45/60</f>
        <v>95.7789880815</v>
      </c>
      <c r="N15" s="22" t="n">
        <f aca="false">Carga!N45*Carga!J45/60</f>
        <v>5.79439211805</v>
      </c>
      <c r="O15" s="22" t="n">
        <f aca="false">IF(OR($D15="No",K15=0,AND($E15="Sí",$F15&gt;=2)),0,R_CORRIDA*$C15/K15)</f>
        <v>0.0987066277432479</v>
      </c>
      <c r="P15" s="22" t="n">
        <f aca="false">IF(OR($D15="No",L15=0,FALSE()),0,R_CORRIDA*$C15/L15)</f>
        <v>1.41579504690072</v>
      </c>
      <c r="Q15" s="22" t="n">
        <f aca="false">IF(OR($D15="No",M15=0,FALSE()),0,R_CORRIDA*$C15/M15)</f>
        <v>0.313221099960593</v>
      </c>
      <c r="R15" s="22" t="n">
        <f aca="false">IF(OR($D15="No",N15=0,FALSE()),0,R_CORRIDA*$C15/N15)</f>
        <v>5.1774197169963</v>
      </c>
      <c r="S15" s="22" t="n">
        <f aca="false">IF(OR($D15="No",K15=0),99,MAX(0,IF(AND($E15="Sí",$F15&gt;=2),99*K15,$H15*UMBRAL-($I15-K15)-$C15*COUNTIF($K15:$N15,"&gt;0")))/K15)</f>
        <v>2.12955308963517</v>
      </c>
      <c r="T15" s="22" t="n">
        <f aca="false">IF(OR($D15="No",L15=0),99,MAX(0,IF(AND($E15="Sí",$F15&gt;=2),($F15-1)*$G15*MIN_TURNO*UMBRAL-($I15-$J15-L15)-$C15*(COUNTIF($K15:$N15,"&gt;0")-1),$H15*UMBRAL-($I15-L15)-$C15*COUNTIF($K15:$N15,"&gt;0")))/L15)</f>
        <v>17.2017050534509</v>
      </c>
      <c r="U15" s="22" t="n">
        <f aca="false">IF(OR($D15="No",M15=0),99,MAX(0,IF(AND($E15="Sí",$F15&gt;=2),($F15-1)*$G15*MIN_TURNO*UMBRAL-($I15-$J15-M15)-$C15*(COUNTIF($K15:$N15,"&gt;0")-1),$H15*UMBRAL-($I15-M15)-$C15*COUNTIF($K15:$N15,"&gt;0")))/M15)</f>
        <v>4.58435770006961</v>
      </c>
      <c r="V15" s="22" t="n">
        <f aca="false">IF(OR($D15="No",N15=0),99,MAX(0,IF(AND($E15="Sí",$F15&gt;=2),($F15-1)*$G15*MIN_TURNO*UMBRAL-($I15-$J15-N15)-$C15*(COUNTIF($K15:$N15,"&gt;0")-1),$H15*UMBRAL-($I15-N15)-$C15*COUNTIF($K15:$N15,"&gt;0")))/N15)</f>
        <v>60.248001591983</v>
      </c>
      <c r="W15" s="24" t="n">
        <f aca="false">IF(OR($D15="No",K15=0,AND($E15="Sí",$F15&gt;=2)),0,1/$H$35)+IF(OR($D15="No",L15=0),0,1/$H$36)+IF(OR($D15="No",M15=0),0,1/$H$37)+IF(OR($D15="No",N15=0),0,1/$H$38)</f>
        <v>3.5</v>
      </c>
      <c r="X15" s="22" t="n">
        <f aca="false">W15*C15</f>
        <v>35</v>
      </c>
      <c r="Y15" s="20" t="n">
        <f aca="false">IF(H15=0,0,IF(AND(E15="Sí",F15&gt;=2),MAX(J15/(G15*MIN_TURNO),(I15-J15+X15)/((F15-1)*G15*MIN_TURNO)),(I15+X15)/H15))</f>
        <v>0.512993162850222</v>
      </c>
      <c r="Z15" s="16" t="str">
        <f aca="false">IF(Y15&lt;=UMBRAL,"OK","Pasa el umbral")</f>
        <v>OK</v>
      </c>
      <c r="AA15" s="12"/>
    </row>
    <row r="16" customFormat="false" ht="21.75" hidden="false" customHeight="true" outlineLevel="0" collapsed="false">
      <c r="A16" s="42" t="n">
        <v>13</v>
      </c>
      <c r="B16" s="12" t="str">
        <f aca="false">Carga!B46</f>
        <v>Soldadura circunferencial de cúpula y fondo</v>
      </c>
      <c r="C16" s="40" t="n">
        <v>10</v>
      </c>
      <c r="D16" s="67" t="s">
        <v>623</v>
      </c>
      <c r="E16" s="68" t="s">
        <v>622</v>
      </c>
      <c r="F16" s="42" t="n">
        <f aca="false">Carga!R46</f>
        <v>2</v>
      </c>
      <c r="G16" s="42" t="n">
        <f aca="false">Carga!S46</f>
        <v>2</v>
      </c>
      <c r="H16" s="14" t="n">
        <f aca="false">F16*G16*MIN_TURNO</f>
        <v>1800</v>
      </c>
      <c r="I16" s="14" t="n">
        <f aca="false">Carga!Q46</f>
        <v>1280.0815396956</v>
      </c>
      <c r="J16" s="14" t="n">
        <f aca="false">Carga!K46*Carga!G46/60</f>
        <v>911.7928760985</v>
      </c>
      <c r="K16" s="22" t="n">
        <f aca="false">Carga!K46*Carga!G46/60</f>
        <v>911.7928760985</v>
      </c>
      <c r="L16" s="22" t="n">
        <f aca="false">Carga!L46*Carga!H46/60</f>
        <v>63.56852299845</v>
      </c>
      <c r="M16" s="22" t="n">
        <f aca="false">Carga!M46*Carga!I46/60</f>
        <v>287.3369642445</v>
      </c>
      <c r="N16" s="22" t="n">
        <f aca="false">Carga!N46*Carga!J46/60</f>
        <v>17.38317635415</v>
      </c>
      <c r="O16" s="22" t="n">
        <f aca="false">IF(OR($D16="No",K16=0,AND($E16="Sí",$F16&gt;=2)),0,R_CORRIDA*$C16/K16)</f>
        <v>0.0329022092477493</v>
      </c>
      <c r="P16" s="22" t="n">
        <f aca="false">IF(OR($D16="No",L16=0,FALSE()),0,R_CORRIDA*$C16/L16)</f>
        <v>0.47193168230024</v>
      </c>
      <c r="Q16" s="22" t="n">
        <f aca="false">IF(OR($D16="No",M16=0,FALSE()),0,R_CORRIDA*$C16/M16)</f>
        <v>0.104407033320198</v>
      </c>
      <c r="R16" s="22" t="n">
        <f aca="false">IF(OR($D16="No",N16=0,FALSE()),0,R_CORRIDA*$C16/N16)</f>
        <v>1.7258065723321</v>
      </c>
      <c r="S16" s="22" t="n">
        <f aca="false">IF(OR($D16="No",K16=0),99,MAX(0,IF(AND($E16="Sí",$F16&gt;=2),99*K16,$H16*UMBRAL-($I16-K16)-$C16*COUNTIF($K16:$N16,"&gt;0")))/K16)</f>
        <v>1.32893266460661</v>
      </c>
      <c r="T16" s="22" t="n">
        <f aca="false">IF(OR($D16="No",L16=0),99,MAX(0,IF(AND($E16="Sí",$F16&gt;=2),($F16-1)*$G16*MIN_TURNO*UMBRAL-($I16-$J16-L16)-$C16*(COUNTIF($K16:$N16,"&gt;0")-1),$H16*UMBRAL-($I16-L16)-$C16*COUNTIF($K16:$N16,"&gt;0")))/L16)</f>
        <v>5.71803411747844</v>
      </c>
      <c r="U16" s="22" t="n">
        <f aca="false">IF(OR($D16="No",M16=0),99,MAX(0,IF(AND($E16="Sí",$F16&gt;=2),($F16-1)*$G16*MIN_TURNO*UMBRAL-($I16-$J16-M16)-$C16*(COUNTIF($K16:$N16,"&gt;0")-1),$H16*UMBRAL-($I16-M16)-$C16*COUNTIF($K16:$N16,"&gt;0")))/M16)</f>
        <v>2.0437865559448</v>
      </c>
      <c r="V16" s="22" t="n">
        <f aca="false">IF(OR($D16="No",N16=0),99,MAX(0,IF(AND($E16="Sí",$F16&gt;=2),($F16-1)*$G16*MIN_TURNO*UMBRAL-($I16-$J16-N16)-$C16*(COUNTIF($K16:$N16,"&gt;0")-1),$H16*UMBRAL-($I16-N16)-$C16*COUNTIF($K16:$N16,"&gt;0")))/N16)</f>
        <v>18.2533749985686</v>
      </c>
      <c r="W16" s="24" t="n">
        <f aca="false">IF(OR($D16="No",K16=0,AND($E16="Sí",$F16&gt;=2)),0,1/$H$35)+IF(OR($D16="No",L16=0),0,1/$H$36)+IF(OR($D16="No",M16=0),0,1/$H$37)+IF(OR($D16="No",N16=0),0,1/$H$38)</f>
        <v>3.5</v>
      </c>
      <c r="X16" s="22" t="n">
        <f aca="false">W16*C16</f>
        <v>35</v>
      </c>
      <c r="Y16" s="20" t="n">
        <f aca="false">IF(H16=0,0,IF(AND(E16="Sí",F16&gt;=2),MAX(J16/(G16*MIN_TURNO),(I16-J16+X16)/((F16-1)*G16*MIN_TURNO)),(I16+X16)/H16))</f>
        <v>0.730600855386445</v>
      </c>
      <c r="Z16" s="16" t="str">
        <f aca="false">IF(Y16&lt;=UMBRAL,"OK","Pasa el umbral")</f>
        <v>OK</v>
      </c>
      <c r="AA16" s="12" t="s">
        <v>628</v>
      </c>
    </row>
    <row r="17" customFormat="false" ht="15" hidden="false" customHeight="true" outlineLevel="0" collapsed="false">
      <c r="A17" s="42" t="n">
        <v>14</v>
      </c>
      <c r="B17" s="12" t="str">
        <f aca="false">Carga!B47</f>
        <v>Control de calidad — Espesor</v>
      </c>
      <c r="C17" s="40" t="n">
        <v>0</v>
      </c>
      <c r="D17" s="67" t="s">
        <v>622</v>
      </c>
      <c r="E17" s="68" t="s">
        <v>622</v>
      </c>
      <c r="F17" s="42" t="n">
        <f aca="false">Carga!R47</f>
        <v>1</v>
      </c>
      <c r="G17" s="42" t="n">
        <f aca="false">Carga!S47</f>
        <v>1</v>
      </c>
      <c r="H17" s="14" t="n">
        <f aca="false">F17*G17*MIN_TURNO</f>
        <v>450</v>
      </c>
      <c r="I17" s="14" t="n">
        <f aca="false">Carga!Q47</f>
        <v>51.203261587824</v>
      </c>
      <c r="J17" s="14" t="n">
        <f aca="false">Carga!K47*Carga!G47/60</f>
        <v>36.47171504394</v>
      </c>
      <c r="K17" s="22" t="n">
        <f aca="false">Carga!K47*Carga!G47/60</f>
        <v>36.47171504394</v>
      </c>
      <c r="L17" s="22" t="n">
        <f aca="false">Carga!L47*Carga!H47/60</f>
        <v>2.542740919938</v>
      </c>
      <c r="M17" s="22" t="n">
        <f aca="false">Carga!M47*Carga!I47/60</f>
        <v>11.49347856978</v>
      </c>
      <c r="N17" s="22" t="n">
        <f aca="false">Carga!N47*Carga!J47/60</f>
        <v>0.695327054166</v>
      </c>
      <c r="O17" s="22" t="n">
        <f aca="false">IF(OR($D17="No",K17=0,AND($E17="Sí",$F17&gt;=2)),0,R_CORRIDA*$C17/K17)</f>
        <v>0</v>
      </c>
      <c r="P17" s="22" t="n">
        <f aca="false">IF(OR($D17="No",L17=0,FALSE()),0,R_CORRIDA*$C17/L17)</f>
        <v>0</v>
      </c>
      <c r="Q17" s="22" t="n">
        <f aca="false">IF(OR($D17="No",M17=0,FALSE()),0,R_CORRIDA*$C17/M17)</f>
        <v>0</v>
      </c>
      <c r="R17" s="22" t="n">
        <f aca="false">IF(OR($D17="No",N17=0,FALSE()),0,R_CORRIDA*$C17/N17)</f>
        <v>0</v>
      </c>
      <c r="S17" s="22" t="n">
        <f aca="false">IF(OR($D17="No",K17=0),99,MAX(0,IF(AND($E17="Sí",$F17&gt;=2),99*K17,$H17*UMBRAL-($I17-K17)-$C17*COUNTIF($K17:$N17,"&gt;0")))/K17)</f>
        <v>99</v>
      </c>
      <c r="T17" s="22" t="n">
        <f aca="false">IF(OR($D17="No",L17=0),99,MAX(0,IF(AND($E17="Sí",$F17&gt;=2),($F17-1)*$G17*MIN_TURNO*UMBRAL-($I17-$J17-L17)-$C17*(COUNTIF($K17:$N17,"&gt;0")-1),$H17*UMBRAL-($I17-L17)-$C17*COUNTIF($K17:$N17,"&gt;0")))/L17)</f>
        <v>99</v>
      </c>
      <c r="U17" s="22" t="n">
        <f aca="false">IF(OR($D17="No",M17=0),99,MAX(0,IF(AND($E17="Sí",$F17&gt;=2),($F17-1)*$G17*MIN_TURNO*UMBRAL-($I17-$J17-M17)-$C17*(COUNTIF($K17:$N17,"&gt;0")-1),$H17*UMBRAL-($I17-M17)-$C17*COUNTIF($K17:$N17,"&gt;0")))/M17)</f>
        <v>99</v>
      </c>
      <c r="V17" s="22" t="n">
        <f aca="false">IF(OR($D17="No",N17=0),99,MAX(0,IF(AND($E17="Sí",$F17&gt;=2),($F17-1)*$G17*MIN_TURNO*UMBRAL-($I17-$J17-N17)-$C17*(COUNTIF($K17:$N17,"&gt;0")-1),$H17*UMBRAL-($I17-N17)-$C17*COUNTIF($K17:$N17,"&gt;0")))/N17)</f>
        <v>99</v>
      </c>
      <c r="W17" s="24" t="n">
        <f aca="false">IF(OR($D17="No",K17=0,AND($E17="Sí",$F17&gt;=2)),0,1/$H$35)+IF(OR($D17="No",L17=0),0,1/$H$36)+IF(OR($D17="No",M17=0),0,1/$H$37)+IF(OR($D17="No",N17=0),0,1/$H$38)</f>
        <v>0</v>
      </c>
      <c r="X17" s="22" t="n">
        <f aca="false">W17*C17</f>
        <v>0</v>
      </c>
      <c r="Y17" s="20" t="n">
        <f aca="false">IF(H17=0,0,IF(AND(E17="Sí",F17&gt;=2),MAX(J17/(G17*MIN_TURNO),(I17-J17+X17)/((F17-1)*G17*MIN_TURNO)),(I17+X17)/H17))</f>
        <v>0.11378502575072</v>
      </c>
      <c r="Z17" s="16" t="str">
        <f aca="false">IF(Y17&lt;=UMBRAL,"OK","Pasa el umbral")</f>
        <v>OK</v>
      </c>
      <c r="AA17" s="12"/>
    </row>
    <row r="18" customFormat="false" ht="15" hidden="false" customHeight="true" outlineLevel="0" collapsed="false">
      <c r="A18" s="42" t="n">
        <v>15</v>
      </c>
      <c r="B18" s="12" t="str">
        <f aca="false">Carga!B48</f>
        <v>Prueba hidráulica</v>
      </c>
      <c r="C18" s="40" t="n">
        <v>10</v>
      </c>
      <c r="D18" s="67" t="s">
        <v>623</v>
      </c>
      <c r="E18" s="68" t="s">
        <v>622</v>
      </c>
      <c r="F18" s="42" t="n">
        <f aca="false">Carga!R48</f>
        <v>2</v>
      </c>
      <c r="G18" s="42" t="n">
        <f aca="false">Carga!S48</f>
        <v>2</v>
      </c>
      <c r="H18" s="14" t="n">
        <f aca="false">F18*G18*MIN_TURNO</f>
        <v>1800</v>
      </c>
      <c r="I18" s="14" t="n">
        <f aca="false">Carga!Q48</f>
        <v>1280.0815396956</v>
      </c>
      <c r="J18" s="14" t="n">
        <f aca="false">Carga!K48*Carga!G48/60</f>
        <v>911.7928760985</v>
      </c>
      <c r="K18" s="22" t="n">
        <f aca="false">Carga!K48*Carga!G48/60</f>
        <v>911.7928760985</v>
      </c>
      <c r="L18" s="22" t="n">
        <f aca="false">Carga!L48*Carga!H48/60</f>
        <v>63.56852299845</v>
      </c>
      <c r="M18" s="22" t="n">
        <f aca="false">Carga!M48*Carga!I48/60</f>
        <v>287.3369642445</v>
      </c>
      <c r="N18" s="22" t="n">
        <f aca="false">Carga!N48*Carga!J48/60</f>
        <v>17.38317635415</v>
      </c>
      <c r="O18" s="22" t="n">
        <f aca="false">IF(OR($D18="No",K18=0,AND($E18="Sí",$F18&gt;=2)),0,R_CORRIDA*$C18/K18)</f>
        <v>0.0329022092477493</v>
      </c>
      <c r="P18" s="22" t="n">
        <f aca="false">IF(OR($D18="No",L18=0,FALSE()),0,R_CORRIDA*$C18/L18)</f>
        <v>0.47193168230024</v>
      </c>
      <c r="Q18" s="22" t="n">
        <f aca="false">IF(OR($D18="No",M18=0,FALSE()),0,R_CORRIDA*$C18/M18)</f>
        <v>0.104407033320198</v>
      </c>
      <c r="R18" s="22" t="n">
        <f aca="false">IF(OR($D18="No",N18=0,FALSE()),0,R_CORRIDA*$C18/N18)</f>
        <v>1.7258065723321</v>
      </c>
      <c r="S18" s="22" t="n">
        <f aca="false">IF(OR($D18="No",K18=0),99,MAX(0,IF(AND($E18="Sí",$F18&gt;=2),99*K18,$H18*UMBRAL-($I18-K18)-$C18*COUNTIF($K18:$N18,"&gt;0")))/K18)</f>
        <v>1.32893266460661</v>
      </c>
      <c r="T18" s="22" t="n">
        <f aca="false">IF(OR($D18="No",L18=0),99,MAX(0,IF(AND($E18="Sí",$F18&gt;=2),($F18-1)*$G18*MIN_TURNO*UMBRAL-($I18-$J18-L18)-$C18*(COUNTIF($K18:$N18,"&gt;0")-1),$H18*UMBRAL-($I18-L18)-$C18*COUNTIF($K18:$N18,"&gt;0")))/L18)</f>
        <v>5.71803411747844</v>
      </c>
      <c r="U18" s="22" t="n">
        <f aca="false">IF(OR($D18="No",M18=0),99,MAX(0,IF(AND($E18="Sí",$F18&gt;=2),($F18-1)*$G18*MIN_TURNO*UMBRAL-($I18-$J18-M18)-$C18*(COUNTIF($K18:$N18,"&gt;0")-1),$H18*UMBRAL-($I18-M18)-$C18*COUNTIF($K18:$N18,"&gt;0")))/M18)</f>
        <v>2.0437865559448</v>
      </c>
      <c r="V18" s="22" t="n">
        <f aca="false">IF(OR($D18="No",N18=0),99,MAX(0,IF(AND($E18="Sí",$F18&gt;=2),($F18-1)*$G18*MIN_TURNO*UMBRAL-($I18-$J18-N18)-$C18*(COUNTIF($K18:$N18,"&gt;0")-1),$H18*UMBRAL-($I18-N18)-$C18*COUNTIF($K18:$N18,"&gt;0")))/N18)</f>
        <v>18.2533749985686</v>
      </c>
      <c r="W18" s="24" t="n">
        <f aca="false">IF(OR($D18="No",K18=0,AND($E18="Sí",$F18&gt;=2)),0,1/$H$35)+IF(OR($D18="No",L18=0),0,1/$H$36)+IF(OR($D18="No",M18=0),0,1/$H$37)+IF(OR($D18="No",N18=0),0,1/$H$38)</f>
        <v>3.5</v>
      </c>
      <c r="X18" s="22" t="n">
        <f aca="false">W18*C18</f>
        <v>35</v>
      </c>
      <c r="Y18" s="20" t="n">
        <f aca="false">IF(H18=0,0,IF(AND(E18="Sí",F18&gt;=2),MAX(J18/(G18*MIN_TURNO),(I18-J18+X18)/((F18-1)*G18*MIN_TURNO)),(I18+X18)/H18))</f>
        <v>0.730600855386445</v>
      </c>
      <c r="Z18" s="16" t="str">
        <f aca="false">IF(Y18&lt;=UMBRAL,"OK","Pasa el umbral")</f>
        <v>OK</v>
      </c>
      <c r="AA18" s="12"/>
    </row>
    <row r="19" customFormat="false" ht="15" hidden="false" customHeight="true" outlineLevel="0" collapsed="false">
      <c r="A19" s="42" t="n">
        <v>16</v>
      </c>
      <c r="B19" s="12" t="str">
        <f aca="false">Carga!B49</f>
        <v>Secado</v>
      </c>
      <c r="C19" s="40" t="n">
        <v>0</v>
      </c>
      <c r="D19" s="67" t="s">
        <v>622</v>
      </c>
      <c r="E19" s="68" t="s">
        <v>622</v>
      </c>
      <c r="F19" s="42" t="n">
        <f aca="false">Carga!R49</f>
        <v>4</v>
      </c>
      <c r="G19" s="42" t="n">
        <f aca="false">Carga!S49</f>
        <v>2</v>
      </c>
      <c r="H19" s="14" t="n">
        <f aca="false">F19*G19*MIN_TURNO</f>
        <v>3600</v>
      </c>
      <c r="I19" s="14" t="n">
        <f aca="false">Carga!Q49</f>
        <v>2560.1630793912</v>
      </c>
      <c r="J19" s="14" t="n">
        <f aca="false">Carga!K49*Carga!G49/60</f>
        <v>1823.585752197</v>
      </c>
      <c r="K19" s="22" t="n">
        <f aca="false">Carga!K49*Carga!G49/60</f>
        <v>1823.585752197</v>
      </c>
      <c r="L19" s="22" t="n">
        <f aca="false">Carga!L49*Carga!H49/60</f>
        <v>127.1370459969</v>
      </c>
      <c r="M19" s="22" t="n">
        <f aca="false">Carga!M49*Carga!I49/60</f>
        <v>574.673928489</v>
      </c>
      <c r="N19" s="22" t="n">
        <f aca="false">Carga!N49*Carga!J49/60</f>
        <v>34.7663527083</v>
      </c>
      <c r="O19" s="22" t="n">
        <f aca="false">IF(OR($D19="No",K19=0,AND($E19="Sí",$F19&gt;=2)),0,R_CORRIDA*$C19/K19)</f>
        <v>0</v>
      </c>
      <c r="P19" s="22" t="n">
        <f aca="false">IF(OR($D19="No",L19=0,FALSE()),0,R_CORRIDA*$C19/L19)</f>
        <v>0</v>
      </c>
      <c r="Q19" s="22" t="n">
        <f aca="false">IF(OR($D19="No",M19=0,FALSE()),0,R_CORRIDA*$C19/M19)</f>
        <v>0</v>
      </c>
      <c r="R19" s="22" t="n">
        <f aca="false">IF(OR($D19="No",N19=0,FALSE()),0,R_CORRIDA*$C19/N19)</f>
        <v>0</v>
      </c>
      <c r="S19" s="22" t="n">
        <f aca="false">IF(OR($D19="No",K19=0),99,MAX(0,IF(AND($E19="Sí",$F19&gt;=2),99*K19,$H19*UMBRAL-($I19-K19)-$C19*COUNTIF($K19:$N19,"&gt;0")))/K19)</f>
        <v>99</v>
      </c>
      <c r="T19" s="22" t="n">
        <f aca="false">IF(OR($D19="No",L19=0),99,MAX(0,IF(AND($E19="Sí",$F19&gt;=2),($F19-1)*$G19*MIN_TURNO*UMBRAL-($I19-$J19-L19)-$C19*(COUNTIF($K19:$N19,"&gt;0")-1),$H19*UMBRAL-($I19-L19)-$C19*COUNTIF($K19:$N19,"&gt;0")))/L19)</f>
        <v>99</v>
      </c>
      <c r="U19" s="22" t="n">
        <f aca="false">IF(OR($D19="No",M19=0),99,MAX(0,IF(AND($E19="Sí",$F19&gt;=2),($F19-1)*$G19*MIN_TURNO*UMBRAL-($I19-$J19-M19)-$C19*(COUNTIF($K19:$N19,"&gt;0")-1),$H19*UMBRAL-($I19-M19)-$C19*COUNTIF($K19:$N19,"&gt;0")))/M19)</f>
        <v>99</v>
      </c>
      <c r="V19" s="22" t="n">
        <f aca="false">IF(OR($D19="No",N19=0),99,MAX(0,IF(AND($E19="Sí",$F19&gt;=2),($F19-1)*$G19*MIN_TURNO*UMBRAL-($I19-$J19-N19)-$C19*(COUNTIF($K19:$N19,"&gt;0")-1),$H19*UMBRAL-($I19-N19)-$C19*COUNTIF($K19:$N19,"&gt;0")))/N19)</f>
        <v>99</v>
      </c>
      <c r="W19" s="24" t="n">
        <f aca="false">IF(OR($D19="No",K19=0,AND($E19="Sí",$F19&gt;=2)),0,1/$H$35)+IF(OR($D19="No",L19=0),0,1/$H$36)+IF(OR($D19="No",M19=0),0,1/$H$37)+IF(OR($D19="No",N19=0),0,1/$H$38)</f>
        <v>0</v>
      </c>
      <c r="X19" s="22" t="n">
        <f aca="false">W19*C19</f>
        <v>0</v>
      </c>
      <c r="Y19" s="20" t="n">
        <f aca="false">IF(H19=0,0,IF(AND(E19="Sí",F19&gt;=2),MAX(J19/(G19*MIN_TURNO),(I19-J19+X19)/((F19-1)*G19*MIN_TURNO)),(I19+X19)/H19))</f>
        <v>0.711156410942</v>
      </c>
      <c r="Z19" s="16" t="str">
        <f aca="false">IF(Y19&lt;=UMBRAL,"OK","Pasa el umbral")</f>
        <v>OK</v>
      </c>
      <c r="AA19" s="12"/>
    </row>
    <row r="20" customFormat="false" ht="15" hidden="false" customHeight="true" outlineLevel="0" collapsed="false">
      <c r="A20" s="42" t="n">
        <v>17</v>
      </c>
      <c r="B20" s="12" t="str">
        <f aca="false">Carga!B50</f>
        <v>Granallado</v>
      </c>
      <c r="C20" s="40" t="n">
        <v>10</v>
      </c>
      <c r="D20" s="67" t="s">
        <v>622</v>
      </c>
      <c r="E20" s="68" t="s">
        <v>622</v>
      </c>
      <c r="F20" s="42" t="n">
        <f aca="false">Carga!R50</f>
        <v>1</v>
      </c>
      <c r="G20" s="42" t="n">
        <f aca="false">Carga!S50</f>
        <v>2</v>
      </c>
      <c r="H20" s="14" t="n">
        <f aca="false">F20*G20*MIN_TURNO</f>
        <v>900</v>
      </c>
      <c r="I20" s="14" t="n">
        <f aca="false">Carga!Q50</f>
        <v>640.0407698478</v>
      </c>
      <c r="J20" s="14" t="n">
        <f aca="false">Carga!K50*Carga!G50/60</f>
        <v>455.89643804925</v>
      </c>
      <c r="K20" s="22" t="n">
        <f aca="false">Carga!K50*Carga!G50/60</f>
        <v>455.89643804925</v>
      </c>
      <c r="L20" s="22" t="n">
        <f aca="false">Carga!L50*Carga!H50/60</f>
        <v>31.784261499225</v>
      </c>
      <c r="M20" s="22" t="n">
        <f aca="false">Carga!M50*Carga!I50/60</f>
        <v>143.66848212225</v>
      </c>
      <c r="N20" s="22" t="n">
        <f aca="false">Carga!N50*Carga!J50/60</f>
        <v>8.691588177075</v>
      </c>
      <c r="O20" s="22" t="n">
        <f aca="false">IF(OR($D20="No",K20=0,AND($E20="Sí",$F20&gt;=2)),0,R_CORRIDA*$C20/K20)</f>
        <v>0</v>
      </c>
      <c r="P20" s="22" t="n">
        <f aca="false">IF(OR($D20="No",L20=0,FALSE()),0,R_CORRIDA*$C20/L20)</f>
        <v>0</v>
      </c>
      <c r="Q20" s="22" t="n">
        <f aca="false">IF(OR($D20="No",M20=0,FALSE()),0,R_CORRIDA*$C20/M20)</f>
        <v>0</v>
      </c>
      <c r="R20" s="22" t="n">
        <f aca="false">IF(OR($D20="No",N20=0,FALSE()),0,R_CORRIDA*$C20/N20)</f>
        <v>0</v>
      </c>
      <c r="S20" s="22" t="n">
        <f aca="false">IF(OR($D20="No",K20=0),99,MAX(0,IF(AND($E20="Sí",$F20&gt;=2),99*K20,$H20*UMBRAL-($I20-K20)-$C20*COUNTIF($K20:$N20,"&gt;0")))/K20)</f>
        <v>99</v>
      </c>
      <c r="T20" s="22" t="n">
        <f aca="false">IF(OR($D20="No",L20=0),99,MAX(0,IF(AND($E20="Sí",$F20&gt;=2),($F20-1)*$G20*MIN_TURNO*UMBRAL-($I20-$J20-L20)-$C20*(COUNTIF($K20:$N20,"&gt;0")-1),$H20*UMBRAL-($I20-L20)-$C20*COUNTIF($K20:$N20,"&gt;0")))/L20)</f>
        <v>99</v>
      </c>
      <c r="U20" s="22" t="n">
        <f aca="false">IF(OR($D20="No",M20=0),99,MAX(0,IF(AND($E20="Sí",$F20&gt;=2),($F20-1)*$G20*MIN_TURNO*UMBRAL-($I20-$J20-M20)-$C20*(COUNTIF($K20:$N20,"&gt;0")-1),$H20*UMBRAL-($I20-M20)-$C20*COUNTIF($K20:$N20,"&gt;0")))/M20)</f>
        <v>99</v>
      </c>
      <c r="V20" s="22" t="n">
        <f aca="false">IF(OR($D20="No",N20=0),99,MAX(0,IF(AND($E20="Sí",$F20&gt;=2),($F20-1)*$G20*MIN_TURNO*UMBRAL-($I20-$J20-N20)-$C20*(COUNTIF($K20:$N20,"&gt;0")-1),$H20*UMBRAL-($I20-N20)-$C20*COUNTIF($K20:$N20,"&gt;0")))/N20)</f>
        <v>99</v>
      </c>
      <c r="W20" s="24" t="n">
        <f aca="false">IF(OR($D20="No",K20=0,AND($E20="Sí",$F20&gt;=2)),0,1/$H$35)+IF(OR($D20="No",L20=0),0,1/$H$36)+IF(OR($D20="No",M20=0),0,1/$H$37)+IF(OR($D20="No",N20=0),0,1/$H$38)</f>
        <v>0</v>
      </c>
      <c r="X20" s="22" t="n">
        <f aca="false">W20*C20</f>
        <v>0</v>
      </c>
      <c r="Y20" s="20" t="n">
        <f aca="false">IF(H20=0,0,IF(AND(E20="Sí",F20&gt;=2),MAX(J20/(G20*MIN_TURNO),(I20-J20+X20)/((F20-1)*G20*MIN_TURNO)),(I20+X20)/H20))</f>
        <v>0.711156410942</v>
      </c>
      <c r="Z20" s="16" t="str">
        <f aca="false">IF(Y20&lt;=UMBRAL,"OK","Pasa el umbral")</f>
        <v>OK</v>
      </c>
      <c r="AA20" s="12"/>
    </row>
    <row r="21" customFormat="false" ht="15.75" hidden="false" customHeight="true" outlineLevel="0" collapsed="false">
      <c r="A21" s="42" t="n">
        <v>18</v>
      </c>
      <c r="B21" s="12" t="str">
        <f aca="false">Carga!B51</f>
        <v>Detección de defectos</v>
      </c>
      <c r="C21" s="40" t="n">
        <v>0</v>
      </c>
      <c r="D21" s="67" t="s">
        <v>622</v>
      </c>
      <c r="E21" s="68" t="s">
        <v>622</v>
      </c>
      <c r="F21" s="42" t="n">
        <f aca="false">Carga!R51</f>
        <v>1</v>
      </c>
      <c r="G21" s="42" t="n">
        <f aca="false">Carga!S51</f>
        <v>2</v>
      </c>
      <c r="H21" s="14" t="n">
        <f aca="false">F21*G21*MIN_TURNO</f>
        <v>900</v>
      </c>
      <c r="I21" s="14" t="n">
        <f aca="false">Carga!Q51</f>
        <v>426.6938465652</v>
      </c>
      <c r="J21" s="14" t="n">
        <f aca="false">Carga!K51*Carga!G51/60</f>
        <v>303.9309586995</v>
      </c>
      <c r="K21" s="22" t="n">
        <f aca="false">Carga!K51*Carga!G51/60</f>
        <v>303.9309586995</v>
      </c>
      <c r="L21" s="22" t="n">
        <f aca="false">Carga!L51*Carga!H51/60</f>
        <v>21.18950766615</v>
      </c>
      <c r="M21" s="22" t="n">
        <f aca="false">Carga!M51*Carga!I51/60</f>
        <v>95.7789880815</v>
      </c>
      <c r="N21" s="22" t="n">
        <f aca="false">Carga!N51*Carga!J51/60</f>
        <v>5.79439211805</v>
      </c>
      <c r="O21" s="22" t="n">
        <f aca="false">IF(OR($D21="No",K21=0,AND($E21="Sí",$F21&gt;=2)),0,R_CORRIDA*$C21/K21)</f>
        <v>0</v>
      </c>
      <c r="P21" s="22" t="n">
        <f aca="false">IF(OR($D21="No",L21=0,FALSE()),0,R_CORRIDA*$C21/L21)</f>
        <v>0</v>
      </c>
      <c r="Q21" s="22" t="n">
        <f aca="false">IF(OR($D21="No",M21=0,FALSE()),0,R_CORRIDA*$C21/M21)</f>
        <v>0</v>
      </c>
      <c r="R21" s="22" t="n">
        <f aca="false">IF(OR($D21="No",N21=0,FALSE()),0,R_CORRIDA*$C21/N21)</f>
        <v>0</v>
      </c>
      <c r="S21" s="22" t="n">
        <f aca="false">IF(OR($D21="No",K21=0),99,MAX(0,IF(AND($E21="Sí",$F21&gt;=2),99*K21,$H21*UMBRAL-($I21-K21)-$C21*COUNTIF($K21:$N21,"&gt;0")))/K21)</f>
        <v>99</v>
      </c>
      <c r="T21" s="22" t="n">
        <f aca="false">IF(OR($D21="No",L21=0),99,MAX(0,IF(AND($E21="Sí",$F21&gt;=2),($F21-1)*$G21*MIN_TURNO*UMBRAL-($I21-$J21-L21)-$C21*(COUNTIF($K21:$N21,"&gt;0")-1),$H21*UMBRAL-($I21-L21)-$C21*COUNTIF($K21:$N21,"&gt;0")))/L21)</f>
        <v>99</v>
      </c>
      <c r="U21" s="22" t="n">
        <f aca="false">IF(OR($D21="No",M21=0),99,MAX(0,IF(AND($E21="Sí",$F21&gt;=2),($F21-1)*$G21*MIN_TURNO*UMBRAL-($I21-$J21-M21)-$C21*(COUNTIF($K21:$N21,"&gt;0")-1),$H21*UMBRAL-($I21-M21)-$C21*COUNTIF($K21:$N21,"&gt;0")))/M21)</f>
        <v>99</v>
      </c>
      <c r="V21" s="22" t="n">
        <f aca="false">IF(OR($D21="No",N21=0),99,MAX(0,IF(AND($E21="Sí",$F21&gt;=2),($F21-1)*$G21*MIN_TURNO*UMBRAL-($I21-$J21-N21)-$C21*(COUNTIF($K21:$N21,"&gt;0")-1),$H21*UMBRAL-($I21-N21)-$C21*COUNTIF($K21:$N21,"&gt;0")))/N21)</f>
        <v>99</v>
      </c>
      <c r="W21" s="24" t="n">
        <f aca="false">IF(OR($D21="No",K21=0,AND($E21="Sí",$F21&gt;=2)),0,1/$H$35)+IF(OR($D21="No",L21=0),0,1/$H$36)+IF(OR($D21="No",M21=0),0,1/$H$37)+IF(OR($D21="No",N21=0),0,1/$H$38)</f>
        <v>0</v>
      </c>
      <c r="X21" s="22" t="n">
        <f aca="false">W21*C21</f>
        <v>0</v>
      </c>
      <c r="Y21" s="20" t="n">
        <f aca="false">IF(H21=0,0,IF(AND(E21="Sí",F21&gt;=2),MAX(J21/(G21*MIN_TURNO),(I21-J21+X21)/((F21-1)*G21*MIN_TURNO)),(I21+X21)/H21))</f>
        <v>0.474104273961333</v>
      </c>
      <c r="Z21" s="16" t="str">
        <f aca="false">IF(Y21&lt;=UMBRAL,"OK","Pasa el umbral")</f>
        <v>OK</v>
      </c>
      <c r="AA21" s="12"/>
    </row>
    <row r="22" customFormat="false" ht="15.75" hidden="false" customHeight="true" outlineLevel="0" collapsed="false">
      <c r="A22" s="42" t="n">
        <v>19</v>
      </c>
      <c r="B22" s="12" t="str">
        <f aca="false">Carga!B52</f>
        <v>Corrección de defectos</v>
      </c>
      <c r="C22" s="40" t="n">
        <v>0</v>
      </c>
      <c r="D22" s="67" t="s">
        <v>622</v>
      </c>
      <c r="E22" s="68" t="s">
        <v>622</v>
      </c>
      <c r="F22" s="42" t="n">
        <f aca="false">Carga!R52</f>
        <v>1</v>
      </c>
      <c r="G22" s="42" t="n">
        <f aca="false">Carga!S52</f>
        <v>1</v>
      </c>
      <c r="H22" s="14" t="n">
        <f aca="false">F22*G22*MIN_TURNO</f>
        <v>450</v>
      </c>
      <c r="I22" s="14" t="n">
        <f aca="false">Carga!Q52</f>
        <v>192.01223095434</v>
      </c>
      <c r="J22" s="14" t="n">
        <f aca="false">Carga!K52*Carga!G52/60</f>
        <v>136.768931414775</v>
      </c>
      <c r="K22" s="22" t="n">
        <f aca="false">Carga!K52*Carga!G52/60</f>
        <v>136.768931414775</v>
      </c>
      <c r="L22" s="22" t="n">
        <f aca="false">Carga!L52*Carga!H52/60</f>
        <v>9.5352784497675</v>
      </c>
      <c r="M22" s="22" t="n">
        <f aca="false">Carga!M52*Carga!I52/60</f>
        <v>43.100544636675</v>
      </c>
      <c r="N22" s="22" t="n">
        <f aca="false">Carga!N52*Carga!J52/60</f>
        <v>2.6074764531225</v>
      </c>
      <c r="O22" s="22" t="n">
        <f aca="false">IF(OR($D22="No",K22=0,AND($E22="Sí",$F22&gt;=2)),0,R_CORRIDA*$C22/K22)</f>
        <v>0</v>
      </c>
      <c r="P22" s="22" t="n">
        <f aca="false">IF(OR($D22="No",L22=0,FALSE()),0,R_CORRIDA*$C22/L22)</f>
        <v>0</v>
      </c>
      <c r="Q22" s="22" t="n">
        <f aca="false">IF(OR($D22="No",M22=0,FALSE()),0,R_CORRIDA*$C22/M22)</f>
        <v>0</v>
      </c>
      <c r="R22" s="22" t="n">
        <f aca="false">IF(OR($D22="No",N22=0,FALSE()),0,R_CORRIDA*$C22/N22)</f>
        <v>0</v>
      </c>
      <c r="S22" s="22" t="n">
        <f aca="false">IF(OR($D22="No",K22=0),99,MAX(0,IF(AND($E22="Sí",$F22&gt;=2),99*K22,$H22*UMBRAL-($I22-K22)-$C22*COUNTIF($K22:$N22,"&gt;0")))/K22)</f>
        <v>99</v>
      </c>
      <c r="T22" s="22" t="n">
        <f aca="false">IF(OR($D22="No",L22=0),99,MAX(0,IF(AND($E22="Sí",$F22&gt;=2),($F22-1)*$G22*MIN_TURNO*UMBRAL-($I22-$J22-L22)-$C22*(COUNTIF($K22:$N22,"&gt;0")-1),$H22*UMBRAL-($I22-L22)-$C22*COUNTIF($K22:$N22,"&gt;0")))/L22)</f>
        <v>99</v>
      </c>
      <c r="U22" s="22" t="n">
        <f aca="false">IF(OR($D22="No",M22=0),99,MAX(0,IF(AND($E22="Sí",$F22&gt;=2),($F22-1)*$G22*MIN_TURNO*UMBRAL-($I22-$J22-M22)-$C22*(COUNTIF($K22:$N22,"&gt;0")-1),$H22*UMBRAL-($I22-M22)-$C22*COUNTIF($K22:$N22,"&gt;0")))/M22)</f>
        <v>99</v>
      </c>
      <c r="V22" s="22" t="n">
        <f aca="false">IF(OR($D22="No",N22=0),99,MAX(0,IF(AND($E22="Sí",$F22&gt;=2),($F22-1)*$G22*MIN_TURNO*UMBRAL-($I22-$J22-N22)-$C22*(COUNTIF($K22:$N22,"&gt;0")-1),$H22*UMBRAL-($I22-N22)-$C22*COUNTIF($K22:$N22,"&gt;0")))/N22)</f>
        <v>99</v>
      </c>
      <c r="W22" s="24" t="n">
        <f aca="false">IF(OR($D22="No",K22=0,AND($E22="Sí",$F22&gt;=2)),0,1/$H$35)+IF(OR($D22="No",L22=0),0,1/$H$36)+IF(OR($D22="No",M22=0),0,1/$H$37)+IF(OR($D22="No",N22=0),0,1/$H$38)</f>
        <v>0</v>
      </c>
      <c r="X22" s="22" t="n">
        <f aca="false">W22*C22</f>
        <v>0</v>
      </c>
      <c r="Y22" s="20" t="n">
        <f aca="false">IF(H22=0,0,IF(AND(E22="Sí",F22&gt;=2),MAX(J22/(G22*MIN_TURNO),(I22-J22+X22)/((F22-1)*G22*MIN_TURNO)),(I22+X22)/H22))</f>
        <v>0.4266938465652</v>
      </c>
      <c r="Z22" s="16" t="str">
        <f aca="false">IF(Y22&lt;=UMBRAL,"OK","Pasa el umbral")</f>
        <v>OK</v>
      </c>
      <c r="AA22" s="12"/>
    </row>
    <row r="23" customFormat="false" ht="15.75" hidden="false" customHeight="true" outlineLevel="0" collapsed="false">
      <c r="A23" s="42" t="n">
        <v>20</v>
      </c>
      <c r="B23" s="12" t="str">
        <f aca="false">Carga!B53</f>
        <v>Pintura en polvo + horno</v>
      </c>
      <c r="C23" s="40" t="n">
        <v>30</v>
      </c>
      <c r="D23" s="67" t="s">
        <v>623</v>
      </c>
      <c r="E23" s="68" t="s">
        <v>622</v>
      </c>
      <c r="F23" s="42" t="n">
        <f aca="false">Carga!R53</f>
        <v>1</v>
      </c>
      <c r="G23" s="42" t="n">
        <f aca="false">Carga!S53</f>
        <v>2</v>
      </c>
      <c r="H23" s="14" t="n">
        <f aca="false">F23*G23*MIN_TURNO</f>
        <v>900</v>
      </c>
      <c r="I23" s="14" t="n">
        <f aca="false">Carga!Q53</f>
        <v>533.3673082065</v>
      </c>
      <c r="J23" s="14" t="n">
        <f aca="false">Carga!K53*Carga!G53/60</f>
        <v>379.913698374375</v>
      </c>
      <c r="K23" s="22" t="n">
        <f aca="false">Carga!K53*Carga!G53/60</f>
        <v>379.913698374375</v>
      </c>
      <c r="L23" s="22" t="n">
        <f aca="false">Carga!L53*Carga!H53/60</f>
        <v>26.4868845826875</v>
      </c>
      <c r="M23" s="22" t="n">
        <f aca="false">Carga!M53*Carga!I53/60</f>
        <v>119.723735101875</v>
      </c>
      <c r="N23" s="22" t="n">
        <f aca="false">Carga!N53*Carga!J53/60</f>
        <v>7.2429901475625</v>
      </c>
      <c r="O23" s="22" t="n">
        <f aca="false">IF(OR($D23="No",K23=0,AND($E23="Sí",$F23&gt;=2)),0,R_CORRIDA*$C23/K23)</f>
        <v>0.236895906583795</v>
      </c>
      <c r="P23" s="22" t="n">
        <f aca="false">IF(OR($D23="No",L23=0,FALSE()),0,R_CORRIDA*$C23/L23)</f>
        <v>3.39790811256173</v>
      </c>
      <c r="Q23" s="22" t="n">
        <f aca="false">IF(OR($D23="No",M23=0,FALSE()),0,R_CORRIDA*$C23/M23)</f>
        <v>0.751730639905424</v>
      </c>
      <c r="R23" s="22" t="n">
        <f aca="false">IF(OR($D23="No",N23=0,FALSE()),0,R_CORRIDA*$C23/N23)</f>
        <v>12.4258073207911</v>
      </c>
      <c r="S23" s="22" t="n">
        <f aca="false">IF(OR($D23="No",K23=0),99,MAX(0,IF(AND($E23="Sí",$F23&gt;=2),99*K23,$H23*UMBRAL-($I23-K23)-$C23*COUNTIF($K23:$N23,"&gt;0")))/K23)</f>
        <v>1.41228492803424</v>
      </c>
      <c r="T23" s="22" t="n">
        <f aca="false">IF(OR($D23="No",L23=0),99,MAX(0,IF(AND($E23="Sí",$F23&gt;=2),($F23-1)*$G23*MIN_TURNO*UMBRAL-($I23-$J23-L23)-$C23*(COUNTIF($K23:$N23,"&gt;0")-1),$H23*UMBRAL-($I23-L23)-$C23*COUNTIF($K23:$N23,"&gt;0")))/L23)</f>
        <v>6.91359437930571</v>
      </c>
      <c r="U23" s="22" t="n">
        <f aca="false">IF(OR($D23="No",M23=0),99,MAX(0,IF(AND($E23="Sí",$F23&gt;=2),($F23-1)*$G23*MIN_TURNO*UMBRAL-($I23-$J23-M23)-$C23*(COUNTIF($K23:$N23,"&gt;0")-1),$H23*UMBRAL-($I23-M23)-$C23*COUNTIF($K23:$N23,"&gt;0")))/M23)</f>
        <v>2.3082843736893</v>
      </c>
      <c r="V23" s="22" t="n">
        <f aca="false">IF(OR($D23="No",N23=0),99,MAX(0,IF(AND($E23="Sí",$F23&gt;=2),($F23-1)*$G23*MIN_TURNO*UMBRAL-($I23-$J23-N23)-$C23*(COUNTIF($K23:$N23,"&gt;0")-1),$H23*UMBRAL-($I23-N23)-$C23*COUNTIF($K23:$N23,"&gt;0")))/N23)</f>
        <v>22.6254183151432</v>
      </c>
      <c r="W23" s="24" t="n">
        <f aca="false">IF(OR($D23="No",K23=0,AND($E23="Sí",$F23&gt;=2)),0,1/$H$35)+IF(OR($D23="No",L23=0),0,1/$H$36)+IF(OR($D23="No",M23=0),0,1/$H$37)+IF(OR($D23="No",N23=0),0,1/$H$38)</f>
        <v>3.5</v>
      </c>
      <c r="X23" s="22" t="n">
        <f aca="false">W23*C23</f>
        <v>105</v>
      </c>
      <c r="Y23" s="20" t="n">
        <f aca="false">IF(H23=0,0,IF(AND(E23="Sí",F23&gt;=2),MAX(J23/(G23*MIN_TURNO),(I23-J23+X23)/((F23-1)*G23*MIN_TURNO)),(I23+X23)/H23))</f>
        <v>0.709297009118333</v>
      </c>
      <c r="Z23" s="16" t="str">
        <f aca="false">IF(Y23&lt;=UMBRAL,"OK","Pasa el umbral")</f>
        <v>OK</v>
      </c>
      <c r="AA23" s="12" t="s">
        <v>629</v>
      </c>
    </row>
    <row r="24" customFormat="false" ht="15.75" hidden="false" customHeight="true" outlineLevel="0" collapsed="false">
      <c r="A24" s="42" t="n">
        <v>21</v>
      </c>
      <c r="B24" s="12" t="str">
        <f aca="false">Carga!B54</f>
        <v>Carga de polvo</v>
      </c>
      <c r="C24" s="40" t="n">
        <v>0</v>
      </c>
      <c r="D24" s="67" t="s">
        <v>622</v>
      </c>
      <c r="E24" s="68" t="s">
        <v>622</v>
      </c>
      <c r="F24" s="42" t="n">
        <f aca="false">Carga!R54</f>
        <v>1</v>
      </c>
      <c r="G24" s="42" t="n">
        <f aca="false">Carga!S54</f>
        <v>1</v>
      </c>
      <c r="H24" s="14" t="n">
        <f aca="false">F24*G24*MIN_TURNO</f>
        <v>450</v>
      </c>
      <c r="I24" s="14" t="n">
        <f aca="false">Carga!Q54</f>
        <v>243.5703897717</v>
      </c>
      <c r="J24" s="14" t="n">
        <f aca="false">Carga!K54*Carga!G54/60</f>
        <v>108.245157073875</v>
      </c>
      <c r="K24" s="22" t="n">
        <f aca="false">Carga!K54*Carga!G54/60</f>
        <v>108.245157073875</v>
      </c>
      <c r="L24" s="22" t="n">
        <f aca="false">Carga!L54*Carga!H54/60</f>
        <v>25.0980472488375</v>
      </c>
      <c r="M24" s="22" t="n">
        <f aca="false">Carga!M54*Carga!I54/60</f>
        <v>104.000553183375</v>
      </c>
      <c r="N24" s="22" t="n">
        <f aca="false">Carga!N54*Carga!J54/60</f>
        <v>6.2266322656125</v>
      </c>
      <c r="O24" s="22" t="n">
        <f aca="false">IF(OR($D24="No",K24=0,AND($E24="Sí",$F24&gt;=2)),0,R_CORRIDA*$C24/K24)</f>
        <v>0</v>
      </c>
      <c r="P24" s="22" t="n">
        <f aca="false">IF(OR($D24="No",L24=0,FALSE()),0,R_CORRIDA*$C24/L24)</f>
        <v>0</v>
      </c>
      <c r="Q24" s="22" t="n">
        <f aca="false">IF(OR($D24="No",M24=0,FALSE()),0,R_CORRIDA*$C24/M24)</f>
        <v>0</v>
      </c>
      <c r="R24" s="22" t="n">
        <f aca="false">IF(OR($D24="No",N24=0,FALSE()),0,R_CORRIDA*$C24/N24)</f>
        <v>0</v>
      </c>
      <c r="S24" s="22" t="n">
        <f aca="false">IF(OR($D24="No",K24=0),99,MAX(0,IF(AND($E24="Sí",$F24&gt;=2),99*K24,$H24*UMBRAL-($I24-K24)-$C24*COUNTIF($K24:$N24,"&gt;0")))/K24)</f>
        <v>99</v>
      </c>
      <c r="T24" s="22" t="n">
        <f aca="false">IF(OR($D24="No",L24=0),99,MAX(0,IF(AND($E24="Sí",$F24&gt;=2),($F24-1)*$G24*MIN_TURNO*UMBRAL-($I24-$J24-L24)-$C24*(COUNTIF($K24:$N24,"&gt;0")-1),$H24*UMBRAL-($I24-L24)-$C24*COUNTIF($K24:$N24,"&gt;0")))/L24)</f>
        <v>99</v>
      </c>
      <c r="U24" s="22" t="n">
        <f aca="false">IF(OR($D24="No",M24=0),99,MAX(0,IF(AND($E24="Sí",$F24&gt;=2),($F24-1)*$G24*MIN_TURNO*UMBRAL-($I24-$J24-M24)-$C24*(COUNTIF($K24:$N24,"&gt;0")-1),$H24*UMBRAL-($I24-M24)-$C24*COUNTIF($K24:$N24,"&gt;0")))/M24)</f>
        <v>99</v>
      </c>
      <c r="V24" s="22" t="n">
        <f aca="false">IF(OR($D24="No",N24=0),99,MAX(0,IF(AND($E24="Sí",$F24&gt;=2),($F24-1)*$G24*MIN_TURNO*UMBRAL-($I24-$J24-N24)-$C24*(COUNTIF($K24:$N24,"&gt;0")-1),$H24*UMBRAL-($I24-N24)-$C24*COUNTIF($K24:$N24,"&gt;0")))/N24)</f>
        <v>99</v>
      </c>
      <c r="W24" s="24" t="n">
        <f aca="false">IF(OR($D24="No",K24=0,AND($E24="Sí",$F24&gt;=2)),0,1/$H$35)+IF(OR($D24="No",L24=0),0,1/$H$36)+IF(OR($D24="No",M24=0),0,1/$H$37)+IF(OR($D24="No",N24=0),0,1/$H$38)</f>
        <v>0</v>
      </c>
      <c r="X24" s="22" t="n">
        <f aca="false">W24*C24</f>
        <v>0</v>
      </c>
      <c r="Y24" s="20" t="n">
        <f aca="false">IF(H24=0,0,IF(AND(E24="Sí",F24&gt;=2),MAX(J24/(G24*MIN_TURNO),(I24-J24+X24)/((F24-1)*G24*MIN_TURNO)),(I24+X24)/H24))</f>
        <v>0.541267532826</v>
      </c>
      <c r="Z24" s="16" t="str">
        <f aca="false">IF(Y24&lt;=UMBRAL,"OK","Pasa el umbral")</f>
        <v>OK</v>
      </c>
      <c r="AA24" s="12"/>
    </row>
    <row r="25" customFormat="false" ht="15.75" hidden="false" customHeight="true" outlineLevel="0" collapsed="false">
      <c r="A25" s="42" t="n">
        <v>22</v>
      </c>
      <c r="B25" s="12" t="str">
        <f aca="false">Carga!B55</f>
        <v>Ensamblaje</v>
      </c>
      <c r="C25" s="40" t="n">
        <v>10</v>
      </c>
      <c r="D25" s="67" t="s">
        <v>623</v>
      </c>
      <c r="E25" s="68" t="s">
        <v>622</v>
      </c>
      <c r="F25" s="42" t="n">
        <f aca="false">Carga!R55</f>
        <v>1</v>
      </c>
      <c r="G25" s="42" t="n">
        <f aca="false">Carga!S55</f>
        <v>2</v>
      </c>
      <c r="H25" s="14" t="n">
        <f aca="false">F25*G25*MIN_TURNO</f>
        <v>900</v>
      </c>
      <c r="I25" s="14" t="n">
        <f aca="false">Carga!Q55</f>
        <v>541.267532826</v>
      </c>
      <c r="J25" s="14" t="n">
        <f aca="false">Carga!K55*Carga!G55/60</f>
        <v>240.5447934975</v>
      </c>
      <c r="K25" s="22" t="n">
        <f aca="false">Carga!K55*Carga!G55/60</f>
        <v>240.5447934975</v>
      </c>
      <c r="L25" s="22" t="n">
        <f aca="false">Carga!L55*Carga!H55/60</f>
        <v>55.77343833075</v>
      </c>
      <c r="M25" s="22" t="n">
        <f aca="false">Carga!M55*Carga!I55/60</f>
        <v>231.1123404075</v>
      </c>
      <c r="N25" s="22" t="n">
        <f aca="false">Carga!N55*Carga!J55/60</f>
        <v>13.83696059025</v>
      </c>
      <c r="O25" s="22" t="n">
        <f aca="false">IF(OR($D25="No",K25=0,AND($E25="Sí",$F25&gt;=2)),0,R_CORRIDA*$C25/K25)</f>
        <v>0.124716896025071</v>
      </c>
      <c r="P25" s="22" t="n">
        <f aca="false">IF(OR($D25="No",L25=0,FALSE()),0,R_CORRIDA*$C25/L25)</f>
        <v>0.537890452836935</v>
      </c>
      <c r="Q25" s="22" t="n">
        <f aca="false">IF(OR($D25="No",M25=0,FALSE()),0,R_CORRIDA*$C25/M25)</f>
        <v>0.129807001855044</v>
      </c>
      <c r="R25" s="22" t="n">
        <f aca="false">IF(OR($D25="No",N25=0,FALSE()),0,R_CORRIDA*$C25/N25)</f>
        <v>2.16810619675675</v>
      </c>
      <c r="S25" s="22" t="n">
        <f aca="false">IF(OR($D25="No",K25=0),99,MAX(0,IF(AND($E25="Sí",$F25&gt;=2),99*K25,$H25*UMBRAL-($I25-K25)-$C25*COUNTIF($K25:$N25,"&gt;0")))/K25)</f>
        <v>1.95089344420326</v>
      </c>
      <c r="T25" s="22" t="n">
        <f aca="false">IF(OR($D25="No",L25=0),99,MAX(0,IF(AND($E25="Sí",$F25&gt;=2),($F25-1)*$G25*MIN_TURNO*UMBRAL-($I25-$J25-L25)-$C25*(COUNTIF($K25:$N25,"&gt;0")-1),$H25*UMBRAL-($I25-L25)-$C25*COUNTIF($K25:$N25,"&gt;0")))/L25)</f>
        <v>5.10110034489108</v>
      </c>
      <c r="U25" s="22" t="n">
        <f aca="false">IF(OR($D25="No",M25=0),99,MAX(0,IF(AND($E25="Sí",$F25&gt;=2),($F25-1)*$G25*MIN_TURNO*UMBRAL-($I25-$J25-M25)-$C25*(COUNTIF($K25:$N25,"&gt;0")-1),$H25*UMBRAL-($I25-M25)-$C25*COUNTIF($K25:$N25,"&gt;0")))/M25)</f>
        <v>1.98970252635881</v>
      </c>
      <c r="V25" s="22" t="n">
        <f aca="false">IF(OR($D25="No",N25=0),99,MAX(0,IF(AND($E25="Sí",$F25&gt;=2),($F25-1)*$G25*MIN_TURNO*UMBRAL-($I25-$J25-N25)-$C25*(COUNTIF($K25:$N25,"&gt;0")-1),$H25*UMBRAL-($I25-N25)-$C25*COUNTIF($K25:$N25,"&gt;0")))/N25)</f>
        <v>17.5305426493137</v>
      </c>
      <c r="W25" s="24" t="n">
        <f aca="false">IF(OR($D25="No",K25=0,AND($E25="Sí",$F25&gt;=2)),0,1/$H$35)+IF(OR($D25="No",L25=0),0,1/$H$36)+IF(OR($D25="No",M25=0),0,1/$H$37)+IF(OR($D25="No",N25=0),0,1/$H$38)</f>
        <v>3.5</v>
      </c>
      <c r="X25" s="22" t="n">
        <f aca="false">W25*C25</f>
        <v>35</v>
      </c>
      <c r="Y25" s="20" t="n">
        <f aca="false">IF(H25=0,0,IF(AND(E25="Sí",F25&gt;=2),MAX(J25/(G25*MIN_TURNO),(I25-J25+X25)/((F25-1)*G25*MIN_TURNO)),(I25+X25)/H25))</f>
        <v>0.640297258695556</v>
      </c>
      <c r="Z25" s="16" t="str">
        <f aca="false">IF(Y25&lt;=UMBRAL,"OK","Pasa el umbral")</f>
        <v>OK</v>
      </c>
      <c r="AA25" s="12"/>
    </row>
    <row r="26" customFormat="false" ht="15.75" hidden="false" customHeight="true" outlineLevel="0" collapsed="false">
      <c r="A26" s="42" t="n">
        <v>23</v>
      </c>
      <c r="B26" s="12" t="str">
        <f aca="false">Carga!B56</f>
        <v>Presurización</v>
      </c>
      <c r="C26" s="40" t="n">
        <v>0</v>
      </c>
      <c r="D26" s="67" t="s">
        <v>622</v>
      </c>
      <c r="E26" s="68" t="s">
        <v>622</v>
      </c>
      <c r="F26" s="42" t="n">
        <f aca="false">Carga!R56</f>
        <v>1</v>
      </c>
      <c r="G26" s="42" t="n">
        <f aca="false">Carga!S56</f>
        <v>1</v>
      </c>
      <c r="H26" s="14" t="n">
        <f aca="false">F26*G26*MIN_TURNO</f>
        <v>450</v>
      </c>
      <c r="I26" s="14" t="n">
        <f aca="false">Carga!Q56</f>
        <v>162.3802598478</v>
      </c>
      <c r="J26" s="14" t="n">
        <f aca="false">Carga!K56*Carga!G56/60</f>
        <v>72.16343804925</v>
      </c>
      <c r="K26" s="22" t="n">
        <f aca="false">Carga!K56*Carga!G56/60</f>
        <v>72.16343804925</v>
      </c>
      <c r="L26" s="22" t="n">
        <f aca="false">Carga!L56*Carga!H56/60</f>
        <v>16.732031499225</v>
      </c>
      <c r="M26" s="22" t="n">
        <f aca="false">Carga!M56*Carga!I56/60</f>
        <v>69.33370212225</v>
      </c>
      <c r="N26" s="22" t="n">
        <f aca="false">Carga!N56*Carga!J56/60</f>
        <v>4.151088177075</v>
      </c>
      <c r="O26" s="22" t="n">
        <f aca="false">IF(OR($D26="No",K26=0,AND($E26="Sí",$F26&gt;=2)),0,R_CORRIDA*$C26/K26)</f>
        <v>0</v>
      </c>
      <c r="P26" s="22" t="n">
        <f aca="false">IF(OR($D26="No",L26=0,FALSE()),0,R_CORRIDA*$C26/L26)</f>
        <v>0</v>
      </c>
      <c r="Q26" s="22" t="n">
        <f aca="false">IF(OR($D26="No",M26=0,FALSE()),0,R_CORRIDA*$C26/M26)</f>
        <v>0</v>
      </c>
      <c r="R26" s="22" t="n">
        <f aca="false">IF(OR($D26="No",N26=0,FALSE()),0,R_CORRIDA*$C26/N26)</f>
        <v>0</v>
      </c>
      <c r="S26" s="22" t="n">
        <f aca="false">IF(OR($D26="No",K26=0),99,MAX(0,IF(AND($E26="Sí",$F26&gt;=2),99*K26,$H26*UMBRAL-($I26-K26)-$C26*COUNTIF($K26:$N26,"&gt;0")))/K26)</f>
        <v>99</v>
      </c>
      <c r="T26" s="22" t="n">
        <f aca="false">IF(OR($D26="No",L26=0),99,MAX(0,IF(AND($E26="Sí",$F26&gt;=2),($F26-1)*$G26*MIN_TURNO*UMBRAL-($I26-$J26-L26)-$C26*(COUNTIF($K26:$N26,"&gt;0")-1),$H26*UMBRAL-($I26-L26)-$C26*COUNTIF($K26:$N26,"&gt;0")))/L26)</f>
        <v>99</v>
      </c>
      <c r="U26" s="22" t="n">
        <f aca="false">IF(OR($D26="No",M26=0),99,MAX(0,IF(AND($E26="Sí",$F26&gt;=2),($F26-1)*$G26*MIN_TURNO*UMBRAL-($I26-$J26-M26)-$C26*(COUNTIF($K26:$N26,"&gt;0")-1),$H26*UMBRAL-($I26-M26)-$C26*COUNTIF($K26:$N26,"&gt;0")))/M26)</f>
        <v>99</v>
      </c>
      <c r="V26" s="22" t="n">
        <f aca="false">IF(OR($D26="No",N26=0),99,MAX(0,IF(AND($E26="Sí",$F26&gt;=2),($F26-1)*$G26*MIN_TURNO*UMBRAL-($I26-$J26-N26)-$C26*(COUNTIF($K26:$N26,"&gt;0")-1),$H26*UMBRAL-($I26-N26)-$C26*COUNTIF($K26:$N26,"&gt;0")))/N26)</f>
        <v>99</v>
      </c>
      <c r="W26" s="24" t="n">
        <f aca="false">IF(OR($D26="No",K26=0,AND($E26="Sí",$F26&gt;=2)),0,1/$H$35)+IF(OR($D26="No",L26=0),0,1/$H$36)+IF(OR($D26="No",M26=0),0,1/$H$37)+IF(OR($D26="No",N26=0),0,1/$H$38)</f>
        <v>0</v>
      </c>
      <c r="X26" s="22" t="n">
        <f aca="false">W26*C26</f>
        <v>0</v>
      </c>
      <c r="Y26" s="20" t="n">
        <f aca="false">IF(H26=0,0,IF(AND(E26="Sí",F26&gt;=2),MAX(J26/(G26*MIN_TURNO),(I26-J26+X26)/((F26-1)*G26*MIN_TURNO)),(I26+X26)/H26))</f>
        <v>0.360845021884</v>
      </c>
      <c r="Z26" s="16" t="str">
        <f aca="false">IF(Y26&lt;=UMBRAL,"OK","Pasa el umbral")</f>
        <v>OK</v>
      </c>
      <c r="AA26" s="12"/>
    </row>
    <row r="27" customFormat="false" ht="15.75" hidden="false" customHeight="true" outlineLevel="0" collapsed="false">
      <c r="A27" s="42" t="n">
        <v>24</v>
      </c>
      <c r="B27" s="12" t="str">
        <f aca="false">Carga!B57</f>
        <v>Control de calidad — Ensayo de pérdidas</v>
      </c>
      <c r="C27" s="40" t="n">
        <v>0</v>
      </c>
      <c r="D27" s="67" t="s">
        <v>622</v>
      </c>
      <c r="E27" s="68" t="s">
        <v>622</v>
      </c>
      <c r="F27" s="42" t="n">
        <f aca="false">Carga!R57</f>
        <v>1</v>
      </c>
      <c r="G27" s="42" t="n">
        <f aca="false">Carga!S57</f>
        <v>1</v>
      </c>
      <c r="H27" s="14" t="n">
        <f aca="false">F27*G27*MIN_TURNO</f>
        <v>450</v>
      </c>
      <c r="I27" s="14" t="n">
        <f aca="false">Carga!Q57</f>
        <v>216.5070131304</v>
      </c>
      <c r="J27" s="14" t="n">
        <f aca="false">Carga!K57*Carga!G57/60</f>
        <v>96.217917399</v>
      </c>
      <c r="K27" s="22" t="n">
        <f aca="false">Carga!K57*Carga!G57/60</f>
        <v>96.217917399</v>
      </c>
      <c r="L27" s="22" t="n">
        <f aca="false">Carga!L57*Carga!H57/60</f>
        <v>22.3093753323</v>
      </c>
      <c r="M27" s="22" t="n">
        <f aca="false">Carga!M57*Carga!I57/60</f>
        <v>92.444936163</v>
      </c>
      <c r="N27" s="22" t="n">
        <f aca="false">Carga!N57*Carga!J57/60</f>
        <v>5.5347842361</v>
      </c>
      <c r="O27" s="22" t="n">
        <f aca="false">IF(OR($D27="No",K27=0,AND($E27="Sí",$F27&gt;=2)),0,R_CORRIDA*$C27/K27)</f>
        <v>0</v>
      </c>
      <c r="P27" s="22" t="n">
        <f aca="false">IF(OR($D27="No",L27=0,FALSE()),0,R_CORRIDA*$C27/L27)</f>
        <v>0</v>
      </c>
      <c r="Q27" s="22" t="n">
        <f aca="false">IF(OR($D27="No",M27=0,FALSE()),0,R_CORRIDA*$C27/M27)</f>
        <v>0</v>
      </c>
      <c r="R27" s="22" t="n">
        <f aca="false">IF(OR($D27="No",N27=0,FALSE()),0,R_CORRIDA*$C27/N27)</f>
        <v>0</v>
      </c>
      <c r="S27" s="22" t="n">
        <f aca="false">IF(OR($D27="No",K27=0),99,MAX(0,IF(AND($E27="Sí",$F27&gt;=2),99*K27,$H27*UMBRAL-($I27-K27)-$C27*COUNTIF($K27:$N27,"&gt;0")))/K27)</f>
        <v>99</v>
      </c>
      <c r="T27" s="22" t="n">
        <f aca="false">IF(OR($D27="No",L27=0),99,MAX(0,IF(AND($E27="Sí",$F27&gt;=2),($F27-1)*$G27*MIN_TURNO*UMBRAL-($I27-$J27-L27)-$C27*(COUNTIF($K27:$N27,"&gt;0")-1),$H27*UMBRAL-($I27-L27)-$C27*COUNTIF($K27:$N27,"&gt;0")))/L27)</f>
        <v>99</v>
      </c>
      <c r="U27" s="22" t="n">
        <f aca="false">IF(OR($D27="No",M27=0),99,MAX(0,IF(AND($E27="Sí",$F27&gt;=2),($F27-1)*$G27*MIN_TURNO*UMBRAL-($I27-$J27-M27)-$C27*(COUNTIF($K27:$N27,"&gt;0")-1),$H27*UMBRAL-($I27-M27)-$C27*COUNTIF($K27:$N27,"&gt;0")))/M27)</f>
        <v>99</v>
      </c>
      <c r="V27" s="22" t="n">
        <f aca="false">IF(OR($D27="No",N27=0),99,MAX(0,IF(AND($E27="Sí",$F27&gt;=2),($F27-1)*$G27*MIN_TURNO*UMBRAL-($I27-$J27-N27)-$C27*(COUNTIF($K27:$N27,"&gt;0")-1),$H27*UMBRAL-($I27-N27)-$C27*COUNTIF($K27:$N27,"&gt;0")))/N27)</f>
        <v>99</v>
      </c>
      <c r="W27" s="24" t="n">
        <f aca="false">IF(OR($D27="No",K27=0,AND($E27="Sí",$F27&gt;=2)),0,1/$H$35)+IF(OR($D27="No",L27=0),0,1/$H$36)+IF(OR($D27="No",M27=0),0,1/$H$37)+IF(OR($D27="No",N27=0),0,1/$H$38)</f>
        <v>0</v>
      </c>
      <c r="X27" s="22" t="n">
        <f aca="false">W27*C27</f>
        <v>0</v>
      </c>
      <c r="Y27" s="20" t="n">
        <f aca="false">IF(H27=0,0,IF(AND(E27="Sí",F27&gt;=2),MAX(J27/(G27*MIN_TURNO),(I27-J27+X27)/((F27-1)*G27*MIN_TURNO)),(I27+X27)/H27))</f>
        <v>0.481126695845333</v>
      </c>
      <c r="Z27" s="16" t="str">
        <f aca="false">IF(Y27&lt;=UMBRAL,"OK","Pasa el umbral")</f>
        <v>OK</v>
      </c>
      <c r="AA27" s="12"/>
    </row>
    <row r="28" customFormat="false" ht="15.75" hidden="false" customHeight="true" outlineLevel="0" collapsed="false">
      <c r="A28" s="42" t="n">
        <v>25</v>
      </c>
      <c r="B28" s="12" t="str">
        <f aca="false">Carga!B58</f>
        <v>Etiquetado</v>
      </c>
      <c r="C28" s="40" t="n">
        <v>0</v>
      </c>
      <c r="D28" s="67" t="s">
        <v>622</v>
      </c>
      <c r="E28" s="68" t="s">
        <v>622</v>
      </c>
      <c r="F28" s="42" t="n">
        <f aca="false">Carga!R58</f>
        <v>1</v>
      </c>
      <c r="G28" s="42" t="n">
        <f aca="false">Carga!S58</f>
        <v>1</v>
      </c>
      <c r="H28" s="14" t="n">
        <f aca="false">F28*G28*MIN_TURNO</f>
        <v>450</v>
      </c>
      <c r="I28" s="14" t="n">
        <f aca="false">Carga!Q58</f>
        <v>324.7605196956</v>
      </c>
      <c r="J28" s="14" t="n">
        <f aca="false">Carga!K58*Carga!G58/60</f>
        <v>144.3268760985</v>
      </c>
      <c r="K28" s="22" t="n">
        <f aca="false">Carga!K58*Carga!G58/60</f>
        <v>144.3268760985</v>
      </c>
      <c r="L28" s="22" t="n">
        <f aca="false">Carga!L58*Carga!H58/60</f>
        <v>33.46406299845</v>
      </c>
      <c r="M28" s="22" t="n">
        <f aca="false">Carga!M58*Carga!I58/60</f>
        <v>138.6674042445</v>
      </c>
      <c r="N28" s="22" t="n">
        <f aca="false">Carga!N58*Carga!J58/60</f>
        <v>8.30217635415</v>
      </c>
      <c r="O28" s="22" t="n">
        <f aca="false">IF(OR($D28="No",K28=0,AND($E28="Sí",$F28&gt;=2)),0,R_CORRIDA*$C28/K28)</f>
        <v>0</v>
      </c>
      <c r="P28" s="22" t="n">
        <f aca="false">IF(OR($D28="No",L28=0,FALSE()),0,R_CORRIDA*$C28/L28)</f>
        <v>0</v>
      </c>
      <c r="Q28" s="22" t="n">
        <f aca="false">IF(OR($D28="No",M28=0,FALSE()),0,R_CORRIDA*$C28/M28)</f>
        <v>0</v>
      </c>
      <c r="R28" s="22" t="n">
        <f aca="false">IF(OR($D28="No",N28=0,FALSE()),0,R_CORRIDA*$C28/N28)</f>
        <v>0</v>
      </c>
      <c r="S28" s="22" t="n">
        <f aca="false">IF(OR($D28="No",K28=0),99,MAX(0,IF(AND($E28="Sí",$F28&gt;=2),99*K28,$H28*UMBRAL-($I28-K28)-$C28*COUNTIF($K28:$N28,"&gt;0")))/K28)</f>
        <v>99</v>
      </c>
      <c r="T28" s="22" t="n">
        <f aca="false">IF(OR($D28="No",L28=0),99,MAX(0,IF(AND($E28="Sí",$F28&gt;=2),($F28-1)*$G28*MIN_TURNO*UMBRAL-($I28-$J28-L28)-$C28*(COUNTIF($K28:$N28,"&gt;0")-1),$H28*UMBRAL-($I28-L28)-$C28*COUNTIF($K28:$N28,"&gt;0")))/L28)</f>
        <v>99</v>
      </c>
      <c r="U28" s="22" t="n">
        <f aca="false">IF(OR($D28="No",M28=0),99,MAX(0,IF(AND($E28="Sí",$F28&gt;=2),($F28-1)*$G28*MIN_TURNO*UMBRAL-($I28-$J28-M28)-$C28*(COUNTIF($K28:$N28,"&gt;0")-1),$H28*UMBRAL-($I28-M28)-$C28*COUNTIF($K28:$N28,"&gt;0")))/M28)</f>
        <v>99</v>
      </c>
      <c r="V28" s="22" t="n">
        <f aca="false">IF(OR($D28="No",N28=0),99,MAX(0,IF(AND($E28="Sí",$F28&gt;=2),($F28-1)*$G28*MIN_TURNO*UMBRAL-($I28-$J28-N28)-$C28*(COUNTIF($K28:$N28,"&gt;0")-1),$H28*UMBRAL-($I28-N28)-$C28*COUNTIF($K28:$N28,"&gt;0")))/N28)</f>
        <v>99</v>
      </c>
      <c r="W28" s="24" t="n">
        <f aca="false">IF(OR($D28="No",K28=0,AND($E28="Sí",$F28&gt;=2)),0,1/$H$35)+IF(OR($D28="No",L28=0),0,1/$H$36)+IF(OR($D28="No",M28=0),0,1/$H$37)+IF(OR($D28="No",N28=0),0,1/$H$38)</f>
        <v>0</v>
      </c>
      <c r="X28" s="22" t="n">
        <f aca="false">W28*C28</f>
        <v>0</v>
      </c>
      <c r="Y28" s="20" t="n">
        <f aca="false">IF(H28=0,0,IF(AND(E28="Sí",F28&gt;=2),MAX(J28/(G28*MIN_TURNO),(I28-J28+X28)/((F28-1)*G28*MIN_TURNO)),(I28+X28)/H28))</f>
        <v>0.721690043768</v>
      </c>
      <c r="Z28" s="16" t="str">
        <f aca="false">IF(Y28&lt;=UMBRAL,"OK","Pasa el umbral")</f>
        <v>OK</v>
      </c>
      <c r="AA28" s="12"/>
    </row>
    <row r="29" customFormat="false" ht="15.75" hidden="false" customHeight="true" outlineLevel="0" collapsed="false">
      <c r="A29" s="42" t="n">
        <v>26</v>
      </c>
      <c r="B29" s="12" t="str">
        <f aca="false">Carga!B59</f>
        <v>Embalaje y paletizado</v>
      </c>
      <c r="C29" s="40" t="n">
        <v>5</v>
      </c>
      <c r="D29" s="67" t="s">
        <v>623</v>
      </c>
      <c r="E29" s="68" t="s">
        <v>623</v>
      </c>
      <c r="F29" s="42" t="n">
        <f aca="false">Carga!R59</f>
        <v>2</v>
      </c>
      <c r="G29" s="42" t="n">
        <f aca="false">Carga!S59</f>
        <v>2</v>
      </c>
      <c r="H29" s="14" t="n">
        <f aca="false">F29*G29*MIN_TURNO</f>
        <v>1800</v>
      </c>
      <c r="I29" s="14" t="n">
        <f aca="false">Carga!Q59</f>
        <v>960.0611547717</v>
      </c>
      <c r="J29" s="14" t="n">
        <f aca="false">Carga!K59*Carga!G59/60</f>
        <v>683.844657073875</v>
      </c>
      <c r="K29" s="22" t="n">
        <f aca="false">Carga!K59*Carga!G59/60</f>
        <v>683.844657073875</v>
      </c>
      <c r="L29" s="22" t="n">
        <f aca="false">Carga!L59*Carga!H59/60</f>
        <v>47.6763922488375</v>
      </c>
      <c r="M29" s="22" t="n">
        <f aca="false">Carga!M59*Carga!I59/60</f>
        <v>215.502723183375</v>
      </c>
      <c r="N29" s="22" t="n">
        <f aca="false">Carga!N59*Carga!J59/60</f>
        <v>13.0373822656125</v>
      </c>
      <c r="O29" s="22" t="n">
        <f aca="false">IF(OR($D29="No",K29=0,AND($E29="Sí",$F29&gt;=2)),0,R_CORRIDA*$C29/K29)</f>
        <v>0</v>
      </c>
      <c r="P29" s="22" t="n">
        <f aca="false">IF(OR($D29="No",L29=0,FALSE()),0,R_CORRIDA*$C29/L29)</f>
        <v>0.314621121533493</v>
      </c>
      <c r="Q29" s="22" t="n">
        <f aca="false">IF(OR($D29="No",M29=0,FALSE()),0,R_CORRIDA*$C29/M29)</f>
        <v>0.0696046888801319</v>
      </c>
      <c r="R29" s="22" t="n">
        <f aca="false">IF(OR($D29="No",N29=0,FALSE()),0,R_CORRIDA*$C29/N29)</f>
        <v>1.15053771488807</v>
      </c>
      <c r="S29" s="22" t="n">
        <f aca="false">IF(OR($D29="No",K29=0),99,MAX(0,IF(AND($E29="Sí",$F29&gt;=2),99*K29,$H29*UMBRAL-($I29-K29)-$C29*COUNTIF($K29:$N29,"&gt;0")))/K29)</f>
        <v>99</v>
      </c>
      <c r="T29" s="22" t="n">
        <f aca="false">IF(OR($D29="No",L29=0),99,MAX(0,IF(AND($E29="Sí",$F29&gt;=2),($F29-1)*$G29*MIN_TURNO*UMBRAL-($I29-$J29-L29)-$C29*(COUNTIF($K29:$N29,"&gt;0")-1),$H29*UMBRAL-($I29-L29)-$C29*COUNTIF($K29:$N29,"&gt;0")))/L29)</f>
        <v>11.8813498218256</v>
      </c>
      <c r="U29" s="22" t="n">
        <f aca="false">IF(OR($D29="No",M29=0),99,MAX(0,IF(AND($E29="Sí",$F29&gt;=2),($F29-1)*$G29*MIN_TURNO*UMBRAL-($I29-$J29-M29)-$C29*(COUNTIF($K29:$N29,"&gt;0")-1),$H29*UMBRAL-($I29-M29)-$C29*COUNTIF($K29:$N29,"&gt;0")))/M29)</f>
        <v>3.4073176182592</v>
      </c>
      <c r="V29" s="22" t="n">
        <f aca="false">IF(OR($D29="No",N29=0),99,MAX(0,IF(AND($E29="Sí",$F29&gt;=2),($F29-1)*$G29*MIN_TURNO*UMBRAL-($I29-$J29-N29)-$C29*(COUNTIF($K29:$N29,"&gt;0")-1),$H29*UMBRAL-($I29-N29)-$C29*COUNTIF($K29:$N29,"&gt;0")))/N29)</f>
        <v>40.7919990173581</v>
      </c>
      <c r="W29" s="24" t="n">
        <f aca="false">IF(OR($D29="No",K29=0,AND($E29="Sí",$F29&gt;=2)),0,1/$H$35)+IF(OR($D29="No",L29=0),0,1/$H$36)+IF(OR($D29="No",M29=0),0,1/$H$37)+IF(OR($D29="No",N29=0),0,1/$H$38)</f>
        <v>2.5</v>
      </c>
      <c r="X29" s="22" t="n">
        <f aca="false">W29*C29</f>
        <v>12.5</v>
      </c>
      <c r="Y29" s="20" t="n">
        <f aca="false">IF(H29=0,0,IF(AND(E29="Sí",F29&gt;=2),MAX(J29/(G29*MIN_TURNO),(I29-J29+X29)/((F29-1)*G29*MIN_TURNO)),(I29+X29)/H29))</f>
        <v>0.75982739674875</v>
      </c>
      <c r="Z29" s="16" t="str">
        <f aca="false">IF(Y29&lt;=UMBRAL,"OK","Pasa el umbral")</f>
        <v>OK</v>
      </c>
      <c r="AA29" s="12" t="s">
        <v>630</v>
      </c>
    </row>
    <row r="30" customFormat="false" ht="15.75" hidden="false" customHeight="true" outlineLevel="0" collapsed="false">
      <c r="B30" s="4" t="s">
        <v>363</v>
      </c>
      <c r="W30" s="47" t="n">
        <f aca="false">SUM(W8:W29)</f>
        <v>33.9375</v>
      </c>
      <c r="X30" s="43" t="n">
        <f aca="false">SUM(X8:X29)</f>
        <v>424.0625</v>
      </c>
    </row>
    <row r="31" customFormat="false" ht="15.75" hidden="false" customHeight="true" outlineLevel="0" collapsed="false">
      <c r="A31" s="25" t="s">
        <v>631</v>
      </c>
    </row>
    <row r="32" customFormat="false" ht="15.75" hidden="false" customHeight="true" outlineLevel="0" collapsed="false"/>
    <row r="33" customFormat="false" ht="15.75" hidden="false" customHeight="true" outlineLevel="0" collapsed="false">
      <c r="A33" s="9" t="s">
        <v>632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customFormat="false" ht="60" hidden="false" customHeight="true" outlineLevel="0" collapsed="false">
      <c r="A34" s="10"/>
      <c r="B34" s="10" t="s">
        <v>356</v>
      </c>
      <c r="C34" s="10" t="s">
        <v>359</v>
      </c>
      <c r="D34" s="10" t="s">
        <v>633</v>
      </c>
      <c r="E34" s="10" t="s">
        <v>634</v>
      </c>
      <c r="F34" s="10" t="s">
        <v>544</v>
      </c>
      <c r="G34" s="10" t="s">
        <v>545</v>
      </c>
      <c r="H34" s="10" t="s">
        <v>546</v>
      </c>
      <c r="I34" s="10" t="s">
        <v>635</v>
      </c>
      <c r="J34" s="10" t="s">
        <v>636</v>
      </c>
      <c r="K34" s="10" t="s">
        <v>637</v>
      </c>
      <c r="L34" s="10" t="s">
        <v>555</v>
      </c>
      <c r="M34" s="10"/>
      <c r="N34" s="10"/>
      <c r="O34" s="10"/>
    </row>
    <row r="35" customFormat="false" ht="15.75" hidden="false" customHeight="true" outlineLevel="0" collapsed="false">
      <c r="A35" s="5"/>
      <c r="B35" s="4" t="s">
        <v>233</v>
      </c>
      <c r="C35" s="22" t="n">
        <f aca="false">Carga!F14</f>
        <v>911.7928760985</v>
      </c>
      <c r="D35" s="22" t="n">
        <f aca="false">MAX(O8:O29)</f>
        <v>0.236895906583795</v>
      </c>
      <c r="E35" s="22" t="n">
        <f aca="false">MIN(S8:S29)</f>
        <v>1.28506305227627</v>
      </c>
      <c r="F35" s="14" t="n">
        <f aca="false">MIN(MIN(K_MAX,BASE*2^MAX(0,ROUNDUP(LOG(MAX(1,(D35)/BASE),2)-0.000001,0))),MIN(K_MAX,BASE*2^MAX(0,ROUNDDOWN(LOG(MAX(BASE,E35)/BASE,2)+0.000001,0))))</f>
        <v>1</v>
      </c>
      <c r="G35" s="62"/>
      <c r="H35" s="23" t="n">
        <f aca="false">IF(G35="",F35,G35)</f>
        <v>1</v>
      </c>
      <c r="I35" s="63" t="n">
        <v>0</v>
      </c>
      <c r="J35" s="14" t="n">
        <f aca="false">C35*H35</f>
        <v>911.7928760985</v>
      </c>
      <c r="K35" s="24" t="n">
        <f aca="false">IF(OR(K16=0,AND(E16="Sí",F16&gt;=2)),0,1/H35)</f>
        <v>1</v>
      </c>
      <c r="L35" s="41" t="str">
        <f aca="false">IF(H35&lt;=BASE,"Todos los días","Cada "&amp;H35&amp;" días: lote de "&amp;FIXED(J35,0)&amp;" recipientes")&amp;IF(D35&gt;E35+0.001," · la corrida mínima pediría "&amp;FIXED(D35,1)&amp;" días, pero la capacidad del día lo limita a "&amp;FIXED(E35,1),"")</f>
        <v>Todos los días</v>
      </c>
      <c r="M35" s="41"/>
      <c r="N35" s="41"/>
      <c r="O35" s="41"/>
    </row>
    <row r="36" customFormat="false" ht="15.75" hidden="false" customHeight="true" outlineLevel="0" collapsed="false">
      <c r="A36" s="5"/>
      <c r="B36" s="4" t="s">
        <v>234</v>
      </c>
      <c r="C36" s="22" t="n">
        <f aca="false">Carga!F15</f>
        <v>63.56852299845</v>
      </c>
      <c r="D36" s="22" t="n">
        <f aca="false">MAX(P8:P29)</f>
        <v>3.39790811256173</v>
      </c>
      <c r="E36" s="22" t="n">
        <f aca="false">MIN(T8:T29)</f>
        <v>1.60828624479718</v>
      </c>
      <c r="F36" s="14" t="n">
        <f aca="false">MIN(MIN(K_MAX,BASE*2^MAX(0,ROUNDUP(LOG(MAX(1,(D36)/BASE),2)-0.000001,0))),MIN(K_MAX,BASE*2^MAX(0,ROUNDDOWN(LOG(MAX(BASE,E36)/BASE,2)+0.000001,0))))</f>
        <v>1</v>
      </c>
      <c r="G36" s="62"/>
      <c r="H36" s="23" t="n">
        <f aca="false">IF(G36="",F36,G36)</f>
        <v>1</v>
      </c>
      <c r="I36" s="63" t="n">
        <v>1</v>
      </c>
      <c r="J36" s="14" t="n">
        <f aca="false">C36*H36</f>
        <v>63.56852299845</v>
      </c>
      <c r="K36" s="24" t="n">
        <f aca="false">IF(OR(K16=0,FALSE()),0,1/H36)</f>
        <v>1</v>
      </c>
      <c r="L36" s="41" t="str">
        <f aca="false">IF(H36&lt;=BASE,"Todos los días","Cada "&amp;H36&amp;" días: lote de "&amp;FIXED(J36,0)&amp;" recipientes")&amp;IF(D36&gt;E36+0.001," · la corrida mínima pediría "&amp;FIXED(D36,1)&amp;" días, pero la capacidad del día lo limita a "&amp;FIXED(E36,1),"")</f>
        <v>Todos los días · la corrida mínima pediría 3.4 días, pero la capacidad del día lo limita a 1.6</v>
      </c>
      <c r="M36" s="41"/>
      <c r="N36" s="41"/>
      <c r="O36" s="41"/>
    </row>
    <row r="37" customFormat="false" ht="15.75" hidden="false" customHeight="true" outlineLevel="0" collapsed="false">
      <c r="A37" s="5"/>
      <c r="B37" s="4" t="s">
        <v>235</v>
      </c>
      <c r="C37" s="22" t="n">
        <f aca="false">Carga!F16</f>
        <v>287.3369642445</v>
      </c>
      <c r="D37" s="22" t="n">
        <f aca="false">MAX(Q8:Q29)</f>
        <v>0.751730639905424</v>
      </c>
      <c r="E37" s="22" t="n">
        <f aca="false">MIN(U8:U29)</f>
        <v>1.13457321178186</v>
      </c>
      <c r="F37" s="14" t="n">
        <f aca="false">MIN(MIN(K_MAX,BASE*2^MAX(0,ROUNDUP(LOG(MAX(1,(D37)/BASE),2)-0.000001,0))),MIN(K_MAX,BASE*2^MAX(0,ROUNDDOWN(LOG(MAX(BASE,E37)/BASE,2)+0.000001,0))))</f>
        <v>1</v>
      </c>
      <c r="G37" s="62"/>
      <c r="H37" s="23" t="n">
        <f aca="false">IF(G37="",F37,G37)</f>
        <v>1</v>
      </c>
      <c r="I37" s="63" t="n">
        <v>0</v>
      </c>
      <c r="J37" s="14" t="n">
        <f aca="false">C37*H37</f>
        <v>287.3369642445</v>
      </c>
      <c r="K37" s="24" t="n">
        <f aca="false">IF(OR(K16=0,FALSE()),0,1/H37)</f>
        <v>1</v>
      </c>
      <c r="L37" s="41" t="str">
        <f aca="false">IF(H37&lt;=BASE,"Todos los días","Cada "&amp;H37&amp;" días: lote de "&amp;FIXED(J37,0)&amp;" recipientes")&amp;IF(D37&gt;E37+0.001," · la corrida mínima pediría "&amp;FIXED(D37,1)&amp;" días, pero la capacidad del día lo limita a "&amp;FIXED(E37,1),"")</f>
        <v>Todos los días</v>
      </c>
      <c r="M37" s="41"/>
      <c r="N37" s="41"/>
      <c r="O37" s="41"/>
    </row>
    <row r="38" customFormat="false" ht="15.75" hidden="false" customHeight="true" outlineLevel="0" collapsed="false">
      <c r="A38" s="5"/>
      <c r="B38" s="4" t="s">
        <v>236</v>
      </c>
      <c r="C38" s="22" t="n">
        <f aca="false">Carga!F17</f>
        <v>17.38317635415</v>
      </c>
      <c r="D38" s="22" t="n">
        <f aca="false">MAX(R8:R29)</f>
        <v>12.4258073207911</v>
      </c>
      <c r="E38" s="22" t="n">
        <f aca="false">MIN(V8:V29)</f>
        <v>3.22444145731738</v>
      </c>
      <c r="F38" s="14" t="n">
        <f aca="false">MIN(MIN(K_MAX,BASE*2^MAX(0,ROUNDUP(LOG(MAX(1,(D38)/BASE),2)-0.000001,0))),MIN(K_MAX,BASE*2^MAX(0,ROUNDDOWN(LOG(MAX(BASE,E38)/BASE,2)+0.000001,0))))</f>
        <v>2</v>
      </c>
      <c r="G38" s="62"/>
      <c r="H38" s="23" t="n">
        <f aca="false">IF(G38="",F38,G38)</f>
        <v>2</v>
      </c>
      <c r="I38" s="63" t="n">
        <v>3</v>
      </c>
      <c r="J38" s="14" t="n">
        <f aca="false">C38*H38</f>
        <v>34.7663527083</v>
      </c>
      <c r="K38" s="24" t="n">
        <f aca="false">IF(OR(K16=0,FALSE()),0,1/H38)</f>
        <v>0.5</v>
      </c>
      <c r="L38" s="41" t="str">
        <f aca="false">IF(H38&lt;=BASE,"Todos los días","Cada "&amp;H38&amp;" días: lote de "&amp;FIXED(J38,0)&amp;" recipientes")&amp;IF(D38&gt;E38+0.001," · la corrida mínima pediría "&amp;FIXED(D38,1)&amp;" días, pero la capacidad del día lo limita a "&amp;FIXED(E38,1),"")</f>
        <v>Cada 2 días: lote de 35 recipientes · la corrida mínima pediría 12.4 días, pero la capacidad del día lo limita a 3.2</v>
      </c>
      <c r="M38" s="41"/>
      <c r="N38" s="41"/>
      <c r="O38" s="41"/>
    </row>
    <row r="39" customFormat="false" ht="15.75" hidden="false" customHeight="true" outlineLevel="0" collapsed="false"/>
    <row r="40" customFormat="false" ht="15.75" hidden="false" customHeight="true" outlineLevel="0" collapsed="false">
      <c r="A40" s="9" t="s">
        <v>638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customFormat="false" ht="24" hidden="false" customHeight="true" outlineLevel="0" collapsed="false">
      <c r="A41" s="10"/>
      <c r="B41" s="10" t="s">
        <v>372</v>
      </c>
      <c r="C41" s="69" t="n">
        <v>1</v>
      </c>
      <c r="D41" s="69" t="n">
        <v>2</v>
      </c>
      <c r="E41" s="69" t="n">
        <v>3</v>
      </c>
      <c r="F41" s="69" t="n">
        <v>4</v>
      </c>
      <c r="G41" s="69" t="n">
        <v>5</v>
      </c>
      <c r="H41" s="69" t="n">
        <v>6</v>
      </c>
      <c r="I41" s="69" t="n">
        <v>7</v>
      </c>
      <c r="J41" s="69" t="n">
        <v>8</v>
      </c>
      <c r="K41" s="69" t="n">
        <v>9</v>
      </c>
      <c r="L41" s="69" t="n">
        <v>10</v>
      </c>
      <c r="M41" s="69" t="n">
        <v>11</v>
      </c>
      <c r="N41" s="69" t="n">
        <v>12</v>
      </c>
      <c r="O41" s="69" t="n">
        <v>13</v>
      </c>
      <c r="P41" s="69" t="n">
        <v>14</v>
      </c>
      <c r="Q41" s="69" t="n">
        <v>15</v>
      </c>
      <c r="R41" s="69" t="n">
        <v>16</v>
      </c>
      <c r="S41" s="69" t="n">
        <v>17</v>
      </c>
      <c r="T41" s="69" t="n">
        <v>18</v>
      </c>
      <c r="U41" s="69" t="n">
        <v>19</v>
      </c>
      <c r="V41" s="69" t="n">
        <v>20</v>
      </c>
    </row>
    <row r="42" customFormat="false" ht="15.75" hidden="false" customHeight="true" outlineLevel="0" collapsed="false">
      <c r="B42" s="70" t="s">
        <v>639</v>
      </c>
      <c r="C42" s="71" t="str">
        <f aca="false">IF(AND(Lotes!$E$8&gt;0,MOD(C$41-1-Lotes!$V$8,Lotes!$O$8)=0),"1 ","")&amp;IF(AND(Lotes!$E$9&gt;0,MOD(C$41-1-Lotes!$V$9,Lotes!$O$9)=0),"2,5 ","")&amp;IF(AND(Lotes!$E$10&gt;0,MOD(C$41-1-Lotes!$V$10,Lotes!$O$10)=0),"5 ","")&amp;IF(AND(Lotes!$E$11&gt;0,MOD(C$41-1-Lotes!$V$11,Lotes!$O$11)=0),"10 ","")&amp;IF(AND(Lotes!$E$12&gt;0,MOD(C$41-1-Lotes!$V$12,Lotes!$O$12)=0),"C25 ","")&amp;IF(AND(Lotes!$E$13&gt;0,MOD(C$41-1-Lotes!$V$13,Lotes!$O$13)=0),"C50 ","")&amp;IF(AND(Lotes!$E$14&gt;0,MOD(C$41-1-Lotes!$V$14,Lotes!$O$14)=0),"CM ","")</f>
        <v>1 2,5 5 </v>
      </c>
      <c r="D42" s="71" t="str">
        <f aca="false">IF(AND(Lotes!$E$8&gt;0,MOD(D$41-1-Lotes!$V$8,Lotes!$O$8)=0),"1 ","")&amp;IF(AND(Lotes!$E$9&gt;0,MOD(D$41-1-Lotes!$V$9,Lotes!$O$9)=0),"2,5 ","")&amp;IF(AND(Lotes!$E$10&gt;0,MOD(D$41-1-Lotes!$V$10,Lotes!$O$10)=0),"5 ","")&amp;IF(AND(Lotes!$E$11&gt;0,MOD(D$41-1-Lotes!$V$11,Lotes!$O$11)=0),"10 ","")&amp;IF(AND(Lotes!$E$12&gt;0,MOD(D$41-1-Lotes!$V$12,Lotes!$O$12)=0),"C25 ","")&amp;IF(AND(Lotes!$E$13&gt;0,MOD(D$41-1-Lotes!$V$13,Lotes!$O$13)=0),"C50 ","")&amp;IF(AND(Lotes!$E$14&gt;0,MOD(D$41-1-Lotes!$V$14,Lotes!$O$14)=0),"CM ","")</f>
        <v>1 5 C25 </v>
      </c>
      <c r="E42" s="71" t="str">
        <f aca="false">IF(AND(Lotes!$E$8&gt;0,MOD(E$41-1-Lotes!$V$8,Lotes!$O$8)=0),"1 ","")&amp;IF(AND(Lotes!$E$9&gt;0,MOD(E$41-1-Lotes!$V$9,Lotes!$O$9)=0),"2,5 ","")&amp;IF(AND(Lotes!$E$10&gt;0,MOD(E$41-1-Lotes!$V$10,Lotes!$O$10)=0),"5 ","")&amp;IF(AND(Lotes!$E$11&gt;0,MOD(E$41-1-Lotes!$V$11,Lotes!$O$11)=0),"10 ","")&amp;IF(AND(Lotes!$E$12&gt;0,MOD(E$41-1-Lotes!$V$12,Lotes!$O$12)=0),"C25 ","")&amp;IF(AND(Lotes!$E$13&gt;0,MOD(E$41-1-Lotes!$V$13,Lotes!$O$13)=0),"C50 ","")&amp;IF(AND(Lotes!$E$14&gt;0,MOD(E$41-1-Lotes!$V$14,Lotes!$O$14)=0),"CM ","")</f>
        <v>1 5 10 C50 </v>
      </c>
      <c r="F42" s="71" t="str">
        <f aca="false">IF(AND(Lotes!$E$8&gt;0,MOD(F$41-1-Lotes!$V$8,Lotes!$O$8)=0),"1 ","")&amp;IF(AND(Lotes!$E$9&gt;0,MOD(F$41-1-Lotes!$V$9,Lotes!$O$9)=0),"2,5 ","")&amp;IF(AND(Lotes!$E$10&gt;0,MOD(F$41-1-Lotes!$V$10,Lotes!$O$10)=0),"5 ","")&amp;IF(AND(Lotes!$E$11&gt;0,MOD(F$41-1-Lotes!$V$11,Lotes!$O$11)=0),"10 ","")&amp;IF(AND(Lotes!$E$12&gt;0,MOD(F$41-1-Lotes!$V$12,Lotes!$O$12)=0),"C25 ","")&amp;IF(AND(Lotes!$E$13&gt;0,MOD(F$41-1-Lotes!$V$13,Lotes!$O$13)=0),"C50 ","")&amp;IF(AND(Lotes!$E$14&gt;0,MOD(F$41-1-Lotes!$V$14,Lotes!$O$14)=0),"CM ","")</f>
        <v>1 5 CM </v>
      </c>
      <c r="G42" s="71" t="str">
        <f aca="false">IF(AND(Lotes!$E$8&gt;0,MOD(G$41-1-Lotes!$V$8,Lotes!$O$8)=0),"1 ","")&amp;IF(AND(Lotes!$E$9&gt;0,MOD(G$41-1-Lotes!$V$9,Lotes!$O$9)=0),"2,5 ","")&amp;IF(AND(Lotes!$E$10&gt;0,MOD(G$41-1-Lotes!$V$10,Lotes!$O$10)=0),"5 ","")&amp;IF(AND(Lotes!$E$11&gt;0,MOD(G$41-1-Lotes!$V$11,Lotes!$O$11)=0),"10 ","")&amp;IF(AND(Lotes!$E$12&gt;0,MOD(G$41-1-Lotes!$V$12,Lotes!$O$12)=0),"C25 ","")&amp;IF(AND(Lotes!$E$13&gt;0,MOD(G$41-1-Lotes!$V$13,Lotes!$O$13)=0),"C50 ","")&amp;IF(AND(Lotes!$E$14&gt;0,MOD(G$41-1-Lotes!$V$14,Lotes!$O$14)=0),"CM ","")</f>
        <v>1 5 </v>
      </c>
      <c r="H42" s="71" t="str">
        <f aca="false">IF(AND(Lotes!$E$8&gt;0,MOD(H$41-1-Lotes!$V$8,Lotes!$O$8)=0),"1 ","")&amp;IF(AND(Lotes!$E$9&gt;0,MOD(H$41-1-Lotes!$V$9,Lotes!$O$9)=0),"2,5 ","")&amp;IF(AND(Lotes!$E$10&gt;0,MOD(H$41-1-Lotes!$V$10,Lotes!$O$10)=0),"5 ","")&amp;IF(AND(Lotes!$E$11&gt;0,MOD(H$41-1-Lotes!$V$11,Lotes!$O$11)=0),"10 ","")&amp;IF(AND(Lotes!$E$12&gt;0,MOD(H$41-1-Lotes!$V$12,Lotes!$O$12)=0),"C25 ","")&amp;IF(AND(Lotes!$E$13&gt;0,MOD(H$41-1-Lotes!$V$13,Lotes!$O$13)=0),"C50 ","")&amp;IF(AND(Lotes!$E$14&gt;0,MOD(H$41-1-Lotes!$V$14,Lotes!$O$14)=0),"CM ","")</f>
        <v>1 5 C25 </v>
      </c>
      <c r="I42" s="71" t="str">
        <f aca="false">IF(AND(Lotes!$E$8&gt;0,MOD(I$41-1-Lotes!$V$8,Lotes!$O$8)=0),"1 ","")&amp;IF(AND(Lotes!$E$9&gt;0,MOD(I$41-1-Lotes!$V$9,Lotes!$O$9)=0),"2,5 ","")&amp;IF(AND(Lotes!$E$10&gt;0,MOD(I$41-1-Lotes!$V$10,Lotes!$O$10)=0),"5 ","")&amp;IF(AND(Lotes!$E$11&gt;0,MOD(I$41-1-Lotes!$V$11,Lotes!$O$11)=0),"10 ","")&amp;IF(AND(Lotes!$E$12&gt;0,MOD(I$41-1-Lotes!$V$12,Lotes!$O$12)=0),"C25 ","")&amp;IF(AND(Lotes!$E$13&gt;0,MOD(I$41-1-Lotes!$V$13,Lotes!$O$13)=0),"C50 ","")&amp;IF(AND(Lotes!$E$14&gt;0,MOD(I$41-1-Lotes!$V$14,Lotes!$O$14)=0),"CM ","")</f>
        <v>1 5 C50 </v>
      </c>
      <c r="J42" s="71" t="str">
        <f aca="false">IF(AND(Lotes!$E$8&gt;0,MOD(J$41-1-Lotes!$V$8,Lotes!$O$8)=0),"1 ","")&amp;IF(AND(Lotes!$E$9&gt;0,MOD(J$41-1-Lotes!$V$9,Lotes!$O$9)=0),"2,5 ","")&amp;IF(AND(Lotes!$E$10&gt;0,MOD(J$41-1-Lotes!$V$10,Lotes!$O$10)=0),"5 ","")&amp;IF(AND(Lotes!$E$11&gt;0,MOD(J$41-1-Lotes!$V$11,Lotes!$O$11)=0),"10 ","")&amp;IF(AND(Lotes!$E$12&gt;0,MOD(J$41-1-Lotes!$V$12,Lotes!$O$12)=0),"C25 ","")&amp;IF(AND(Lotes!$E$13&gt;0,MOD(J$41-1-Lotes!$V$13,Lotes!$O$13)=0),"C50 ","")&amp;IF(AND(Lotes!$E$14&gt;0,MOD(J$41-1-Lotes!$V$14,Lotes!$O$14)=0),"CM ","")</f>
        <v>1 5 CM </v>
      </c>
      <c r="K42" s="71" t="str">
        <f aca="false">IF(AND(Lotes!$E$8&gt;0,MOD(K$41-1-Lotes!$V$8,Lotes!$O$8)=0),"1 ","")&amp;IF(AND(Lotes!$E$9&gt;0,MOD(K$41-1-Lotes!$V$9,Lotes!$O$9)=0),"2,5 ","")&amp;IF(AND(Lotes!$E$10&gt;0,MOD(K$41-1-Lotes!$V$10,Lotes!$O$10)=0),"5 ","")&amp;IF(AND(Lotes!$E$11&gt;0,MOD(K$41-1-Lotes!$V$11,Lotes!$O$11)=0),"10 ","")&amp;IF(AND(Lotes!$E$12&gt;0,MOD(K$41-1-Lotes!$V$12,Lotes!$O$12)=0),"C25 ","")&amp;IF(AND(Lotes!$E$13&gt;0,MOD(K$41-1-Lotes!$V$13,Lotes!$O$13)=0),"C50 ","")&amp;IF(AND(Lotes!$E$14&gt;0,MOD(K$41-1-Lotes!$V$14,Lotes!$O$14)=0),"CM ","")</f>
        <v>1 2,5 5 </v>
      </c>
      <c r="L42" s="71" t="str">
        <f aca="false">IF(AND(Lotes!$E$8&gt;0,MOD(L$41-1-Lotes!$V$8,Lotes!$O$8)=0),"1 ","")&amp;IF(AND(Lotes!$E$9&gt;0,MOD(L$41-1-Lotes!$V$9,Lotes!$O$9)=0),"2,5 ","")&amp;IF(AND(Lotes!$E$10&gt;0,MOD(L$41-1-Lotes!$V$10,Lotes!$O$10)=0),"5 ","")&amp;IF(AND(Lotes!$E$11&gt;0,MOD(L$41-1-Lotes!$V$11,Lotes!$O$11)=0),"10 ","")&amp;IF(AND(Lotes!$E$12&gt;0,MOD(L$41-1-Lotes!$V$12,Lotes!$O$12)=0),"C25 ","")&amp;IF(AND(Lotes!$E$13&gt;0,MOD(L$41-1-Lotes!$V$13,Lotes!$O$13)=0),"C50 ","")&amp;IF(AND(Lotes!$E$14&gt;0,MOD(L$41-1-Lotes!$V$14,Lotes!$O$14)=0),"CM ","")</f>
        <v>1 5 C25 </v>
      </c>
      <c r="M42" s="71" t="str">
        <f aca="false">IF(AND(Lotes!$E$8&gt;0,MOD(M$41-1-Lotes!$V$8,Lotes!$O$8)=0),"1 ","")&amp;IF(AND(Lotes!$E$9&gt;0,MOD(M$41-1-Lotes!$V$9,Lotes!$O$9)=0),"2,5 ","")&amp;IF(AND(Lotes!$E$10&gt;0,MOD(M$41-1-Lotes!$V$10,Lotes!$O$10)=0),"5 ","")&amp;IF(AND(Lotes!$E$11&gt;0,MOD(M$41-1-Lotes!$V$11,Lotes!$O$11)=0),"10 ","")&amp;IF(AND(Lotes!$E$12&gt;0,MOD(M$41-1-Lotes!$V$12,Lotes!$O$12)=0),"C25 ","")&amp;IF(AND(Lotes!$E$13&gt;0,MOD(M$41-1-Lotes!$V$13,Lotes!$O$13)=0),"C50 ","")&amp;IF(AND(Lotes!$E$14&gt;0,MOD(M$41-1-Lotes!$V$14,Lotes!$O$14)=0),"CM ","")</f>
        <v>1 5 C50 </v>
      </c>
      <c r="N42" s="71" t="str">
        <f aca="false">IF(AND(Lotes!$E$8&gt;0,MOD(N$41-1-Lotes!$V$8,Lotes!$O$8)=0),"1 ","")&amp;IF(AND(Lotes!$E$9&gt;0,MOD(N$41-1-Lotes!$V$9,Lotes!$O$9)=0),"2,5 ","")&amp;IF(AND(Lotes!$E$10&gt;0,MOD(N$41-1-Lotes!$V$10,Lotes!$O$10)=0),"5 ","")&amp;IF(AND(Lotes!$E$11&gt;0,MOD(N$41-1-Lotes!$V$11,Lotes!$O$11)=0),"10 ","")&amp;IF(AND(Lotes!$E$12&gt;0,MOD(N$41-1-Lotes!$V$12,Lotes!$O$12)=0),"C25 ","")&amp;IF(AND(Lotes!$E$13&gt;0,MOD(N$41-1-Lotes!$V$13,Lotes!$O$13)=0),"C50 ","")&amp;IF(AND(Lotes!$E$14&gt;0,MOD(N$41-1-Lotes!$V$14,Lotes!$O$14)=0),"CM ","")</f>
        <v>1 5 CM </v>
      </c>
      <c r="O42" s="71" t="str">
        <f aca="false">IF(AND(Lotes!$E$8&gt;0,MOD(O$41-1-Lotes!$V$8,Lotes!$O$8)=0),"1 ","")&amp;IF(AND(Lotes!$E$9&gt;0,MOD(O$41-1-Lotes!$V$9,Lotes!$O$9)=0),"2,5 ","")&amp;IF(AND(Lotes!$E$10&gt;0,MOD(O$41-1-Lotes!$V$10,Lotes!$O$10)=0),"5 ","")&amp;IF(AND(Lotes!$E$11&gt;0,MOD(O$41-1-Lotes!$V$11,Lotes!$O$11)=0),"10 ","")&amp;IF(AND(Lotes!$E$12&gt;0,MOD(O$41-1-Lotes!$V$12,Lotes!$O$12)=0),"C25 ","")&amp;IF(AND(Lotes!$E$13&gt;0,MOD(O$41-1-Lotes!$V$13,Lotes!$O$13)=0),"C50 ","")&amp;IF(AND(Lotes!$E$14&gt;0,MOD(O$41-1-Lotes!$V$14,Lotes!$O$14)=0),"CM ","")</f>
        <v>1 5 </v>
      </c>
      <c r="P42" s="71" t="str">
        <f aca="false">IF(AND(Lotes!$E$8&gt;0,MOD(P$41-1-Lotes!$V$8,Lotes!$O$8)=0),"1 ","")&amp;IF(AND(Lotes!$E$9&gt;0,MOD(P$41-1-Lotes!$V$9,Lotes!$O$9)=0),"2,5 ","")&amp;IF(AND(Lotes!$E$10&gt;0,MOD(P$41-1-Lotes!$V$10,Lotes!$O$10)=0),"5 ","")&amp;IF(AND(Lotes!$E$11&gt;0,MOD(P$41-1-Lotes!$V$11,Lotes!$O$11)=0),"10 ","")&amp;IF(AND(Lotes!$E$12&gt;0,MOD(P$41-1-Lotes!$V$12,Lotes!$O$12)=0),"C25 ","")&amp;IF(AND(Lotes!$E$13&gt;0,MOD(P$41-1-Lotes!$V$13,Lotes!$O$13)=0),"C50 ","")&amp;IF(AND(Lotes!$E$14&gt;0,MOD(P$41-1-Lotes!$V$14,Lotes!$O$14)=0),"CM ","")</f>
        <v>1 5 C25 </v>
      </c>
      <c r="Q42" s="71" t="str">
        <f aca="false">IF(AND(Lotes!$E$8&gt;0,MOD(Q$41-1-Lotes!$V$8,Lotes!$O$8)=0),"1 ","")&amp;IF(AND(Lotes!$E$9&gt;0,MOD(Q$41-1-Lotes!$V$9,Lotes!$O$9)=0),"2,5 ","")&amp;IF(AND(Lotes!$E$10&gt;0,MOD(Q$41-1-Lotes!$V$10,Lotes!$O$10)=0),"5 ","")&amp;IF(AND(Lotes!$E$11&gt;0,MOD(Q$41-1-Lotes!$V$11,Lotes!$O$11)=0),"10 ","")&amp;IF(AND(Lotes!$E$12&gt;0,MOD(Q$41-1-Lotes!$V$12,Lotes!$O$12)=0),"C25 ","")&amp;IF(AND(Lotes!$E$13&gt;0,MOD(Q$41-1-Lotes!$V$13,Lotes!$O$13)=0),"C50 ","")&amp;IF(AND(Lotes!$E$14&gt;0,MOD(Q$41-1-Lotes!$V$14,Lotes!$O$14)=0),"CM ","")</f>
        <v>1 5 C50 </v>
      </c>
      <c r="R42" s="71" t="str">
        <f aca="false">IF(AND(Lotes!$E$8&gt;0,MOD(R$41-1-Lotes!$V$8,Lotes!$O$8)=0),"1 ","")&amp;IF(AND(Lotes!$E$9&gt;0,MOD(R$41-1-Lotes!$V$9,Lotes!$O$9)=0),"2,5 ","")&amp;IF(AND(Lotes!$E$10&gt;0,MOD(R$41-1-Lotes!$V$10,Lotes!$O$10)=0),"5 ","")&amp;IF(AND(Lotes!$E$11&gt;0,MOD(R$41-1-Lotes!$V$11,Lotes!$O$11)=0),"10 ","")&amp;IF(AND(Lotes!$E$12&gt;0,MOD(R$41-1-Lotes!$V$12,Lotes!$O$12)=0),"C25 ","")&amp;IF(AND(Lotes!$E$13&gt;0,MOD(R$41-1-Lotes!$V$13,Lotes!$O$13)=0),"C50 ","")&amp;IF(AND(Lotes!$E$14&gt;0,MOD(R$41-1-Lotes!$V$14,Lotes!$O$14)=0),"CM ","")</f>
        <v>1 5 CM </v>
      </c>
      <c r="S42" s="71" t="str">
        <f aca="false">IF(AND(Lotes!$E$8&gt;0,MOD(S$41-1-Lotes!$V$8,Lotes!$O$8)=0),"1 ","")&amp;IF(AND(Lotes!$E$9&gt;0,MOD(S$41-1-Lotes!$V$9,Lotes!$O$9)=0),"2,5 ","")&amp;IF(AND(Lotes!$E$10&gt;0,MOD(S$41-1-Lotes!$V$10,Lotes!$O$10)=0),"5 ","")&amp;IF(AND(Lotes!$E$11&gt;0,MOD(S$41-1-Lotes!$V$11,Lotes!$O$11)=0),"10 ","")&amp;IF(AND(Lotes!$E$12&gt;0,MOD(S$41-1-Lotes!$V$12,Lotes!$O$12)=0),"C25 ","")&amp;IF(AND(Lotes!$E$13&gt;0,MOD(S$41-1-Lotes!$V$13,Lotes!$O$13)=0),"C50 ","")&amp;IF(AND(Lotes!$E$14&gt;0,MOD(S$41-1-Lotes!$V$14,Lotes!$O$14)=0),"CM ","")</f>
        <v>1 2,5 5 </v>
      </c>
      <c r="T42" s="71" t="str">
        <f aca="false">IF(AND(Lotes!$E$8&gt;0,MOD(T$41-1-Lotes!$V$8,Lotes!$O$8)=0),"1 ","")&amp;IF(AND(Lotes!$E$9&gt;0,MOD(T$41-1-Lotes!$V$9,Lotes!$O$9)=0),"2,5 ","")&amp;IF(AND(Lotes!$E$10&gt;0,MOD(T$41-1-Lotes!$V$10,Lotes!$O$10)=0),"5 ","")&amp;IF(AND(Lotes!$E$11&gt;0,MOD(T$41-1-Lotes!$V$11,Lotes!$O$11)=0),"10 ","")&amp;IF(AND(Lotes!$E$12&gt;0,MOD(T$41-1-Lotes!$V$12,Lotes!$O$12)=0),"C25 ","")&amp;IF(AND(Lotes!$E$13&gt;0,MOD(T$41-1-Lotes!$V$13,Lotes!$O$13)=0),"C50 ","")&amp;IF(AND(Lotes!$E$14&gt;0,MOD(T$41-1-Lotes!$V$14,Lotes!$O$14)=0),"CM ","")</f>
        <v>1 5 C25 </v>
      </c>
      <c r="U42" s="71" t="str">
        <f aca="false">IF(AND(Lotes!$E$8&gt;0,MOD(U$41-1-Lotes!$V$8,Lotes!$O$8)=0),"1 ","")&amp;IF(AND(Lotes!$E$9&gt;0,MOD(U$41-1-Lotes!$V$9,Lotes!$O$9)=0),"2,5 ","")&amp;IF(AND(Lotes!$E$10&gt;0,MOD(U$41-1-Lotes!$V$10,Lotes!$O$10)=0),"5 ","")&amp;IF(AND(Lotes!$E$11&gt;0,MOD(U$41-1-Lotes!$V$11,Lotes!$O$11)=0),"10 ","")&amp;IF(AND(Lotes!$E$12&gt;0,MOD(U$41-1-Lotes!$V$12,Lotes!$O$12)=0),"C25 ","")&amp;IF(AND(Lotes!$E$13&gt;0,MOD(U$41-1-Lotes!$V$13,Lotes!$O$13)=0),"C50 ","")&amp;IF(AND(Lotes!$E$14&gt;0,MOD(U$41-1-Lotes!$V$14,Lotes!$O$14)=0),"CM ","")</f>
        <v>1 5 10 C50 </v>
      </c>
      <c r="V42" s="71" t="str">
        <f aca="false">IF(AND(Lotes!$E$8&gt;0,MOD(V$41-1-Lotes!$V$8,Lotes!$O$8)=0),"1 ","")&amp;IF(AND(Lotes!$E$9&gt;0,MOD(V$41-1-Lotes!$V$9,Lotes!$O$9)=0),"2,5 ","")&amp;IF(AND(Lotes!$E$10&gt;0,MOD(V$41-1-Lotes!$V$10,Lotes!$O$10)=0),"5 ","")&amp;IF(AND(Lotes!$E$11&gt;0,MOD(V$41-1-Lotes!$V$11,Lotes!$O$11)=0),"10 ","")&amp;IF(AND(Lotes!$E$12&gt;0,MOD(V$41-1-Lotes!$V$12,Lotes!$O$12)=0),"C25 ","")&amp;IF(AND(Lotes!$E$13&gt;0,MOD(V$41-1-Lotes!$V$13,Lotes!$O$13)=0),"C50 ","")&amp;IF(AND(Lotes!$E$14&gt;0,MOD(V$41-1-Lotes!$V$14,Lotes!$O$14)=0),"CM ","")</f>
        <v>1 5 CM </v>
      </c>
    </row>
    <row r="43" customFormat="false" ht="15.75" hidden="false" customHeight="true" outlineLevel="0" collapsed="false">
      <c r="B43" s="48" t="s">
        <v>640</v>
      </c>
      <c r="C43" s="72" t="n">
        <f aca="false">(IF(AND(Lotes!$E$8&gt;0,MOD(C$41-1-Lotes!$V$8,Lotes!$O$8)=0),Lotes!$S$8/REND_CORTE+S_G1,0)+IF(AND(Lotes!$E$9&gt;0,MOD(C$41-1-Lotes!$V$9,Lotes!$O$9)=0),Lotes!$S$9/REND_CORTE+S_G1,0)+IF(AND(Lotes!$E$10&gt;0,MOD(C$41-1-Lotes!$V$10,Lotes!$O$10)=0),Lotes!$S$10/REND_CORTE+S_G1,0)+IF(AND(Lotes!$E$11&gt;0,MOD(C$41-1-Lotes!$V$11,Lotes!$O$11)=0),Lotes!$S$11/REND_CORTE+S_G1,0)+IF(AND(Lotes!$E$12&gt;0,MOD(C$41-1-Lotes!$V$12,Lotes!$O$12)=0),Lotes!$S$12/REND_CORTE+S_G1,0)+IF(AND(Lotes!$E$13&gt;0,MOD(C$41-1-Lotes!$V$13,Lotes!$O$13)=0),Lotes!$S$13/REND_CORTE+S_G1,0)+IF(AND(Lotes!$E$14&gt;0,MOD(C$41-1-Lotes!$V$14,Lotes!$O$14)=0),Lotes!$S$14/REND_CORTE+S_G1,0)+(TIRAS_CARROS+TIRAS_EXTRA)/REND_CORTE+(ALIST_G+DESALIST_G)*Lotes!$C$22)/Lotes!$D$22</f>
        <v>0.786535947693725</v>
      </c>
      <c r="D43" s="72" t="n">
        <f aca="false">(IF(AND(Lotes!$E$8&gt;0,MOD(D$41-1-Lotes!$V$8,Lotes!$O$8)=0),Lotes!$S$8/REND_CORTE+S_G1,0)+IF(AND(Lotes!$E$9&gt;0,MOD(D$41-1-Lotes!$V$9,Lotes!$O$9)=0),Lotes!$S$9/REND_CORTE+S_G1,0)+IF(AND(Lotes!$E$10&gt;0,MOD(D$41-1-Lotes!$V$10,Lotes!$O$10)=0),Lotes!$S$10/REND_CORTE+S_G1,0)+IF(AND(Lotes!$E$11&gt;0,MOD(D$41-1-Lotes!$V$11,Lotes!$O$11)=0),Lotes!$S$11/REND_CORTE+S_G1,0)+IF(AND(Lotes!$E$12&gt;0,MOD(D$41-1-Lotes!$V$12,Lotes!$O$12)=0),Lotes!$S$12/REND_CORTE+S_G1,0)+IF(AND(Lotes!$E$13&gt;0,MOD(D$41-1-Lotes!$V$13,Lotes!$O$13)=0),Lotes!$S$13/REND_CORTE+S_G1,0)+IF(AND(Lotes!$E$14&gt;0,MOD(D$41-1-Lotes!$V$14,Lotes!$O$14)=0),Lotes!$S$14/REND_CORTE+S_G1,0)+(TIRAS_CARROS+TIRAS_EXTRA)/REND_CORTE+(ALIST_G+DESALIST_G)*Lotes!$C$22)/Lotes!$D$22</f>
        <v>0.629874119818431</v>
      </c>
      <c r="E43" s="72" t="n">
        <f aca="false">(IF(AND(Lotes!$E$8&gt;0,MOD(E$41-1-Lotes!$V$8,Lotes!$O$8)=0),Lotes!$S$8/REND_CORTE+S_G1,0)+IF(AND(Lotes!$E$9&gt;0,MOD(E$41-1-Lotes!$V$9,Lotes!$O$9)=0),Lotes!$S$9/REND_CORTE+S_G1,0)+IF(AND(Lotes!$E$10&gt;0,MOD(E$41-1-Lotes!$V$10,Lotes!$O$10)=0),Lotes!$S$10/REND_CORTE+S_G1,0)+IF(AND(Lotes!$E$11&gt;0,MOD(E$41-1-Lotes!$V$11,Lotes!$O$11)=0),Lotes!$S$11/REND_CORTE+S_G1,0)+IF(AND(Lotes!$E$12&gt;0,MOD(E$41-1-Lotes!$V$12,Lotes!$O$12)=0),Lotes!$S$12/REND_CORTE+S_G1,0)+IF(AND(Lotes!$E$13&gt;0,MOD(E$41-1-Lotes!$V$13,Lotes!$O$13)=0),Lotes!$S$13/REND_CORTE+S_G1,0)+IF(AND(Lotes!$E$14&gt;0,MOD(E$41-1-Lotes!$V$14,Lotes!$O$14)=0),Lotes!$S$14/REND_CORTE+S_G1,0)+(TIRAS_CARROS+TIRAS_EXTRA)/REND_CORTE+(ALIST_G+DESALIST_G)*Lotes!$C$22)/Lotes!$D$22</f>
        <v>0.851841259536601</v>
      </c>
      <c r="F43" s="72" t="n">
        <f aca="false">(IF(AND(Lotes!$E$8&gt;0,MOD(F$41-1-Lotes!$V$8,Lotes!$O$8)=0),Lotes!$S$8/REND_CORTE+S_G1,0)+IF(AND(Lotes!$E$9&gt;0,MOD(F$41-1-Lotes!$V$9,Lotes!$O$9)=0),Lotes!$S$9/REND_CORTE+S_G1,0)+IF(AND(Lotes!$E$10&gt;0,MOD(F$41-1-Lotes!$V$10,Lotes!$O$10)=0),Lotes!$S$10/REND_CORTE+S_G1,0)+IF(AND(Lotes!$E$11&gt;0,MOD(F$41-1-Lotes!$V$11,Lotes!$O$11)=0),Lotes!$S$11/REND_CORTE+S_G1,0)+IF(AND(Lotes!$E$12&gt;0,MOD(F$41-1-Lotes!$V$12,Lotes!$O$12)=0),Lotes!$S$12/REND_CORTE+S_G1,0)+IF(AND(Lotes!$E$13&gt;0,MOD(F$41-1-Lotes!$V$13,Lotes!$O$13)=0),Lotes!$S$13/REND_CORTE+S_G1,0)+IF(AND(Lotes!$E$14&gt;0,MOD(F$41-1-Lotes!$V$14,Lotes!$O$14)=0),Lotes!$S$14/REND_CORTE+S_G1,0)+(TIRAS_CARROS+TIRAS_EXTRA)/REND_CORTE+(ALIST_G+DESALIST_G)*Lotes!$C$22)/Lotes!$D$22</f>
        <v>0.65960784312353</v>
      </c>
      <c r="G43" s="72" t="n">
        <f aca="false">(IF(AND(Lotes!$E$8&gt;0,MOD(G$41-1-Lotes!$V$8,Lotes!$O$8)=0),Lotes!$S$8/REND_CORTE+S_G1,0)+IF(AND(Lotes!$E$9&gt;0,MOD(G$41-1-Lotes!$V$9,Lotes!$O$9)=0),Lotes!$S$9/REND_CORTE+S_G1,0)+IF(AND(Lotes!$E$10&gt;0,MOD(G$41-1-Lotes!$V$10,Lotes!$O$10)=0),Lotes!$S$10/REND_CORTE+S_G1,0)+IF(AND(Lotes!$E$11&gt;0,MOD(G$41-1-Lotes!$V$11,Lotes!$O$11)=0),Lotes!$S$11/REND_CORTE+S_G1,0)+IF(AND(Lotes!$E$12&gt;0,MOD(G$41-1-Lotes!$V$12,Lotes!$O$12)=0),Lotes!$S$12/REND_CORTE+S_G1,0)+IF(AND(Lotes!$E$13&gt;0,MOD(G$41-1-Lotes!$V$13,Lotes!$O$13)=0),Lotes!$S$13/REND_CORTE+S_G1,0)+IF(AND(Lotes!$E$14&gt;0,MOD(G$41-1-Lotes!$V$14,Lotes!$O$14)=0),Lotes!$S$14/REND_CORTE+S_G1,0)+(TIRAS_CARROS+TIRAS_EXTRA)/REND_CORTE+(ALIST_G+DESALIST_G)*Lotes!$C$22)/Lotes!$D$22</f>
        <v>0.569411764692157</v>
      </c>
      <c r="H43" s="72" t="n">
        <f aca="false">(IF(AND(Lotes!$E$8&gt;0,MOD(H$41-1-Lotes!$V$8,Lotes!$O$8)=0),Lotes!$S$8/REND_CORTE+S_G1,0)+IF(AND(Lotes!$E$9&gt;0,MOD(H$41-1-Lotes!$V$9,Lotes!$O$9)=0),Lotes!$S$9/REND_CORTE+S_G1,0)+IF(AND(Lotes!$E$10&gt;0,MOD(H$41-1-Lotes!$V$10,Lotes!$O$10)=0),Lotes!$S$10/REND_CORTE+S_G1,0)+IF(AND(Lotes!$E$11&gt;0,MOD(H$41-1-Lotes!$V$11,Lotes!$O$11)=0),Lotes!$S$11/REND_CORTE+S_G1,0)+IF(AND(Lotes!$E$12&gt;0,MOD(H$41-1-Lotes!$V$12,Lotes!$O$12)=0),Lotes!$S$12/REND_CORTE+S_G1,0)+IF(AND(Lotes!$E$13&gt;0,MOD(H$41-1-Lotes!$V$13,Lotes!$O$13)=0),Lotes!$S$13/REND_CORTE+S_G1,0)+IF(AND(Lotes!$E$14&gt;0,MOD(H$41-1-Lotes!$V$14,Lotes!$O$14)=0),Lotes!$S$14/REND_CORTE+S_G1,0)+(TIRAS_CARROS+TIRAS_EXTRA)/REND_CORTE+(ALIST_G+DESALIST_G)*Lotes!$C$22)/Lotes!$D$22</f>
        <v>0.629874119818431</v>
      </c>
      <c r="I43" s="72" t="n">
        <f aca="false">(IF(AND(Lotes!$E$8&gt;0,MOD(I$41-1-Lotes!$V$8,Lotes!$O$8)=0),Lotes!$S$8/REND_CORTE+S_G1,0)+IF(AND(Lotes!$E$9&gt;0,MOD(I$41-1-Lotes!$V$9,Lotes!$O$9)=0),Lotes!$S$9/REND_CORTE+S_G1,0)+IF(AND(Lotes!$E$10&gt;0,MOD(I$41-1-Lotes!$V$10,Lotes!$O$10)=0),Lotes!$S$10/REND_CORTE+S_G1,0)+IF(AND(Lotes!$E$11&gt;0,MOD(I$41-1-Lotes!$V$11,Lotes!$O$11)=0),Lotes!$S$11/REND_CORTE+S_G1,0)+IF(AND(Lotes!$E$12&gt;0,MOD(I$41-1-Lotes!$V$12,Lotes!$O$12)=0),Lotes!$S$12/REND_CORTE+S_G1,0)+IF(AND(Lotes!$E$13&gt;0,MOD(I$41-1-Lotes!$V$13,Lotes!$O$13)=0),Lotes!$S$13/REND_CORTE+S_G1,0)+IF(AND(Lotes!$E$14&gt;0,MOD(I$41-1-Lotes!$V$14,Lotes!$O$14)=0),Lotes!$S$14/REND_CORTE+S_G1,0)+(TIRAS_CARROS+TIRAS_EXTRA)/REND_CORTE+(ALIST_G+DESALIST_G)*Lotes!$C$22)/Lotes!$D$22</f>
        <v>0.644651717052941</v>
      </c>
      <c r="J43" s="72" t="n">
        <f aca="false">(IF(AND(Lotes!$E$8&gt;0,MOD(J$41-1-Lotes!$V$8,Lotes!$O$8)=0),Lotes!$S$8/REND_CORTE+S_G1,0)+IF(AND(Lotes!$E$9&gt;0,MOD(J$41-1-Lotes!$V$9,Lotes!$O$9)=0),Lotes!$S$9/REND_CORTE+S_G1,0)+IF(AND(Lotes!$E$10&gt;0,MOD(J$41-1-Lotes!$V$10,Lotes!$O$10)=0),Lotes!$S$10/REND_CORTE+S_G1,0)+IF(AND(Lotes!$E$11&gt;0,MOD(J$41-1-Lotes!$V$11,Lotes!$O$11)=0),Lotes!$S$11/REND_CORTE+S_G1,0)+IF(AND(Lotes!$E$12&gt;0,MOD(J$41-1-Lotes!$V$12,Lotes!$O$12)=0),Lotes!$S$12/REND_CORTE+S_G1,0)+IF(AND(Lotes!$E$13&gt;0,MOD(J$41-1-Lotes!$V$13,Lotes!$O$13)=0),Lotes!$S$13/REND_CORTE+S_G1,0)+IF(AND(Lotes!$E$14&gt;0,MOD(J$41-1-Lotes!$V$14,Lotes!$O$14)=0),Lotes!$S$14/REND_CORTE+S_G1,0)+(TIRAS_CARROS+TIRAS_EXTRA)/REND_CORTE+(ALIST_G+DESALIST_G)*Lotes!$C$22)/Lotes!$D$22</f>
        <v>0.65960784312353</v>
      </c>
      <c r="K43" s="72" t="n">
        <f aca="false">(IF(AND(Lotes!$E$8&gt;0,MOD(K$41-1-Lotes!$V$8,Lotes!$O$8)=0),Lotes!$S$8/REND_CORTE+S_G1,0)+IF(AND(Lotes!$E$9&gt;0,MOD(K$41-1-Lotes!$V$9,Lotes!$O$9)=0),Lotes!$S$9/REND_CORTE+S_G1,0)+IF(AND(Lotes!$E$10&gt;0,MOD(K$41-1-Lotes!$V$10,Lotes!$O$10)=0),Lotes!$S$10/REND_CORTE+S_G1,0)+IF(AND(Lotes!$E$11&gt;0,MOD(K$41-1-Lotes!$V$11,Lotes!$O$11)=0),Lotes!$S$11/REND_CORTE+S_G1,0)+IF(AND(Lotes!$E$12&gt;0,MOD(K$41-1-Lotes!$V$12,Lotes!$O$12)=0),Lotes!$S$12/REND_CORTE+S_G1,0)+IF(AND(Lotes!$E$13&gt;0,MOD(K$41-1-Lotes!$V$13,Lotes!$O$13)=0),Lotes!$S$13/REND_CORTE+S_G1,0)+IF(AND(Lotes!$E$14&gt;0,MOD(K$41-1-Lotes!$V$14,Lotes!$O$14)=0),Lotes!$S$14/REND_CORTE+S_G1,0)+(TIRAS_CARROS+TIRAS_EXTRA)/REND_CORTE+(ALIST_G+DESALIST_G)*Lotes!$C$22)/Lotes!$D$22</f>
        <v>0.786535947693725</v>
      </c>
      <c r="L43" s="72" t="n">
        <f aca="false">(IF(AND(Lotes!$E$8&gt;0,MOD(L$41-1-Lotes!$V$8,Lotes!$O$8)=0),Lotes!$S$8/REND_CORTE+S_G1,0)+IF(AND(Lotes!$E$9&gt;0,MOD(L$41-1-Lotes!$V$9,Lotes!$O$9)=0),Lotes!$S$9/REND_CORTE+S_G1,0)+IF(AND(Lotes!$E$10&gt;0,MOD(L$41-1-Lotes!$V$10,Lotes!$O$10)=0),Lotes!$S$10/REND_CORTE+S_G1,0)+IF(AND(Lotes!$E$11&gt;0,MOD(L$41-1-Lotes!$V$11,Lotes!$O$11)=0),Lotes!$S$11/REND_CORTE+S_G1,0)+IF(AND(Lotes!$E$12&gt;0,MOD(L$41-1-Lotes!$V$12,Lotes!$O$12)=0),Lotes!$S$12/REND_CORTE+S_G1,0)+IF(AND(Lotes!$E$13&gt;0,MOD(L$41-1-Lotes!$V$13,Lotes!$O$13)=0),Lotes!$S$13/REND_CORTE+S_G1,0)+IF(AND(Lotes!$E$14&gt;0,MOD(L$41-1-Lotes!$V$14,Lotes!$O$14)=0),Lotes!$S$14/REND_CORTE+S_G1,0)+(TIRAS_CARROS+TIRAS_EXTRA)/REND_CORTE+(ALIST_G+DESALIST_G)*Lotes!$C$22)/Lotes!$D$22</f>
        <v>0.629874119818431</v>
      </c>
      <c r="M43" s="72" t="n">
        <f aca="false">(IF(AND(Lotes!$E$8&gt;0,MOD(M$41-1-Lotes!$V$8,Lotes!$O$8)=0),Lotes!$S$8/REND_CORTE+S_G1,0)+IF(AND(Lotes!$E$9&gt;0,MOD(M$41-1-Lotes!$V$9,Lotes!$O$9)=0),Lotes!$S$9/REND_CORTE+S_G1,0)+IF(AND(Lotes!$E$10&gt;0,MOD(M$41-1-Lotes!$V$10,Lotes!$O$10)=0),Lotes!$S$10/REND_CORTE+S_G1,0)+IF(AND(Lotes!$E$11&gt;0,MOD(M$41-1-Lotes!$V$11,Lotes!$O$11)=0),Lotes!$S$11/REND_CORTE+S_G1,0)+IF(AND(Lotes!$E$12&gt;0,MOD(M$41-1-Lotes!$V$12,Lotes!$O$12)=0),Lotes!$S$12/REND_CORTE+S_G1,0)+IF(AND(Lotes!$E$13&gt;0,MOD(M$41-1-Lotes!$V$13,Lotes!$O$13)=0),Lotes!$S$13/REND_CORTE+S_G1,0)+IF(AND(Lotes!$E$14&gt;0,MOD(M$41-1-Lotes!$V$14,Lotes!$O$14)=0),Lotes!$S$14/REND_CORTE+S_G1,0)+(TIRAS_CARROS+TIRAS_EXTRA)/REND_CORTE+(ALIST_G+DESALIST_G)*Lotes!$C$22)/Lotes!$D$22</f>
        <v>0.644651717052941</v>
      </c>
      <c r="N43" s="72" t="n">
        <f aca="false">(IF(AND(Lotes!$E$8&gt;0,MOD(N$41-1-Lotes!$V$8,Lotes!$O$8)=0),Lotes!$S$8/REND_CORTE+S_G1,0)+IF(AND(Lotes!$E$9&gt;0,MOD(N$41-1-Lotes!$V$9,Lotes!$O$9)=0),Lotes!$S$9/REND_CORTE+S_G1,0)+IF(AND(Lotes!$E$10&gt;0,MOD(N$41-1-Lotes!$V$10,Lotes!$O$10)=0),Lotes!$S$10/REND_CORTE+S_G1,0)+IF(AND(Lotes!$E$11&gt;0,MOD(N$41-1-Lotes!$V$11,Lotes!$O$11)=0),Lotes!$S$11/REND_CORTE+S_G1,0)+IF(AND(Lotes!$E$12&gt;0,MOD(N$41-1-Lotes!$V$12,Lotes!$O$12)=0),Lotes!$S$12/REND_CORTE+S_G1,0)+IF(AND(Lotes!$E$13&gt;0,MOD(N$41-1-Lotes!$V$13,Lotes!$O$13)=0),Lotes!$S$13/REND_CORTE+S_G1,0)+IF(AND(Lotes!$E$14&gt;0,MOD(N$41-1-Lotes!$V$14,Lotes!$O$14)=0),Lotes!$S$14/REND_CORTE+S_G1,0)+(TIRAS_CARROS+TIRAS_EXTRA)/REND_CORTE+(ALIST_G+DESALIST_G)*Lotes!$C$22)/Lotes!$D$22</f>
        <v>0.65960784312353</v>
      </c>
      <c r="O43" s="72" t="n">
        <f aca="false">(IF(AND(Lotes!$E$8&gt;0,MOD(O$41-1-Lotes!$V$8,Lotes!$O$8)=0),Lotes!$S$8/REND_CORTE+S_G1,0)+IF(AND(Lotes!$E$9&gt;0,MOD(O$41-1-Lotes!$V$9,Lotes!$O$9)=0),Lotes!$S$9/REND_CORTE+S_G1,0)+IF(AND(Lotes!$E$10&gt;0,MOD(O$41-1-Lotes!$V$10,Lotes!$O$10)=0),Lotes!$S$10/REND_CORTE+S_G1,0)+IF(AND(Lotes!$E$11&gt;0,MOD(O$41-1-Lotes!$V$11,Lotes!$O$11)=0),Lotes!$S$11/REND_CORTE+S_G1,0)+IF(AND(Lotes!$E$12&gt;0,MOD(O$41-1-Lotes!$V$12,Lotes!$O$12)=0),Lotes!$S$12/REND_CORTE+S_G1,0)+IF(AND(Lotes!$E$13&gt;0,MOD(O$41-1-Lotes!$V$13,Lotes!$O$13)=0),Lotes!$S$13/REND_CORTE+S_G1,0)+IF(AND(Lotes!$E$14&gt;0,MOD(O$41-1-Lotes!$V$14,Lotes!$O$14)=0),Lotes!$S$14/REND_CORTE+S_G1,0)+(TIRAS_CARROS+TIRAS_EXTRA)/REND_CORTE+(ALIST_G+DESALIST_G)*Lotes!$C$22)/Lotes!$D$22</f>
        <v>0.569411764692157</v>
      </c>
      <c r="P43" s="72" t="n">
        <f aca="false">(IF(AND(Lotes!$E$8&gt;0,MOD(P$41-1-Lotes!$V$8,Lotes!$O$8)=0),Lotes!$S$8/REND_CORTE+S_G1,0)+IF(AND(Lotes!$E$9&gt;0,MOD(P$41-1-Lotes!$V$9,Lotes!$O$9)=0),Lotes!$S$9/REND_CORTE+S_G1,0)+IF(AND(Lotes!$E$10&gt;0,MOD(P$41-1-Lotes!$V$10,Lotes!$O$10)=0),Lotes!$S$10/REND_CORTE+S_G1,0)+IF(AND(Lotes!$E$11&gt;0,MOD(P$41-1-Lotes!$V$11,Lotes!$O$11)=0),Lotes!$S$11/REND_CORTE+S_G1,0)+IF(AND(Lotes!$E$12&gt;0,MOD(P$41-1-Lotes!$V$12,Lotes!$O$12)=0),Lotes!$S$12/REND_CORTE+S_G1,0)+IF(AND(Lotes!$E$13&gt;0,MOD(P$41-1-Lotes!$V$13,Lotes!$O$13)=0),Lotes!$S$13/REND_CORTE+S_G1,0)+IF(AND(Lotes!$E$14&gt;0,MOD(P$41-1-Lotes!$V$14,Lotes!$O$14)=0),Lotes!$S$14/REND_CORTE+S_G1,0)+(TIRAS_CARROS+TIRAS_EXTRA)/REND_CORTE+(ALIST_G+DESALIST_G)*Lotes!$C$22)/Lotes!$D$22</f>
        <v>0.629874119818431</v>
      </c>
      <c r="Q43" s="72" t="n">
        <f aca="false">(IF(AND(Lotes!$E$8&gt;0,MOD(Q$41-1-Lotes!$V$8,Lotes!$O$8)=0),Lotes!$S$8/REND_CORTE+S_G1,0)+IF(AND(Lotes!$E$9&gt;0,MOD(Q$41-1-Lotes!$V$9,Lotes!$O$9)=0),Lotes!$S$9/REND_CORTE+S_G1,0)+IF(AND(Lotes!$E$10&gt;0,MOD(Q$41-1-Lotes!$V$10,Lotes!$O$10)=0),Lotes!$S$10/REND_CORTE+S_G1,0)+IF(AND(Lotes!$E$11&gt;0,MOD(Q$41-1-Lotes!$V$11,Lotes!$O$11)=0),Lotes!$S$11/REND_CORTE+S_G1,0)+IF(AND(Lotes!$E$12&gt;0,MOD(Q$41-1-Lotes!$V$12,Lotes!$O$12)=0),Lotes!$S$12/REND_CORTE+S_G1,0)+IF(AND(Lotes!$E$13&gt;0,MOD(Q$41-1-Lotes!$V$13,Lotes!$O$13)=0),Lotes!$S$13/REND_CORTE+S_G1,0)+IF(AND(Lotes!$E$14&gt;0,MOD(Q$41-1-Lotes!$V$14,Lotes!$O$14)=0),Lotes!$S$14/REND_CORTE+S_G1,0)+(TIRAS_CARROS+TIRAS_EXTRA)/REND_CORTE+(ALIST_G+DESALIST_G)*Lotes!$C$22)/Lotes!$D$22</f>
        <v>0.644651717052941</v>
      </c>
      <c r="R43" s="72" t="n">
        <f aca="false">(IF(AND(Lotes!$E$8&gt;0,MOD(R$41-1-Lotes!$V$8,Lotes!$O$8)=0),Lotes!$S$8/REND_CORTE+S_G1,0)+IF(AND(Lotes!$E$9&gt;0,MOD(R$41-1-Lotes!$V$9,Lotes!$O$9)=0),Lotes!$S$9/REND_CORTE+S_G1,0)+IF(AND(Lotes!$E$10&gt;0,MOD(R$41-1-Lotes!$V$10,Lotes!$O$10)=0),Lotes!$S$10/REND_CORTE+S_G1,0)+IF(AND(Lotes!$E$11&gt;0,MOD(R$41-1-Lotes!$V$11,Lotes!$O$11)=0),Lotes!$S$11/REND_CORTE+S_G1,0)+IF(AND(Lotes!$E$12&gt;0,MOD(R$41-1-Lotes!$V$12,Lotes!$O$12)=0),Lotes!$S$12/REND_CORTE+S_G1,0)+IF(AND(Lotes!$E$13&gt;0,MOD(R$41-1-Lotes!$V$13,Lotes!$O$13)=0),Lotes!$S$13/REND_CORTE+S_G1,0)+IF(AND(Lotes!$E$14&gt;0,MOD(R$41-1-Lotes!$V$14,Lotes!$O$14)=0),Lotes!$S$14/REND_CORTE+S_G1,0)+(TIRAS_CARROS+TIRAS_EXTRA)/REND_CORTE+(ALIST_G+DESALIST_G)*Lotes!$C$22)/Lotes!$D$22</f>
        <v>0.65960784312353</v>
      </c>
      <c r="S43" s="72" t="n">
        <f aca="false">(IF(AND(Lotes!$E$8&gt;0,MOD(S$41-1-Lotes!$V$8,Lotes!$O$8)=0),Lotes!$S$8/REND_CORTE+S_G1,0)+IF(AND(Lotes!$E$9&gt;0,MOD(S$41-1-Lotes!$V$9,Lotes!$O$9)=0),Lotes!$S$9/REND_CORTE+S_G1,0)+IF(AND(Lotes!$E$10&gt;0,MOD(S$41-1-Lotes!$V$10,Lotes!$O$10)=0),Lotes!$S$10/REND_CORTE+S_G1,0)+IF(AND(Lotes!$E$11&gt;0,MOD(S$41-1-Lotes!$V$11,Lotes!$O$11)=0),Lotes!$S$11/REND_CORTE+S_G1,0)+IF(AND(Lotes!$E$12&gt;0,MOD(S$41-1-Lotes!$V$12,Lotes!$O$12)=0),Lotes!$S$12/REND_CORTE+S_G1,0)+IF(AND(Lotes!$E$13&gt;0,MOD(S$41-1-Lotes!$V$13,Lotes!$O$13)=0),Lotes!$S$13/REND_CORTE+S_G1,0)+IF(AND(Lotes!$E$14&gt;0,MOD(S$41-1-Lotes!$V$14,Lotes!$O$14)=0),Lotes!$S$14/REND_CORTE+S_G1,0)+(TIRAS_CARROS+TIRAS_EXTRA)/REND_CORTE+(ALIST_G+DESALIST_G)*Lotes!$C$22)/Lotes!$D$22</f>
        <v>0.786535947693725</v>
      </c>
      <c r="T43" s="72" t="n">
        <f aca="false">(IF(AND(Lotes!$E$8&gt;0,MOD(T$41-1-Lotes!$V$8,Lotes!$O$8)=0),Lotes!$S$8/REND_CORTE+S_G1,0)+IF(AND(Lotes!$E$9&gt;0,MOD(T$41-1-Lotes!$V$9,Lotes!$O$9)=0),Lotes!$S$9/REND_CORTE+S_G1,0)+IF(AND(Lotes!$E$10&gt;0,MOD(T$41-1-Lotes!$V$10,Lotes!$O$10)=0),Lotes!$S$10/REND_CORTE+S_G1,0)+IF(AND(Lotes!$E$11&gt;0,MOD(T$41-1-Lotes!$V$11,Lotes!$O$11)=0),Lotes!$S$11/REND_CORTE+S_G1,0)+IF(AND(Lotes!$E$12&gt;0,MOD(T$41-1-Lotes!$V$12,Lotes!$O$12)=0),Lotes!$S$12/REND_CORTE+S_G1,0)+IF(AND(Lotes!$E$13&gt;0,MOD(T$41-1-Lotes!$V$13,Lotes!$O$13)=0),Lotes!$S$13/REND_CORTE+S_G1,0)+IF(AND(Lotes!$E$14&gt;0,MOD(T$41-1-Lotes!$V$14,Lotes!$O$14)=0),Lotes!$S$14/REND_CORTE+S_G1,0)+(TIRAS_CARROS+TIRAS_EXTRA)/REND_CORTE+(ALIST_G+DESALIST_G)*Lotes!$C$22)/Lotes!$D$22</f>
        <v>0.629874119818431</v>
      </c>
      <c r="U43" s="72" t="n">
        <f aca="false">(IF(AND(Lotes!$E$8&gt;0,MOD(U$41-1-Lotes!$V$8,Lotes!$O$8)=0),Lotes!$S$8/REND_CORTE+S_G1,0)+IF(AND(Lotes!$E$9&gt;0,MOD(U$41-1-Lotes!$V$9,Lotes!$O$9)=0),Lotes!$S$9/REND_CORTE+S_G1,0)+IF(AND(Lotes!$E$10&gt;0,MOD(U$41-1-Lotes!$V$10,Lotes!$O$10)=0),Lotes!$S$10/REND_CORTE+S_G1,0)+IF(AND(Lotes!$E$11&gt;0,MOD(U$41-1-Lotes!$V$11,Lotes!$O$11)=0),Lotes!$S$11/REND_CORTE+S_G1,0)+IF(AND(Lotes!$E$12&gt;0,MOD(U$41-1-Lotes!$V$12,Lotes!$O$12)=0),Lotes!$S$12/REND_CORTE+S_G1,0)+IF(AND(Lotes!$E$13&gt;0,MOD(U$41-1-Lotes!$V$13,Lotes!$O$13)=0),Lotes!$S$13/REND_CORTE+S_G1,0)+IF(AND(Lotes!$E$14&gt;0,MOD(U$41-1-Lotes!$V$14,Lotes!$O$14)=0),Lotes!$S$14/REND_CORTE+S_G1,0)+(TIRAS_CARROS+TIRAS_EXTRA)/REND_CORTE+(ALIST_G+DESALIST_G)*Lotes!$C$22)/Lotes!$D$22</f>
        <v>0.851841259536601</v>
      </c>
      <c r="V43" s="72" t="n">
        <f aca="false">(IF(AND(Lotes!$E$8&gt;0,MOD(V$41-1-Lotes!$V$8,Lotes!$O$8)=0),Lotes!$S$8/REND_CORTE+S_G1,0)+IF(AND(Lotes!$E$9&gt;0,MOD(V$41-1-Lotes!$V$9,Lotes!$O$9)=0),Lotes!$S$9/REND_CORTE+S_G1,0)+IF(AND(Lotes!$E$10&gt;0,MOD(V$41-1-Lotes!$V$10,Lotes!$O$10)=0),Lotes!$S$10/REND_CORTE+S_G1,0)+IF(AND(Lotes!$E$11&gt;0,MOD(V$41-1-Lotes!$V$11,Lotes!$O$11)=0),Lotes!$S$11/REND_CORTE+S_G1,0)+IF(AND(Lotes!$E$12&gt;0,MOD(V$41-1-Lotes!$V$12,Lotes!$O$12)=0),Lotes!$S$12/REND_CORTE+S_G1,0)+IF(AND(Lotes!$E$13&gt;0,MOD(V$41-1-Lotes!$V$13,Lotes!$O$13)=0),Lotes!$S$13/REND_CORTE+S_G1,0)+IF(AND(Lotes!$E$14&gt;0,MOD(V$41-1-Lotes!$V$14,Lotes!$O$14)=0),Lotes!$S$14/REND_CORTE+S_G1,0)+(TIRAS_CARROS+TIRAS_EXTRA)/REND_CORTE+(ALIST_G+DESALIST_G)*Lotes!$C$22)/Lotes!$D$22</f>
        <v>0.65960784312353</v>
      </c>
    </row>
    <row r="44" customFormat="false" ht="15.75" hidden="false" customHeight="true" outlineLevel="0" collapsed="false">
      <c r="B44" s="70" t="s">
        <v>641</v>
      </c>
      <c r="C44" s="71" t="str">
        <f aca="false">IF(AND(Lotes!$D$30&gt;0,MOD(C$41-1-Lotes!$N$30,Lotes!$J$30)=0),Lotes!$A$30&amp;" ","")&amp;IF(AND(Lotes!$D$31&gt;0,MOD(C$41-1-Lotes!$N$31,Lotes!$J$31)=0),Lotes!$A$31&amp;" ","")&amp;IF(AND(Lotes!$D$32&gt;0,MOD(C$41-1-Lotes!$N$32,Lotes!$J$32)=0),Lotes!$A$32&amp;" ","")&amp;IF(AND(Lotes!$D$33&gt;0,MOD(C$41-1-Lotes!$N$33,Lotes!$J$33)=0),Lotes!$A$33&amp;" ","")&amp;IF(AND(Lotes!$D$34&gt;0,MOD(C$41-1-Lotes!$N$34,Lotes!$J$34)=0),Lotes!$A$34&amp;" ","")&amp;IF(AND(Lotes!$D$35&gt;0,MOD(C$41-1-Lotes!$N$35,Lotes!$J$35)=0),Lotes!$A$35&amp;" ","")&amp;IF(AND(Lotes!$D$36&gt;0,MOD(C$41-1-Lotes!$N$36,Lotes!$J$36)=0),Lotes!$A$36&amp;" ","")&amp;IF(AND(Lotes!$D$37&gt;0,MOD(C$41-1-Lotes!$N$37,Lotes!$J$37)=0),Lotes!$A$37&amp;" ","")</f>
        <v>C1 </v>
      </c>
      <c r="D44" s="71" t="str">
        <f aca="false">IF(AND(Lotes!$D$30&gt;0,MOD(D$41-1-Lotes!$N$30,Lotes!$J$30)=0),Lotes!$A$30&amp;" ","")&amp;IF(AND(Lotes!$D$31&gt;0,MOD(D$41-1-Lotes!$N$31,Lotes!$J$31)=0),Lotes!$A$31&amp;" ","")&amp;IF(AND(Lotes!$D$32&gt;0,MOD(D$41-1-Lotes!$N$32,Lotes!$J$32)=0),Lotes!$A$32&amp;" ","")&amp;IF(AND(Lotes!$D$33&gt;0,MOD(D$41-1-Lotes!$N$33,Lotes!$J$33)=0),Lotes!$A$33&amp;" ","")&amp;IF(AND(Lotes!$D$34&gt;0,MOD(D$41-1-Lotes!$N$34,Lotes!$J$34)=0),Lotes!$A$34&amp;" ","")&amp;IF(AND(Lotes!$D$35&gt;0,MOD(D$41-1-Lotes!$N$35,Lotes!$J$35)=0),Lotes!$A$35&amp;" ","")&amp;IF(AND(Lotes!$D$36&gt;0,MOD(D$41-1-Lotes!$N$36,Lotes!$J$36)=0),Lotes!$A$36&amp;" ","")&amp;IF(AND(Lotes!$D$37&gt;0,MOD(D$41-1-Lotes!$N$37,Lotes!$J$37)=0),Lotes!$A$37&amp;" ","")</f>
        <v>F1 </v>
      </c>
      <c r="E44" s="71" t="str">
        <f aca="false">IF(AND(Lotes!$D$30&gt;0,MOD(E$41-1-Lotes!$N$30,Lotes!$J$30)=0),Lotes!$A$30&amp;" ","")&amp;IF(AND(Lotes!$D$31&gt;0,MOD(E$41-1-Lotes!$N$31,Lotes!$J$31)=0),Lotes!$A$31&amp;" ","")&amp;IF(AND(Lotes!$D$32&gt;0,MOD(E$41-1-Lotes!$N$32,Lotes!$J$32)=0),Lotes!$A$32&amp;" ","")&amp;IF(AND(Lotes!$D$33&gt;0,MOD(E$41-1-Lotes!$N$33,Lotes!$J$33)=0),Lotes!$A$33&amp;" ","")&amp;IF(AND(Lotes!$D$34&gt;0,MOD(E$41-1-Lotes!$N$34,Lotes!$J$34)=0),Lotes!$A$34&amp;" ","")&amp;IF(AND(Lotes!$D$35&gt;0,MOD(E$41-1-Lotes!$N$35,Lotes!$J$35)=0),Lotes!$A$35&amp;" ","")&amp;IF(AND(Lotes!$D$36&gt;0,MOD(E$41-1-Lotes!$N$36,Lotes!$J$36)=0),Lotes!$A$36&amp;" ","")&amp;IF(AND(Lotes!$D$37&gt;0,MOD(E$41-1-Lotes!$N$37,Lotes!$J$37)=0),Lotes!$A$37&amp;" ","")</f>
        <v>C5 </v>
      </c>
      <c r="F44" s="71" t="str">
        <f aca="false">IF(AND(Lotes!$D$30&gt;0,MOD(F$41-1-Lotes!$N$30,Lotes!$J$30)=0),Lotes!$A$30&amp;" ","")&amp;IF(AND(Lotes!$D$31&gt;0,MOD(F$41-1-Lotes!$N$31,Lotes!$J$31)=0),Lotes!$A$31&amp;" ","")&amp;IF(AND(Lotes!$D$32&gt;0,MOD(F$41-1-Lotes!$N$32,Lotes!$J$32)=0),Lotes!$A$32&amp;" ","")&amp;IF(AND(Lotes!$D$33&gt;0,MOD(F$41-1-Lotes!$N$33,Lotes!$J$33)=0),Lotes!$A$33&amp;" ","")&amp;IF(AND(Lotes!$D$34&gt;0,MOD(F$41-1-Lotes!$N$34,Lotes!$J$34)=0),Lotes!$A$34&amp;" ","")&amp;IF(AND(Lotes!$D$35&gt;0,MOD(F$41-1-Lotes!$N$35,Lotes!$J$35)=0),Lotes!$A$35&amp;" ","")&amp;IF(AND(Lotes!$D$36&gt;0,MOD(F$41-1-Lotes!$N$36,Lotes!$J$36)=0),Lotes!$A$36&amp;" ","")&amp;IF(AND(Lotes!$D$37&gt;0,MOD(F$41-1-Lotes!$N$37,Lotes!$J$37)=0),Lotes!$A$37&amp;" ","")</f>
        <v>F5 </v>
      </c>
      <c r="G44" s="71" t="str">
        <f aca="false">IF(AND(Lotes!$D$30&gt;0,MOD(G$41-1-Lotes!$N$30,Lotes!$J$30)=0),Lotes!$A$30&amp;" ","")&amp;IF(AND(Lotes!$D$31&gt;0,MOD(G$41-1-Lotes!$N$31,Lotes!$J$31)=0),Lotes!$A$31&amp;" ","")&amp;IF(AND(Lotes!$D$32&gt;0,MOD(G$41-1-Lotes!$N$32,Lotes!$J$32)=0),Lotes!$A$32&amp;" ","")&amp;IF(AND(Lotes!$D$33&gt;0,MOD(G$41-1-Lotes!$N$33,Lotes!$J$33)=0),Lotes!$A$33&amp;" ","")&amp;IF(AND(Lotes!$D$34&gt;0,MOD(G$41-1-Lotes!$N$34,Lotes!$J$34)=0),Lotes!$A$34&amp;" ","")&amp;IF(AND(Lotes!$D$35&gt;0,MOD(G$41-1-Lotes!$N$35,Lotes!$J$35)=0),Lotes!$A$35&amp;" ","")&amp;IF(AND(Lotes!$D$36&gt;0,MOD(G$41-1-Lotes!$N$36,Lotes!$J$36)=0),Lotes!$A$36&amp;" ","")&amp;IF(AND(Lotes!$D$37&gt;0,MOD(G$41-1-Lotes!$N$37,Lotes!$J$37)=0),Lotes!$A$37&amp;" ","")</f>
        <v>C1 </v>
      </c>
      <c r="H44" s="71" t="str">
        <f aca="false">IF(AND(Lotes!$D$30&gt;0,MOD(H$41-1-Lotes!$N$30,Lotes!$J$30)=0),Lotes!$A$30&amp;" ","")&amp;IF(AND(Lotes!$D$31&gt;0,MOD(H$41-1-Lotes!$N$31,Lotes!$J$31)=0),Lotes!$A$31&amp;" ","")&amp;IF(AND(Lotes!$D$32&gt;0,MOD(H$41-1-Lotes!$N$32,Lotes!$J$32)=0),Lotes!$A$32&amp;" ","")&amp;IF(AND(Lotes!$D$33&gt;0,MOD(H$41-1-Lotes!$N$33,Lotes!$J$33)=0),Lotes!$A$33&amp;" ","")&amp;IF(AND(Lotes!$D$34&gt;0,MOD(H$41-1-Lotes!$N$34,Lotes!$J$34)=0),Lotes!$A$34&amp;" ","")&amp;IF(AND(Lotes!$D$35&gt;0,MOD(H$41-1-Lotes!$N$35,Lotes!$J$35)=0),Lotes!$A$35&amp;" ","")&amp;IF(AND(Lotes!$D$36&gt;0,MOD(H$41-1-Lotes!$N$36,Lotes!$J$36)=0),Lotes!$A$36&amp;" ","")&amp;IF(AND(Lotes!$D$37&gt;0,MOD(H$41-1-Lotes!$N$37,Lotes!$J$37)=0),Lotes!$A$37&amp;" ","")</f>
        <v>F1 </v>
      </c>
      <c r="I44" s="71" t="str">
        <f aca="false">IF(AND(Lotes!$D$30&gt;0,MOD(I$41-1-Lotes!$N$30,Lotes!$J$30)=0),Lotes!$A$30&amp;" ","")&amp;IF(AND(Lotes!$D$31&gt;0,MOD(I$41-1-Lotes!$N$31,Lotes!$J$31)=0),Lotes!$A$31&amp;" ","")&amp;IF(AND(Lotes!$D$32&gt;0,MOD(I$41-1-Lotes!$N$32,Lotes!$J$32)=0),Lotes!$A$32&amp;" ","")&amp;IF(AND(Lotes!$D$33&gt;0,MOD(I$41-1-Lotes!$N$33,Lotes!$J$33)=0),Lotes!$A$33&amp;" ","")&amp;IF(AND(Lotes!$D$34&gt;0,MOD(I$41-1-Lotes!$N$34,Lotes!$J$34)=0),Lotes!$A$34&amp;" ","")&amp;IF(AND(Lotes!$D$35&gt;0,MOD(I$41-1-Lotes!$N$35,Lotes!$J$35)=0),Lotes!$A$35&amp;" ","")&amp;IF(AND(Lotes!$D$36&gt;0,MOD(I$41-1-Lotes!$N$36,Lotes!$J$36)=0),Lotes!$A$36&amp;" ","")&amp;IF(AND(Lotes!$D$37&gt;0,MOD(I$41-1-Lotes!$N$37,Lotes!$J$37)=0),Lotes!$A$37&amp;" ","")</f>
        <v>C2,5 </v>
      </c>
      <c r="J44" s="71" t="str">
        <f aca="false">IF(AND(Lotes!$D$30&gt;0,MOD(J$41-1-Lotes!$N$30,Lotes!$J$30)=0),Lotes!$A$30&amp;" ","")&amp;IF(AND(Lotes!$D$31&gt;0,MOD(J$41-1-Lotes!$N$31,Lotes!$J$31)=0),Lotes!$A$31&amp;" ","")&amp;IF(AND(Lotes!$D$32&gt;0,MOD(J$41-1-Lotes!$N$32,Lotes!$J$32)=0),Lotes!$A$32&amp;" ","")&amp;IF(AND(Lotes!$D$33&gt;0,MOD(J$41-1-Lotes!$N$33,Lotes!$J$33)=0),Lotes!$A$33&amp;" ","")&amp;IF(AND(Lotes!$D$34&gt;0,MOD(J$41-1-Lotes!$N$34,Lotes!$J$34)=0),Lotes!$A$34&amp;" ","")&amp;IF(AND(Lotes!$D$35&gt;0,MOD(J$41-1-Lotes!$N$35,Lotes!$J$35)=0),Lotes!$A$35&amp;" ","")&amp;IF(AND(Lotes!$D$36&gt;0,MOD(J$41-1-Lotes!$N$36,Lotes!$J$36)=0),Lotes!$A$36&amp;" ","")&amp;IF(AND(Lotes!$D$37&gt;0,MOD(J$41-1-Lotes!$N$37,Lotes!$J$37)=0),Lotes!$A$37&amp;" ","")</f>
        <v>F2,5 </v>
      </c>
      <c r="K44" s="71" t="str">
        <f aca="false">IF(AND(Lotes!$D$30&gt;0,MOD(K$41-1-Lotes!$N$30,Lotes!$J$30)=0),Lotes!$A$30&amp;" ","")&amp;IF(AND(Lotes!$D$31&gt;0,MOD(K$41-1-Lotes!$N$31,Lotes!$J$31)=0),Lotes!$A$31&amp;" ","")&amp;IF(AND(Lotes!$D$32&gt;0,MOD(K$41-1-Lotes!$N$32,Lotes!$J$32)=0),Lotes!$A$32&amp;" ","")&amp;IF(AND(Lotes!$D$33&gt;0,MOD(K$41-1-Lotes!$N$33,Lotes!$J$33)=0),Lotes!$A$33&amp;" ","")&amp;IF(AND(Lotes!$D$34&gt;0,MOD(K$41-1-Lotes!$N$34,Lotes!$J$34)=0),Lotes!$A$34&amp;" ","")&amp;IF(AND(Lotes!$D$35&gt;0,MOD(K$41-1-Lotes!$N$35,Lotes!$J$35)=0),Lotes!$A$35&amp;" ","")&amp;IF(AND(Lotes!$D$36&gt;0,MOD(K$41-1-Lotes!$N$36,Lotes!$J$36)=0),Lotes!$A$36&amp;" ","")&amp;IF(AND(Lotes!$D$37&gt;0,MOD(K$41-1-Lotes!$N$37,Lotes!$J$37)=0),Lotes!$A$37&amp;" ","")</f>
        <v>C1 </v>
      </c>
      <c r="L44" s="71" t="str">
        <f aca="false">IF(AND(Lotes!$D$30&gt;0,MOD(L$41-1-Lotes!$N$30,Lotes!$J$30)=0),Lotes!$A$30&amp;" ","")&amp;IF(AND(Lotes!$D$31&gt;0,MOD(L$41-1-Lotes!$N$31,Lotes!$J$31)=0),Lotes!$A$31&amp;" ","")&amp;IF(AND(Lotes!$D$32&gt;0,MOD(L$41-1-Lotes!$N$32,Lotes!$J$32)=0),Lotes!$A$32&amp;" ","")&amp;IF(AND(Lotes!$D$33&gt;0,MOD(L$41-1-Lotes!$N$33,Lotes!$J$33)=0),Lotes!$A$33&amp;" ","")&amp;IF(AND(Lotes!$D$34&gt;0,MOD(L$41-1-Lotes!$N$34,Lotes!$J$34)=0),Lotes!$A$34&amp;" ","")&amp;IF(AND(Lotes!$D$35&gt;0,MOD(L$41-1-Lotes!$N$35,Lotes!$J$35)=0),Lotes!$A$35&amp;" ","")&amp;IF(AND(Lotes!$D$36&gt;0,MOD(L$41-1-Lotes!$N$36,Lotes!$J$36)=0),Lotes!$A$36&amp;" ","")&amp;IF(AND(Lotes!$D$37&gt;0,MOD(L$41-1-Lotes!$N$37,Lotes!$J$37)=0),Lotes!$A$37&amp;" ","")</f>
        <v>F1 </v>
      </c>
      <c r="M44" s="71" t="str">
        <f aca="false">IF(AND(Lotes!$D$30&gt;0,MOD(M$41-1-Lotes!$N$30,Lotes!$J$30)=0),Lotes!$A$30&amp;" ","")&amp;IF(AND(Lotes!$D$31&gt;0,MOD(M$41-1-Lotes!$N$31,Lotes!$J$31)=0),Lotes!$A$31&amp;" ","")&amp;IF(AND(Lotes!$D$32&gt;0,MOD(M$41-1-Lotes!$N$32,Lotes!$J$32)=0),Lotes!$A$32&amp;" ","")&amp;IF(AND(Lotes!$D$33&gt;0,MOD(M$41-1-Lotes!$N$33,Lotes!$J$33)=0),Lotes!$A$33&amp;" ","")&amp;IF(AND(Lotes!$D$34&gt;0,MOD(M$41-1-Lotes!$N$34,Lotes!$J$34)=0),Lotes!$A$34&amp;" ","")&amp;IF(AND(Lotes!$D$35&gt;0,MOD(M$41-1-Lotes!$N$35,Lotes!$J$35)=0),Lotes!$A$35&amp;" ","")&amp;IF(AND(Lotes!$D$36&gt;0,MOD(M$41-1-Lotes!$N$36,Lotes!$J$36)=0),Lotes!$A$36&amp;" ","")&amp;IF(AND(Lotes!$D$37&gt;0,MOD(M$41-1-Lotes!$N$37,Lotes!$J$37)=0),Lotes!$A$37&amp;" ","")</f>
        <v>C5 </v>
      </c>
      <c r="N44" s="71" t="str">
        <f aca="false">IF(AND(Lotes!$D$30&gt;0,MOD(N$41-1-Lotes!$N$30,Lotes!$J$30)=0),Lotes!$A$30&amp;" ","")&amp;IF(AND(Lotes!$D$31&gt;0,MOD(N$41-1-Lotes!$N$31,Lotes!$J$31)=0),Lotes!$A$31&amp;" ","")&amp;IF(AND(Lotes!$D$32&gt;0,MOD(N$41-1-Lotes!$N$32,Lotes!$J$32)=0),Lotes!$A$32&amp;" ","")&amp;IF(AND(Lotes!$D$33&gt;0,MOD(N$41-1-Lotes!$N$33,Lotes!$J$33)=0),Lotes!$A$33&amp;" ","")&amp;IF(AND(Lotes!$D$34&gt;0,MOD(N$41-1-Lotes!$N$34,Lotes!$J$34)=0),Lotes!$A$34&amp;" ","")&amp;IF(AND(Lotes!$D$35&gt;0,MOD(N$41-1-Lotes!$N$35,Lotes!$J$35)=0),Lotes!$A$35&amp;" ","")&amp;IF(AND(Lotes!$D$36&gt;0,MOD(N$41-1-Lotes!$N$36,Lotes!$J$36)=0),Lotes!$A$36&amp;" ","")&amp;IF(AND(Lotes!$D$37&gt;0,MOD(N$41-1-Lotes!$N$37,Lotes!$J$37)=0),Lotes!$A$37&amp;" ","")</f>
        <v>F5 </v>
      </c>
      <c r="O44" s="71" t="str">
        <f aca="false">IF(AND(Lotes!$D$30&gt;0,MOD(O$41-1-Lotes!$N$30,Lotes!$J$30)=0),Lotes!$A$30&amp;" ","")&amp;IF(AND(Lotes!$D$31&gt;0,MOD(O$41-1-Lotes!$N$31,Lotes!$J$31)=0),Lotes!$A$31&amp;" ","")&amp;IF(AND(Lotes!$D$32&gt;0,MOD(O$41-1-Lotes!$N$32,Lotes!$J$32)=0),Lotes!$A$32&amp;" ","")&amp;IF(AND(Lotes!$D$33&gt;0,MOD(O$41-1-Lotes!$N$33,Lotes!$J$33)=0),Lotes!$A$33&amp;" ","")&amp;IF(AND(Lotes!$D$34&gt;0,MOD(O$41-1-Lotes!$N$34,Lotes!$J$34)=0),Lotes!$A$34&amp;" ","")&amp;IF(AND(Lotes!$D$35&gt;0,MOD(O$41-1-Lotes!$N$35,Lotes!$J$35)=0),Lotes!$A$35&amp;" ","")&amp;IF(AND(Lotes!$D$36&gt;0,MOD(O$41-1-Lotes!$N$36,Lotes!$J$36)=0),Lotes!$A$36&amp;" ","")&amp;IF(AND(Lotes!$D$37&gt;0,MOD(O$41-1-Lotes!$N$37,Lotes!$J$37)=0),Lotes!$A$37&amp;" ","")</f>
        <v>C1 </v>
      </c>
      <c r="P44" s="71" t="str">
        <f aca="false">IF(AND(Lotes!$D$30&gt;0,MOD(P$41-1-Lotes!$N$30,Lotes!$J$30)=0),Lotes!$A$30&amp;" ","")&amp;IF(AND(Lotes!$D$31&gt;0,MOD(P$41-1-Lotes!$N$31,Lotes!$J$31)=0),Lotes!$A$31&amp;" ","")&amp;IF(AND(Lotes!$D$32&gt;0,MOD(P$41-1-Lotes!$N$32,Lotes!$J$32)=0),Lotes!$A$32&amp;" ","")&amp;IF(AND(Lotes!$D$33&gt;0,MOD(P$41-1-Lotes!$N$33,Lotes!$J$33)=0),Lotes!$A$33&amp;" ","")&amp;IF(AND(Lotes!$D$34&gt;0,MOD(P$41-1-Lotes!$N$34,Lotes!$J$34)=0),Lotes!$A$34&amp;" ","")&amp;IF(AND(Lotes!$D$35&gt;0,MOD(P$41-1-Lotes!$N$35,Lotes!$J$35)=0),Lotes!$A$35&amp;" ","")&amp;IF(AND(Lotes!$D$36&gt;0,MOD(P$41-1-Lotes!$N$36,Lotes!$J$36)=0),Lotes!$A$36&amp;" ","")&amp;IF(AND(Lotes!$D$37&gt;0,MOD(P$41-1-Lotes!$N$37,Lotes!$J$37)=0),Lotes!$A$37&amp;" ","")</f>
        <v>F1 </v>
      </c>
      <c r="Q44" s="71" t="str">
        <f aca="false">IF(AND(Lotes!$D$30&gt;0,MOD(Q$41-1-Lotes!$N$30,Lotes!$J$30)=0),Lotes!$A$30&amp;" ","")&amp;IF(AND(Lotes!$D$31&gt;0,MOD(Q$41-1-Lotes!$N$31,Lotes!$J$31)=0),Lotes!$A$31&amp;" ","")&amp;IF(AND(Lotes!$D$32&gt;0,MOD(Q$41-1-Lotes!$N$32,Lotes!$J$32)=0),Lotes!$A$32&amp;" ","")&amp;IF(AND(Lotes!$D$33&gt;0,MOD(Q$41-1-Lotes!$N$33,Lotes!$J$33)=0),Lotes!$A$33&amp;" ","")&amp;IF(AND(Lotes!$D$34&gt;0,MOD(Q$41-1-Lotes!$N$34,Lotes!$J$34)=0),Lotes!$A$34&amp;" ","")&amp;IF(AND(Lotes!$D$35&gt;0,MOD(Q$41-1-Lotes!$N$35,Lotes!$J$35)=0),Lotes!$A$35&amp;" ","")&amp;IF(AND(Lotes!$D$36&gt;0,MOD(Q$41-1-Lotes!$N$36,Lotes!$J$36)=0),Lotes!$A$36&amp;" ","")&amp;IF(AND(Lotes!$D$37&gt;0,MOD(Q$41-1-Lotes!$N$37,Lotes!$J$37)=0),Lotes!$A$37&amp;" ","")</f>
        <v>C10 </v>
      </c>
      <c r="R44" s="71" t="str">
        <f aca="false">IF(AND(Lotes!$D$30&gt;0,MOD(R$41-1-Lotes!$N$30,Lotes!$J$30)=0),Lotes!$A$30&amp;" ","")&amp;IF(AND(Lotes!$D$31&gt;0,MOD(R$41-1-Lotes!$N$31,Lotes!$J$31)=0),Lotes!$A$31&amp;" ","")&amp;IF(AND(Lotes!$D$32&gt;0,MOD(R$41-1-Lotes!$N$32,Lotes!$J$32)=0),Lotes!$A$32&amp;" ","")&amp;IF(AND(Lotes!$D$33&gt;0,MOD(R$41-1-Lotes!$N$33,Lotes!$J$33)=0),Lotes!$A$33&amp;" ","")&amp;IF(AND(Lotes!$D$34&gt;0,MOD(R$41-1-Lotes!$N$34,Lotes!$J$34)=0),Lotes!$A$34&amp;" ","")&amp;IF(AND(Lotes!$D$35&gt;0,MOD(R$41-1-Lotes!$N$35,Lotes!$J$35)=0),Lotes!$A$35&amp;" ","")&amp;IF(AND(Lotes!$D$36&gt;0,MOD(R$41-1-Lotes!$N$36,Lotes!$J$36)=0),Lotes!$A$36&amp;" ","")&amp;IF(AND(Lotes!$D$37&gt;0,MOD(R$41-1-Lotes!$N$37,Lotes!$J$37)=0),Lotes!$A$37&amp;" ","")</f>
        <v>F10 </v>
      </c>
      <c r="S44" s="71" t="str">
        <f aca="false">IF(AND(Lotes!$D$30&gt;0,MOD(S$41-1-Lotes!$N$30,Lotes!$J$30)=0),Lotes!$A$30&amp;" ","")&amp;IF(AND(Lotes!$D$31&gt;0,MOD(S$41-1-Lotes!$N$31,Lotes!$J$31)=0),Lotes!$A$31&amp;" ","")&amp;IF(AND(Lotes!$D$32&gt;0,MOD(S$41-1-Lotes!$N$32,Lotes!$J$32)=0),Lotes!$A$32&amp;" ","")&amp;IF(AND(Lotes!$D$33&gt;0,MOD(S$41-1-Lotes!$N$33,Lotes!$J$33)=0),Lotes!$A$33&amp;" ","")&amp;IF(AND(Lotes!$D$34&gt;0,MOD(S$41-1-Lotes!$N$34,Lotes!$J$34)=0),Lotes!$A$34&amp;" ","")&amp;IF(AND(Lotes!$D$35&gt;0,MOD(S$41-1-Lotes!$N$35,Lotes!$J$35)=0),Lotes!$A$35&amp;" ","")&amp;IF(AND(Lotes!$D$36&gt;0,MOD(S$41-1-Lotes!$N$36,Lotes!$J$36)=0),Lotes!$A$36&amp;" ","")&amp;IF(AND(Lotes!$D$37&gt;0,MOD(S$41-1-Lotes!$N$37,Lotes!$J$37)=0),Lotes!$A$37&amp;" ","")</f>
        <v>C1 </v>
      </c>
      <c r="T44" s="71" t="str">
        <f aca="false">IF(AND(Lotes!$D$30&gt;0,MOD(T$41-1-Lotes!$N$30,Lotes!$J$30)=0),Lotes!$A$30&amp;" ","")&amp;IF(AND(Lotes!$D$31&gt;0,MOD(T$41-1-Lotes!$N$31,Lotes!$J$31)=0),Lotes!$A$31&amp;" ","")&amp;IF(AND(Lotes!$D$32&gt;0,MOD(T$41-1-Lotes!$N$32,Lotes!$J$32)=0),Lotes!$A$32&amp;" ","")&amp;IF(AND(Lotes!$D$33&gt;0,MOD(T$41-1-Lotes!$N$33,Lotes!$J$33)=0),Lotes!$A$33&amp;" ","")&amp;IF(AND(Lotes!$D$34&gt;0,MOD(T$41-1-Lotes!$N$34,Lotes!$J$34)=0),Lotes!$A$34&amp;" ","")&amp;IF(AND(Lotes!$D$35&gt;0,MOD(T$41-1-Lotes!$N$35,Lotes!$J$35)=0),Lotes!$A$35&amp;" ","")&amp;IF(AND(Lotes!$D$36&gt;0,MOD(T$41-1-Lotes!$N$36,Lotes!$J$36)=0),Lotes!$A$36&amp;" ","")&amp;IF(AND(Lotes!$D$37&gt;0,MOD(T$41-1-Lotes!$N$37,Lotes!$J$37)=0),Lotes!$A$37&amp;" ","")</f>
        <v>F1 </v>
      </c>
      <c r="U44" s="71" t="str">
        <f aca="false">IF(AND(Lotes!$D$30&gt;0,MOD(U$41-1-Lotes!$N$30,Lotes!$J$30)=0),Lotes!$A$30&amp;" ","")&amp;IF(AND(Lotes!$D$31&gt;0,MOD(U$41-1-Lotes!$N$31,Lotes!$J$31)=0),Lotes!$A$31&amp;" ","")&amp;IF(AND(Lotes!$D$32&gt;0,MOD(U$41-1-Lotes!$N$32,Lotes!$J$32)=0),Lotes!$A$32&amp;" ","")&amp;IF(AND(Lotes!$D$33&gt;0,MOD(U$41-1-Lotes!$N$33,Lotes!$J$33)=0),Lotes!$A$33&amp;" ","")&amp;IF(AND(Lotes!$D$34&gt;0,MOD(U$41-1-Lotes!$N$34,Lotes!$J$34)=0),Lotes!$A$34&amp;" ","")&amp;IF(AND(Lotes!$D$35&gt;0,MOD(U$41-1-Lotes!$N$35,Lotes!$J$35)=0),Lotes!$A$35&amp;" ","")&amp;IF(AND(Lotes!$D$36&gt;0,MOD(U$41-1-Lotes!$N$36,Lotes!$J$36)=0),Lotes!$A$36&amp;" ","")&amp;IF(AND(Lotes!$D$37&gt;0,MOD(U$41-1-Lotes!$N$37,Lotes!$J$37)=0),Lotes!$A$37&amp;" ","")</f>
        <v>C5 </v>
      </c>
      <c r="V44" s="71" t="str">
        <f aca="false">IF(AND(Lotes!$D$30&gt;0,MOD(V$41-1-Lotes!$N$30,Lotes!$J$30)=0),Lotes!$A$30&amp;" ","")&amp;IF(AND(Lotes!$D$31&gt;0,MOD(V$41-1-Lotes!$N$31,Lotes!$J$31)=0),Lotes!$A$31&amp;" ","")&amp;IF(AND(Lotes!$D$32&gt;0,MOD(V$41-1-Lotes!$N$32,Lotes!$J$32)=0),Lotes!$A$32&amp;" ","")&amp;IF(AND(Lotes!$D$33&gt;0,MOD(V$41-1-Lotes!$N$33,Lotes!$J$33)=0),Lotes!$A$33&amp;" ","")&amp;IF(AND(Lotes!$D$34&gt;0,MOD(V$41-1-Lotes!$N$34,Lotes!$J$34)=0),Lotes!$A$34&amp;" ","")&amp;IF(AND(Lotes!$D$35&gt;0,MOD(V$41-1-Lotes!$N$35,Lotes!$J$35)=0),Lotes!$A$35&amp;" ","")&amp;IF(AND(Lotes!$D$36&gt;0,MOD(V$41-1-Lotes!$N$36,Lotes!$J$36)=0),Lotes!$A$36&amp;" ","")&amp;IF(AND(Lotes!$D$37&gt;0,MOD(V$41-1-Lotes!$N$37,Lotes!$J$37)=0),Lotes!$A$37&amp;" ","")</f>
        <v>F5 </v>
      </c>
    </row>
    <row r="45" customFormat="false" ht="15.75" hidden="false" customHeight="true" outlineLevel="0" collapsed="false">
      <c r="B45" s="48" t="s">
        <v>640</v>
      </c>
      <c r="C45" s="72" t="n">
        <f aca="false">(IF(AND(Lotes!$D$30&gt;0,MOD(C$41-1-Lotes!$N$30,Lotes!$J$30)=0),Lotes!$L$30+S_EMB,0)+IF(AND(Lotes!$D$31&gt;0,MOD(C$41-1-Lotes!$N$31,Lotes!$J$31)=0),Lotes!$L$31+S_EMB,0)+IF(AND(Lotes!$D$32&gt;0,MOD(C$41-1-Lotes!$N$32,Lotes!$J$32)=0),Lotes!$L$32+S_EMB,0)+IF(AND(Lotes!$D$33&gt;0,MOD(C$41-1-Lotes!$N$33,Lotes!$J$33)=0),Lotes!$L$33+S_EMB,0)+IF(AND(Lotes!$D$34&gt;0,MOD(C$41-1-Lotes!$N$34,Lotes!$J$34)=0),Lotes!$L$34+S_EMB,0)+IF(AND(Lotes!$D$35&gt;0,MOD(C$41-1-Lotes!$N$35,Lotes!$J$35)=0),Lotes!$L$35+S_EMB,0)+IF(AND(Lotes!$D$36&gt;0,MOD(C$41-1-Lotes!$N$36,Lotes!$J$36)=0),Lotes!$L$36+S_EMB,0)+IF(AND(Lotes!$D$37&gt;0,MOD(C$41-1-Lotes!$N$37,Lotes!$J$37)=0),Lotes!$L$37+S_EMB,0))/Lotes!$D$42</f>
        <v>0.640321704354667</v>
      </c>
      <c r="D45" s="72" t="n">
        <f aca="false">(IF(AND(Lotes!$D$30&gt;0,MOD(D$41-1-Lotes!$N$30,Lotes!$J$30)=0),Lotes!$L$30+S_EMB,0)+IF(AND(Lotes!$D$31&gt;0,MOD(D$41-1-Lotes!$N$31,Lotes!$J$31)=0),Lotes!$L$31+S_EMB,0)+IF(AND(Lotes!$D$32&gt;0,MOD(D$41-1-Lotes!$N$32,Lotes!$J$32)=0),Lotes!$L$32+S_EMB,0)+IF(AND(Lotes!$D$33&gt;0,MOD(D$41-1-Lotes!$N$33,Lotes!$J$33)=0),Lotes!$L$33+S_EMB,0)+IF(AND(Lotes!$D$34&gt;0,MOD(D$41-1-Lotes!$N$34,Lotes!$J$34)=0),Lotes!$L$34+S_EMB,0)+IF(AND(Lotes!$D$35&gt;0,MOD(D$41-1-Lotes!$N$35,Lotes!$J$35)=0),Lotes!$L$35+S_EMB,0)+IF(AND(Lotes!$D$36&gt;0,MOD(D$41-1-Lotes!$N$36,Lotes!$J$36)=0),Lotes!$L$36+S_EMB,0)+IF(AND(Lotes!$D$37&gt;0,MOD(D$41-1-Lotes!$N$37,Lotes!$J$37)=0),Lotes!$L$37+S_EMB,0))/Lotes!$D$42</f>
        <v>0.640321704354667</v>
      </c>
      <c r="E45" s="72" t="n">
        <f aca="false">(IF(AND(Lotes!$D$30&gt;0,MOD(E$41-1-Lotes!$N$30,Lotes!$J$30)=0),Lotes!$L$30+S_EMB,0)+IF(AND(Lotes!$D$31&gt;0,MOD(E$41-1-Lotes!$N$31,Lotes!$J$31)=0),Lotes!$L$31+S_EMB,0)+IF(AND(Lotes!$D$32&gt;0,MOD(E$41-1-Lotes!$N$32,Lotes!$J$32)=0),Lotes!$L$32+S_EMB,0)+IF(AND(Lotes!$D$33&gt;0,MOD(E$41-1-Lotes!$N$33,Lotes!$J$33)=0),Lotes!$L$33+S_EMB,0)+IF(AND(Lotes!$D$34&gt;0,MOD(E$41-1-Lotes!$N$34,Lotes!$J$34)=0),Lotes!$L$34+S_EMB,0)+IF(AND(Lotes!$D$35&gt;0,MOD(E$41-1-Lotes!$N$35,Lotes!$J$35)=0),Lotes!$L$35+S_EMB,0)+IF(AND(Lotes!$D$36&gt;0,MOD(E$41-1-Lotes!$N$36,Lotes!$J$36)=0),Lotes!$L$36+S_EMB,0)+IF(AND(Lotes!$D$37&gt;0,MOD(E$41-1-Lotes!$N$37,Lotes!$J$37)=0),Lotes!$L$37+S_EMB,0))/Lotes!$D$42</f>
        <v>0.440547513178667</v>
      </c>
      <c r="F45" s="72" t="n">
        <f aca="false">(IF(AND(Lotes!$D$30&gt;0,MOD(F$41-1-Lotes!$N$30,Lotes!$J$30)=0),Lotes!$L$30+S_EMB,0)+IF(AND(Lotes!$D$31&gt;0,MOD(F$41-1-Lotes!$N$31,Lotes!$J$31)=0),Lotes!$L$31+S_EMB,0)+IF(AND(Lotes!$D$32&gt;0,MOD(F$41-1-Lotes!$N$32,Lotes!$J$32)=0),Lotes!$L$32+S_EMB,0)+IF(AND(Lotes!$D$33&gt;0,MOD(F$41-1-Lotes!$N$33,Lotes!$J$33)=0),Lotes!$L$33+S_EMB,0)+IF(AND(Lotes!$D$34&gt;0,MOD(F$41-1-Lotes!$N$34,Lotes!$J$34)=0),Lotes!$L$34+S_EMB,0)+IF(AND(Lotes!$D$35&gt;0,MOD(F$41-1-Lotes!$N$35,Lotes!$J$35)=0),Lotes!$L$35+S_EMB,0)+IF(AND(Lotes!$D$36&gt;0,MOD(F$41-1-Lotes!$N$36,Lotes!$J$36)=0),Lotes!$L$36+S_EMB,0)+IF(AND(Lotes!$D$37&gt;0,MOD(F$41-1-Lotes!$N$37,Lotes!$J$37)=0),Lotes!$L$37+S_EMB,0))/Lotes!$D$42</f>
        <v>0.440547513178667</v>
      </c>
      <c r="G45" s="72" t="n">
        <f aca="false">(IF(AND(Lotes!$D$30&gt;0,MOD(G$41-1-Lotes!$N$30,Lotes!$J$30)=0),Lotes!$L$30+S_EMB,0)+IF(AND(Lotes!$D$31&gt;0,MOD(G$41-1-Lotes!$N$31,Lotes!$J$31)=0),Lotes!$L$31+S_EMB,0)+IF(AND(Lotes!$D$32&gt;0,MOD(G$41-1-Lotes!$N$32,Lotes!$J$32)=0),Lotes!$L$32+S_EMB,0)+IF(AND(Lotes!$D$33&gt;0,MOD(G$41-1-Lotes!$N$33,Lotes!$J$33)=0),Lotes!$L$33+S_EMB,0)+IF(AND(Lotes!$D$34&gt;0,MOD(G$41-1-Lotes!$N$34,Lotes!$J$34)=0),Lotes!$L$34+S_EMB,0)+IF(AND(Lotes!$D$35&gt;0,MOD(G$41-1-Lotes!$N$35,Lotes!$J$35)=0),Lotes!$L$35+S_EMB,0)+IF(AND(Lotes!$D$36&gt;0,MOD(G$41-1-Lotes!$N$36,Lotes!$J$36)=0),Lotes!$L$36+S_EMB,0)+IF(AND(Lotes!$D$37&gt;0,MOD(G$41-1-Lotes!$N$37,Lotes!$J$37)=0),Lotes!$L$37+S_EMB,0))/Lotes!$D$42</f>
        <v>0.640321704354667</v>
      </c>
      <c r="H45" s="72" t="n">
        <f aca="false">(IF(AND(Lotes!$D$30&gt;0,MOD(H$41-1-Lotes!$N$30,Lotes!$J$30)=0),Lotes!$L$30+S_EMB,0)+IF(AND(Lotes!$D$31&gt;0,MOD(H$41-1-Lotes!$N$31,Lotes!$J$31)=0),Lotes!$L$31+S_EMB,0)+IF(AND(Lotes!$D$32&gt;0,MOD(H$41-1-Lotes!$N$32,Lotes!$J$32)=0),Lotes!$L$32+S_EMB,0)+IF(AND(Lotes!$D$33&gt;0,MOD(H$41-1-Lotes!$N$33,Lotes!$J$33)=0),Lotes!$L$33+S_EMB,0)+IF(AND(Lotes!$D$34&gt;0,MOD(H$41-1-Lotes!$N$34,Lotes!$J$34)=0),Lotes!$L$34+S_EMB,0)+IF(AND(Lotes!$D$35&gt;0,MOD(H$41-1-Lotes!$N$35,Lotes!$J$35)=0),Lotes!$L$35+S_EMB,0)+IF(AND(Lotes!$D$36&gt;0,MOD(H$41-1-Lotes!$N$36,Lotes!$J$36)=0),Lotes!$L$36+S_EMB,0)+IF(AND(Lotes!$D$37&gt;0,MOD(H$41-1-Lotes!$N$37,Lotes!$J$37)=0),Lotes!$L$37+S_EMB,0))/Lotes!$D$42</f>
        <v>0.640321704354667</v>
      </c>
      <c r="I45" s="72" t="n">
        <f aca="false">(IF(AND(Lotes!$D$30&gt;0,MOD(I$41-1-Lotes!$N$30,Lotes!$J$30)=0),Lotes!$L$30+S_EMB,0)+IF(AND(Lotes!$D$31&gt;0,MOD(I$41-1-Lotes!$N$31,Lotes!$J$31)=0),Lotes!$L$31+S_EMB,0)+IF(AND(Lotes!$D$32&gt;0,MOD(I$41-1-Lotes!$N$32,Lotes!$J$32)=0),Lotes!$L$32+S_EMB,0)+IF(AND(Lotes!$D$33&gt;0,MOD(I$41-1-Lotes!$N$33,Lotes!$J$33)=0),Lotes!$L$33+S_EMB,0)+IF(AND(Lotes!$D$34&gt;0,MOD(I$41-1-Lotes!$N$34,Lotes!$J$34)=0),Lotes!$L$34+S_EMB,0)+IF(AND(Lotes!$D$35&gt;0,MOD(I$41-1-Lotes!$N$35,Lotes!$J$35)=0),Lotes!$L$35+S_EMB,0)+IF(AND(Lotes!$D$36&gt;0,MOD(I$41-1-Lotes!$N$36,Lotes!$J$36)=0),Lotes!$L$36+S_EMB,0)+IF(AND(Lotes!$D$37&gt;0,MOD(I$41-1-Lotes!$N$37,Lotes!$J$37)=0),Lotes!$L$37+S_EMB,0))/Lotes!$D$42</f>
        <v>0.250680943403733</v>
      </c>
      <c r="J45" s="72" t="n">
        <f aca="false">(IF(AND(Lotes!$D$30&gt;0,MOD(J$41-1-Lotes!$N$30,Lotes!$J$30)=0),Lotes!$L$30+S_EMB,0)+IF(AND(Lotes!$D$31&gt;0,MOD(J$41-1-Lotes!$N$31,Lotes!$J$31)=0),Lotes!$L$31+S_EMB,0)+IF(AND(Lotes!$D$32&gt;0,MOD(J$41-1-Lotes!$N$32,Lotes!$J$32)=0),Lotes!$L$32+S_EMB,0)+IF(AND(Lotes!$D$33&gt;0,MOD(J$41-1-Lotes!$N$33,Lotes!$J$33)=0),Lotes!$L$33+S_EMB,0)+IF(AND(Lotes!$D$34&gt;0,MOD(J$41-1-Lotes!$N$34,Lotes!$J$34)=0),Lotes!$L$34+S_EMB,0)+IF(AND(Lotes!$D$35&gt;0,MOD(J$41-1-Lotes!$N$35,Lotes!$J$35)=0),Lotes!$L$35+S_EMB,0)+IF(AND(Lotes!$D$36&gt;0,MOD(J$41-1-Lotes!$N$36,Lotes!$J$36)=0),Lotes!$L$36+S_EMB,0)+IF(AND(Lotes!$D$37&gt;0,MOD(J$41-1-Lotes!$N$37,Lotes!$J$37)=0),Lotes!$L$37+S_EMB,0))/Lotes!$D$42</f>
        <v>0.250680943403733</v>
      </c>
      <c r="K45" s="72" t="n">
        <f aca="false">(IF(AND(Lotes!$D$30&gt;0,MOD(K$41-1-Lotes!$N$30,Lotes!$J$30)=0),Lotes!$L$30+S_EMB,0)+IF(AND(Lotes!$D$31&gt;0,MOD(K$41-1-Lotes!$N$31,Lotes!$J$31)=0),Lotes!$L$31+S_EMB,0)+IF(AND(Lotes!$D$32&gt;0,MOD(K$41-1-Lotes!$N$32,Lotes!$J$32)=0),Lotes!$L$32+S_EMB,0)+IF(AND(Lotes!$D$33&gt;0,MOD(K$41-1-Lotes!$N$33,Lotes!$J$33)=0),Lotes!$L$33+S_EMB,0)+IF(AND(Lotes!$D$34&gt;0,MOD(K$41-1-Lotes!$N$34,Lotes!$J$34)=0),Lotes!$L$34+S_EMB,0)+IF(AND(Lotes!$D$35&gt;0,MOD(K$41-1-Lotes!$N$35,Lotes!$J$35)=0),Lotes!$L$35+S_EMB,0)+IF(AND(Lotes!$D$36&gt;0,MOD(K$41-1-Lotes!$N$36,Lotes!$J$36)=0),Lotes!$L$36+S_EMB,0)+IF(AND(Lotes!$D$37&gt;0,MOD(K$41-1-Lotes!$N$37,Lotes!$J$37)=0),Lotes!$L$37+S_EMB,0))/Lotes!$D$42</f>
        <v>0.640321704354667</v>
      </c>
      <c r="L45" s="72" t="n">
        <f aca="false">(IF(AND(Lotes!$D$30&gt;0,MOD(L$41-1-Lotes!$N$30,Lotes!$J$30)=0),Lotes!$L$30+S_EMB,0)+IF(AND(Lotes!$D$31&gt;0,MOD(L$41-1-Lotes!$N$31,Lotes!$J$31)=0),Lotes!$L$31+S_EMB,0)+IF(AND(Lotes!$D$32&gt;0,MOD(L$41-1-Lotes!$N$32,Lotes!$J$32)=0),Lotes!$L$32+S_EMB,0)+IF(AND(Lotes!$D$33&gt;0,MOD(L$41-1-Lotes!$N$33,Lotes!$J$33)=0),Lotes!$L$33+S_EMB,0)+IF(AND(Lotes!$D$34&gt;0,MOD(L$41-1-Lotes!$N$34,Lotes!$J$34)=0),Lotes!$L$34+S_EMB,0)+IF(AND(Lotes!$D$35&gt;0,MOD(L$41-1-Lotes!$N$35,Lotes!$J$35)=0),Lotes!$L$35+S_EMB,0)+IF(AND(Lotes!$D$36&gt;0,MOD(L$41-1-Lotes!$N$36,Lotes!$J$36)=0),Lotes!$L$36+S_EMB,0)+IF(AND(Lotes!$D$37&gt;0,MOD(L$41-1-Lotes!$N$37,Lotes!$J$37)=0),Lotes!$L$37+S_EMB,0))/Lotes!$D$42</f>
        <v>0.640321704354667</v>
      </c>
      <c r="M45" s="72" t="n">
        <f aca="false">(IF(AND(Lotes!$D$30&gt;0,MOD(M$41-1-Lotes!$N$30,Lotes!$J$30)=0),Lotes!$L$30+S_EMB,0)+IF(AND(Lotes!$D$31&gt;0,MOD(M$41-1-Lotes!$N$31,Lotes!$J$31)=0),Lotes!$L$31+S_EMB,0)+IF(AND(Lotes!$D$32&gt;0,MOD(M$41-1-Lotes!$N$32,Lotes!$J$32)=0),Lotes!$L$32+S_EMB,0)+IF(AND(Lotes!$D$33&gt;0,MOD(M$41-1-Lotes!$N$33,Lotes!$J$33)=0),Lotes!$L$33+S_EMB,0)+IF(AND(Lotes!$D$34&gt;0,MOD(M$41-1-Lotes!$N$34,Lotes!$J$34)=0),Lotes!$L$34+S_EMB,0)+IF(AND(Lotes!$D$35&gt;0,MOD(M$41-1-Lotes!$N$35,Lotes!$J$35)=0),Lotes!$L$35+S_EMB,0)+IF(AND(Lotes!$D$36&gt;0,MOD(M$41-1-Lotes!$N$36,Lotes!$J$36)=0),Lotes!$L$36+S_EMB,0)+IF(AND(Lotes!$D$37&gt;0,MOD(M$41-1-Lotes!$N$37,Lotes!$J$37)=0),Lotes!$L$37+S_EMB,0))/Lotes!$D$42</f>
        <v>0.440547513178667</v>
      </c>
      <c r="N45" s="72" t="n">
        <f aca="false">(IF(AND(Lotes!$D$30&gt;0,MOD(N$41-1-Lotes!$N$30,Lotes!$J$30)=0),Lotes!$L$30+S_EMB,0)+IF(AND(Lotes!$D$31&gt;0,MOD(N$41-1-Lotes!$N$31,Lotes!$J$31)=0),Lotes!$L$31+S_EMB,0)+IF(AND(Lotes!$D$32&gt;0,MOD(N$41-1-Lotes!$N$32,Lotes!$J$32)=0),Lotes!$L$32+S_EMB,0)+IF(AND(Lotes!$D$33&gt;0,MOD(N$41-1-Lotes!$N$33,Lotes!$J$33)=0),Lotes!$L$33+S_EMB,0)+IF(AND(Lotes!$D$34&gt;0,MOD(N$41-1-Lotes!$N$34,Lotes!$J$34)=0),Lotes!$L$34+S_EMB,0)+IF(AND(Lotes!$D$35&gt;0,MOD(N$41-1-Lotes!$N$35,Lotes!$J$35)=0),Lotes!$L$35+S_EMB,0)+IF(AND(Lotes!$D$36&gt;0,MOD(N$41-1-Lotes!$N$36,Lotes!$J$36)=0),Lotes!$L$36+S_EMB,0)+IF(AND(Lotes!$D$37&gt;0,MOD(N$41-1-Lotes!$N$37,Lotes!$J$37)=0),Lotes!$L$37+S_EMB,0))/Lotes!$D$42</f>
        <v>0.440547513178667</v>
      </c>
      <c r="O45" s="72" t="n">
        <f aca="false">(IF(AND(Lotes!$D$30&gt;0,MOD(O$41-1-Lotes!$N$30,Lotes!$J$30)=0),Lotes!$L$30+S_EMB,0)+IF(AND(Lotes!$D$31&gt;0,MOD(O$41-1-Lotes!$N$31,Lotes!$J$31)=0),Lotes!$L$31+S_EMB,0)+IF(AND(Lotes!$D$32&gt;0,MOD(O$41-1-Lotes!$N$32,Lotes!$J$32)=0),Lotes!$L$32+S_EMB,0)+IF(AND(Lotes!$D$33&gt;0,MOD(O$41-1-Lotes!$N$33,Lotes!$J$33)=0),Lotes!$L$33+S_EMB,0)+IF(AND(Lotes!$D$34&gt;0,MOD(O$41-1-Lotes!$N$34,Lotes!$J$34)=0),Lotes!$L$34+S_EMB,0)+IF(AND(Lotes!$D$35&gt;0,MOD(O$41-1-Lotes!$N$35,Lotes!$J$35)=0),Lotes!$L$35+S_EMB,0)+IF(AND(Lotes!$D$36&gt;0,MOD(O$41-1-Lotes!$N$36,Lotes!$J$36)=0),Lotes!$L$36+S_EMB,0)+IF(AND(Lotes!$D$37&gt;0,MOD(O$41-1-Lotes!$N$37,Lotes!$J$37)=0),Lotes!$L$37+S_EMB,0))/Lotes!$D$42</f>
        <v>0.640321704354667</v>
      </c>
      <c r="P45" s="72" t="n">
        <f aca="false">(IF(AND(Lotes!$D$30&gt;0,MOD(P$41-1-Lotes!$N$30,Lotes!$J$30)=0),Lotes!$L$30+S_EMB,0)+IF(AND(Lotes!$D$31&gt;0,MOD(P$41-1-Lotes!$N$31,Lotes!$J$31)=0),Lotes!$L$31+S_EMB,0)+IF(AND(Lotes!$D$32&gt;0,MOD(P$41-1-Lotes!$N$32,Lotes!$J$32)=0),Lotes!$L$32+S_EMB,0)+IF(AND(Lotes!$D$33&gt;0,MOD(P$41-1-Lotes!$N$33,Lotes!$J$33)=0),Lotes!$L$33+S_EMB,0)+IF(AND(Lotes!$D$34&gt;0,MOD(P$41-1-Lotes!$N$34,Lotes!$J$34)=0),Lotes!$L$34+S_EMB,0)+IF(AND(Lotes!$D$35&gt;0,MOD(P$41-1-Lotes!$N$35,Lotes!$J$35)=0),Lotes!$L$35+S_EMB,0)+IF(AND(Lotes!$D$36&gt;0,MOD(P$41-1-Lotes!$N$36,Lotes!$J$36)=0),Lotes!$L$36+S_EMB,0)+IF(AND(Lotes!$D$37&gt;0,MOD(P$41-1-Lotes!$N$37,Lotes!$J$37)=0),Lotes!$L$37+S_EMB,0))/Lotes!$D$42</f>
        <v>0.640321704354667</v>
      </c>
      <c r="Q45" s="72" t="n">
        <f aca="false">(IF(AND(Lotes!$D$30&gt;0,MOD(Q$41-1-Lotes!$N$30,Lotes!$J$30)=0),Lotes!$L$30+S_EMB,0)+IF(AND(Lotes!$D$31&gt;0,MOD(Q$41-1-Lotes!$N$31,Lotes!$J$31)=0),Lotes!$L$31+S_EMB,0)+IF(AND(Lotes!$D$32&gt;0,MOD(Q$41-1-Lotes!$N$32,Lotes!$J$32)=0),Lotes!$L$32+S_EMB,0)+IF(AND(Lotes!$D$33&gt;0,MOD(Q$41-1-Lotes!$N$33,Lotes!$J$33)=0),Lotes!$L$33+S_EMB,0)+IF(AND(Lotes!$D$34&gt;0,MOD(Q$41-1-Lotes!$N$34,Lotes!$J$34)=0),Lotes!$L$34+S_EMB,0)+IF(AND(Lotes!$D$35&gt;0,MOD(Q$41-1-Lotes!$N$35,Lotes!$J$35)=0),Lotes!$L$35+S_EMB,0)+IF(AND(Lotes!$D$36&gt;0,MOD(Q$41-1-Lotes!$N$36,Lotes!$J$36)=0),Lotes!$L$36+S_EMB,0)+IF(AND(Lotes!$D$37&gt;0,MOD(Q$41-1-Lotes!$N$37,Lotes!$J$37)=0),Lotes!$L$37+S_EMB,0))/Lotes!$D$42</f>
        <v>0.1412045661728</v>
      </c>
      <c r="R45" s="72" t="n">
        <f aca="false">(IF(AND(Lotes!$D$30&gt;0,MOD(R$41-1-Lotes!$N$30,Lotes!$J$30)=0),Lotes!$L$30+S_EMB,0)+IF(AND(Lotes!$D$31&gt;0,MOD(R$41-1-Lotes!$N$31,Lotes!$J$31)=0),Lotes!$L$31+S_EMB,0)+IF(AND(Lotes!$D$32&gt;0,MOD(R$41-1-Lotes!$N$32,Lotes!$J$32)=0),Lotes!$L$32+S_EMB,0)+IF(AND(Lotes!$D$33&gt;0,MOD(R$41-1-Lotes!$N$33,Lotes!$J$33)=0),Lotes!$L$33+S_EMB,0)+IF(AND(Lotes!$D$34&gt;0,MOD(R$41-1-Lotes!$N$34,Lotes!$J$34)=0),Lotes!$L$34+S_EMB,0)+IF(AND(Lotes!$D$35&gt;0,MOD(R$41-1-Lotes!$N$35,Lotes!$J$35)=0),Lotes!$L$35+S_EMB,0)+IF(AND(Lotes!$D$36&gt;0,MOD(R$41-1-Lotes!$N$36,Lotes!$J$36)=0),Lotes!$L$36+S_EMB,0)+IF(AND(Lotes!$D$37&gt;0,MOD(R$41-1-Lotes!$N$37,Lotes!$J$37)=0),Lotes!$L$37+S_EMB,0))/Lotes!$D$42</f>
        <v>0.1412045661728</v>
      </c>
      <c r="S45" s="72" t="n">
        <f aca="false">(IF(AND(Lotes!$D$30&gt;0,MOD(S$41-1-Lotes!$N$30,Lotes!$J$30)=0),Lotes!$L$30+S_EMB,0)+IF(AND(Lotes!$D$31&gt;0,MOD(S$41-1-Lotes!$N$31,Lotes!$J$31)=0),Lotes!$L$31+S_EMB,0)+IF(AND(Lotes!$D$32&gt;0,MOD(S$41-1-Lotes!$N$32,Lotes!$J$32)=0),Lotes!$L$32+S_EMB,0)+IF(AND(Lotes!$D$33&gt;0,MOD(S$41-1-Lotes!$N$33,Lotes!$J$33)=0),Lotes!$L$33+S_EMB,0)+IF(AND(Lotes!$D$34&gt;0,MOD(S$41-1-Lotes!$N$34,Lotes!$J$34)=0),Lotes!$L$34+S_EMB,0)+IF(AND(Lotes!$D$35&gt;0,MOD(S$41-1-Lotes!$N$35,Lotes!$J$35)=0),Lotes!$L$35+S_EMB,0)+IF(AND(Lotes!$D$36&gt;0,MOD(S$41-1-Lotes!$N$36,Lotes!$J$36)=0),Lotes!$L$36+S_EMB,0)+IF(AND(Lotes!$D$37&gt;0,MOD(S$41-1-Lotes!$N$37,Lotes!$J$37)=0),Lotes!$L$37+S_EMB,0))/Lotes!$D$42</f>
        <v>0.640321704354667</v>
      </c>
      <c r="T45" s="72" t="n">
        <f aca="false">(IF(AND(Lotes!$D$30&gt;0,MOD(T$41-1-Lotes!$N$30,Lotes!$J$30)=0),Lotes!$L$30+S_EMB,0)+IF(AND(Lotes!$D$31&gt;0,MOD(T$41-1-Lotes!$N$31,Lotes!$J$31)=0),Lotes!$L$31+S_EMB,0)+IF(AND(Lotes!$D$32&gt;0,MOD(T$41-1-Lotes!$N$32,Lotes!$J$32)=0),Lotes!$L$32+S_EMB,0)+IF(AND(Lotes!$D$33&gt;0,MOD(T$41-1-Lotes!$N$33,Lotes!$J$33)=0),Lotes!$L$33+S_EMB,0)+IF(AND(Lotes!$D$34&gt;0,MOD(T$41-1-Lotes!$N$34,Lotes!$J$34)=0),Lotes!$L$34+S_EMB,0)+IF(AND(Lotes!$D$35&gt;0,MOD(T$41-1-Lotes!$N$35,Lotes!$J$35)=0),Lotes!$L$35+S_EMB,0)+IF(AND(Lotes!$D$36&gt;0,MOD(T$41-1-Lotes!$N$36,Lotes!$J$36)=0),Lotes!$L$36+S_EMB,0)+IF(AND(Lotes!$D$37&gt;0,MOD(T$41-1-Lotes!$N$37,Lotes!$J$37)=0),Lotes!$L$37+S_EMB,0))/Lotes!$D$42</f>
        <v>0.640321704354667</v>
      </c>
      <c r="U45" s="72" t="n">
        <f aca="false">(IF(AND(Lotes!$D$30&gt;0,MOD(U$41-1-Lotes!$N$30,Lotes!$J$30)=0),Lotes!$L$30+S_EMB,0)+IF(AND(Lotes!$D$31&gt;0,MOD(U$41-1-Lotes!$N$31,Lotes!$J$31)=0),Lotes!$L$31+S_EMB,0)+IF(AND(Lotes!$D$32&gt;0,MOD(U$41-1-Lotes!$N$32,Lotes!$J$32)=0),Lotes!$L$32+S_EMB,0)+IF(AND(Lotes!$D$33&gt;0,MOD(U$41-1-Lotes!$N$33,Lotes!$J$33)=0),Lotes!$L$33+S_EMB,0)+IF(AND(Lotes!$D$34&gt;0,MOD(U$41-1-Lotes!$N$34,Lotes!$J$34)=0),Lotes!$L$34+S_EMB,0)+IF(AND(Lotes!$D$35&gt;0,MOD(U$41-1-Lotes!$N$35,Lotes!$J$35)=0),Lotes!$L$35+S_EMB,0)+IF(AND(Lotes!$D$36&gt;0,MOD(U$41-1-Lotes!$N$36,Lotes!$J$36)=0),Lotes!$L$36+S_EMB,0)+IF(AND(Lotes!$D$37&gt;0,MOD(U$41-1-Lotes!$N$37,Lotes!$J$37)=0),Lotes!$L$37+S_EMB,0))/Lotes!$D$42</f>
        <v>0.440547513178667</v>
      </c>
      <c r="V45" s="72" t="n">
        <f aca="false">(IF(AND(Lotes!$D$30&gt;0,MOD(V$41-1-Lotes!$N$30,Lotes!$J$30)=0),Lotes!$L$30+S_EMB,0)+IF(AND(Lotes!$D$31&gt;0,MOD(V$41-1-Lotes!$N$31,Lotes!$J$31)=0),Lotes!$L$31+S_EMB,0)+IF(AND(Lotes!$D$32&gt;0,MOD(V$41-1-Lotes!$N$32,Lotes!$J$32)=0),Lotes!$L$32+S_EMB,0)+IF(AND(Lotes!$D$33&gt;0,MOD(V$41-1-Lotes!$N$33,Lotes!$J$33)=0),Lotes!$L$33+S_EMB,0)+IF(AND(Lotes!$D$34&gt;0,MOD(V$41-1-Lotes!$N$34,Lotes!$J$34)=0),Lotes!$L$34+S_EMB,0)+IF(AND(Lotes!$D$35&gt;0,MOD(V$41-1-Lotes!$N$35,Lotes!$J$35)=0),Lotes!$L$35+S_EMB,0)+IF(AND(Lotes!$D$36&gt;0,MOD(V$41-1-Lotes!$N$36,Lotes!$J$36)=0),Lotes!$L$36+S_EMB,0)+IF(AND(Lotes!$D$37&gt;0,MOD(V$41-1-Lotes!$N$37,Lotes!$J$37)=0),Lotes!$L$37+S_EMB,0))/Lotes!$D$42</f>
        <v>0.440547513178667</v>
      </c>
    </row>
    <row r="46" customFormat="false" ht="15.75" hidden="false" customHeight="true" outlineLevel="0" collapsed="false">
      <c r="B46" s="70" t="str">
        <f aca="false">Carga!B41</f>
        <v>Cilindrado</v>
      </c>
      <c r="C46" s="71" t="str">
        <f aca="false">IF(AND($K$11&gt;0,MOD(C$41-1-$I$35,$H$35)=0),"1 ","")&amp;IF(AND($L$11&gt;0,MOD(C$41-1-$I$36,$H$36)=0),"2,5 ","")&amp;IF(AND($M$11&gt;0,MOD(C$41-1-$I$37,$H$37)=0),"5 ","")&amp;IF(AND($N$11&gt;0,MOD(C$41-1-$I$38,$H$38)=0),"10 ","")</f>
        <v>1 2,5 5 </v>
      </c>
      <c r="D46" s="71" t="str">
        <f aca="false">IF(AND($K$11&gt;0,MOD(D$41-1-$I$35,$H$35)=0),"1 ","")&amp;IF(AND($L$11&gt;0,MOD(D$41-1-$I$36,$H$36)=0),"2,5 ","")&amp;IF(AND($M$11&gt;0,MOD(D$41-1-$I$37,$H$37)=0),"5 ","")&amp;IF(AND($N$11&gt;0,MOD(D$41-1-$I$38,$H$38)=0),"10 ","")</f>
        <v>1 2,5 5 10 </v>
      </c>
      <c r="E46" s="71" t="str">
        <f aca="false">IF(AND($K$11&gt;0,MOD(E$41-1-$I$35,$H$35)=0),"1 ","")&amp;IF(AND($L$11&gt;0,MOD(E$41-1-$I$36,$H$36)=0),"2,5 ","")&amp;IF(AND($M$11&gt;0,MOD(E$41-1-$I$37,$H$37)=0),"5 ","")&amp;IF(AND($N$11&gt;0,MOD(E$41-1-$I$38,$H$38)=0),"10 ","")</f>
        <v>1 2,5 5 </v>
      </c>
      <c r="F46" s="71" t="str">
        <f aca="false">IF(AND($K$11&gt;0,MOD(F$41-1-$I$35,$H$35)=0),"1 ","")&amp;IF(AND($L$11&gt;0,MOD(F$41-1-$I$36,$H$36)=0),"2,5 ","")&amp;IF(AND($M$11&gt;0,MOD(F$41-1-$I$37,$H$37)=0),"5 ","")&amp;IF(AND($N$11&gt;0,MOD(F$41-1-$I$38,$H$38)=0),"10 ","")</f>
        <v>1 2,5 5 10 </v>
      </c>
      <c r="G46" s="71" t="str">
        <f aca="false">IF(AND($K$11&gt;0,MOD(G$41-1-$I$35,$H$35)=0),"1 ","")&amp;IF(AND($L$11&gt;0,MOD(G$41-1-$I$36,$H$36)=0),"2,5 ","")&amp;IF(AND($M$11&gt;0,MOD(G$41-1-$I$37,$H$37)=0),"5 ","")&amp;IF(AND($N$11&gt;0,MOD(G$41-1-$I$38,$H$38)=0),"10 ","")</f>
        <v>1 2,5 5 </v>
      </c>
      <c r="H46" s="71" t="str">
        <f aca="false">IF(AND($K$11&gt;0,MOD(H$41-1-$I$35,$H$35)=0),"1 ","")&amp;IF(AND($L$11&gt;0,MOD(H$41-1-$I$36,$H$36)=0),"2,5 ","")&amp;IF(AND($M$11&gt;0,MOD(H$41-1-$I$37,$H$37)=0),"5 ","")&amp;IF(AND($N$11&gt;0,MOD(H$41-1-$I$38,$H$38)=0),"10 ","")</f>
        <v>1 2,5 5 10 </v>
      </c>
      <c r="I46" s="71" t="str">
        <f aca="false">IF(AND($K$11&gt;0,MOD(I$41-1-$I$35,$H$35)=0),"1 ","")&amp;IF(AND($L$11&gt;0,MOD(I$41-1-$I$36,$H$36)=0),"2,5 ","")&amp;IF(AND($M$11&gt;0,MOD(I$41-1-$I$37,$H$37)=0),"5 ","")&amp;IF(AND($N$11&gt;0,MOD(I$41-1-$I$38,$H$38)=0),"10 ","")</f>
        <v>1 2,5 5 </v>
      </c>
      <c r="J46" s="71" t="str">
        <f aca="false">IF(AND($K$11&gt;0,MOD(J$41-1-$I$35,$H$35)=0),"1 ","")&amp;IF(AND($L$11&gt;0,MOD(J$41-1-$I$36,$H$36)=0),"2,5 ","")&amp;IF(AND($M$11&gt;0,MOD(J$41-1-$I$37,$H$37)=0),"5 ","")&amp;IF(AND($N$11&gt;0,MOD(J$41-1-$I$38,$H$38)=0),"10 ","")</f>
        <v>1 2,5 5 10 </v>
      </c>
      <c r="K46" s="71" t="str">
        <f aca="false">IF(AND($K$11&gt;0,MOD(K$41-1-$I$35,$H$35)=0),"1 ","")&amp;IF(AND($L$11&gt;0,MOD(K$41-1-$I$36,$H$36)=0),"2,5 ","")&amp;IF(AND($M$11&gt;0,MOD(K$41-1-$I$37,$H$37)=0),"5 ","")&amp;IF(AND($N$11&gt;0,MOD(K$41-1-$I$38,$H$38)=0),"10 ","")</f>
        <v>1 2,5 5 </v>
      </c>
      <c r="L46" s="71" t="str">
        <f aca="false">IF(AND($K$11&gt;0,MOD(L$41-1-$I$35,$H$35)=0),"1 ","")&amp;IF(AND($L$11&gt;0,MOD(L$41-1-$I$36,$H$36)=0),"2,5 ","")&amp;IF(AND($M$11&gt;0,MOD(L$41-1-$I$37,$H$37)=0),"5 ","")&amp;IF(AND($N$11&gt;0,MOD(L$41-1-$I$38,$H$38)=0),"10 ","")</f>
        <v>1 2,5 5 10 </v>
      </c>
      <c r="M46" s="71" t="str">
        <f aca="false">IF(AND($K$11&gt;0,MOD(M$41-1-$I$35,$H$35)=0),"1 ","")&amp;IF(AND($L$11&gt;0,MOD(M$41-1-$I$36,$H$36)=0),"2,5 ","")&amp;IF(AND($M$11&gt;0,MOD(M$41-1-$I$37,$H$37)=0),"5 ","")&amp;IF(AND($N$11&gt;0,MOD(M$41-1-$I$38,$H$38)=0),"10 ","")</f>
        <v>1 2,5 5 </v>
      </c>
      <c r="N46" s="71" t="str">
        <f aca="false">IF(AND($K$11&gt;0,MOD(N$41-1-$I$35,$H$35)=0),"1 ","")&amp;IF(AND($L$11&gt;0,MOD(N$41-1-$I$36,$H$36)=0),"2,5 ","")&amp;IF(AND($M$11&gt;0,MOD(N$41-1-$I$37,$H$37)=0),"5 ","")&amp;IF(AND($N$11&gt;0,MOD(N$41-1-$I$38,$H$38)=0),"10 ","")</f>
        <v>1 2,5 5 10 </v>
      </c>
      <c r="O46" s="71" t="str">
        <f aca="false">IF(AND($K$11&gt;0,MOD(O$41-1-$I$35,$H$35)=0),"1 ","")&amp;IF(AND($L$11&gt;0,MOD(O$41-1-$I$36,$H$36)=0),"2,5 ","")&amp;IF(AND($M$11&gt;0,MOD(O$41-1-$I$37,$H$37)=0),"5 ","")&amp;IF(AND($N$11&gt;0,MOD(O$41-1-$I$38,$H$38)=0),"10 ","")</f>
        <v>1 2,5 5 </v>
      </c>
      <c r="P46" s="71" t="str">
        <f aca="false">IF(AND($K$11&gt;0,MOD(P$41-1-$I$35,$H$35)=0),"1 ","")&amp;IF(AND($L$11&gt;0,MOD(P$41-1-$I$36,$H$36)=0),"2,5 ","")&amp;IF(AND($M$11&gt;0,MOD(P$41-1-$I$37,$H$37)=0),"5 ","")&amp;IF(AND($N$11&gt;0,MOD(P$41-1-$I$38,$H$38)=0),"10 ","")</f>
        <v>1 2,5 5 10 </v>
      </c>
      <c r="Q46" s="71" t="str">
        <f aca="false">IF(AND($K$11&gt;0,MOD(Q$41-1-$I$35,$H$35)=0),"1 ","")&amp;IF(AND($L$11&gt;0,MOD(Q$41-1-$I$36,$H$36)=0),"2,5 ","")&amp;IF(AND($M$11&gt;0,MOD(Q$41-1-$I$37,$H$37)=0),"5 ","")&amp;IF(AND($N$11&gt;0,MOD(Q$41-1-$I$38,$H$38)=0),"10 ","")</f>
        <v>1 2,5 5 </v>
      </c>
      <c r="R46" s="71" t="str">
        <f aca="false">IF(AND($K$11&gt;0,MOD(R$41-1-$I$35,$H$35)=0),"1 ","")&amp;IF(AND($L$11&gt;0,MOD(R$41-1-$I$36,$H$36)=0),"2,5 ","")&amp;IF(AND($M$11&gt;0,MOD(R$41-1-$I$37,$H$37)=0),"5 ","")&amp;IF(AND($N$11&gt;0,MOD(R$41-1-$I$38,$H$38)=0),"10 ","")</f>
        <v>1 2,5 5 10 </v>
      </c>
      <c r="S46" s="71" t="str">
        <f aca="false">IF(AND($K$11&gt;0,MOD(S$41-1-$I$35,$H$35)=0),"1 ","")&amp;IF(AND($L$11&gt;0,MOD(S$41-1-$I$36,$H$36)=0),"2,5 ","")&amp;IF(AND($M$11&gt;0,MOD(S$41-1-$I$37,$H$37)=0),"5 ","")&amp;IF(AND($N$11&gt;0,MOD(S$41-1-$I$38,$H$38)=0),"10 ","")</f>
        <v>1 2,5 5 </v>
      </c>
      <c r="T46" s="71" t="str">
        <f aca="false">IF(AND($K$11&gt;0,MOD(T$41-1-$I$35,$H$35)=0),"1 ","")&amp;IF(AND($L$11&gt;0,MOD(T$41-1-$I$36,$H$36)=0),"2,5 ","")&amp;IF(AND($M$11&gt;0,MOD(T$41-1-$I$37,$H$37)=0),"5 ","")&amp;IF(AND($N$11&gt;0,MOD(T$41-1-$I$38,$H$38)=0),"10 ","")</f>
        <v>1 2,5 5 10 </v>
      </c>
      <c r="U46" s="71" t="str">
        <f aca="false">IF(AND($K$11&gt;0,MOD(U$41-1-$I$35,$H$35)=0),"1 ","")&amp;IF(AND($L$11&gt;0,MOD(U$41-1-$I$36,$H$36)=0),"2,5 ","")&amp;IF(AND($M$11&gt;0,MOD(U$41-1-$I$37,$H$37)=0),"5 ","")&amp;IF(AND($N$11&gt;0,MOD(U$41-1-$I$38,$H$38)=0),"10 ","")</f>
        <v>1 2,5 5 </v>
      </c>
      <c r="V46" s="71" t="str">
        <f aca="false">IF(AND($K$11&gt;0,MOD(V$41-1-$I$35,$H$35)=0),"1 ","")&amp;IF(AND($L$11&gt;0,MOD(V$41-1-$I$36,$H$36)=0),"2,5 ","")&amp;IF(AND($M$11&gt;0,MOD(V$41-1-$I$37,$H$37)=0),"5 ","")&amp;IF(AND($N$11&gt;0,MOD(V$41-1-$I$38,$H$38)=0),"10 ","")</f>
        <v>1 2,5 5 10 </v>
      </c>
    </row>
    <row r="47" customFormat="false" ht="15.75" hidden="false" customHeight="true" outlineLevel="0" collapsed="false">
      <c r="B47" s="48" t="s">
        <v>640</v>
      </c>
      <c r="C47" s="72" t="n">
        <f aca="false">IF($H$11=0,0,(IF(AND($K$11&gt;0,MOD(C$41-1-$I$35,$H$35)=0),$K$11*$H$35+IF(OR($D$11="No",AND($E$11="Sí",$F$11&gt;=2)),0,$C$11),0)+IF(AND($L$11&gt;0,MOD(C$41-1-$I$36,$H$36)=0),$L$11*$H$36+IF(OR($D$11="No"),0,$C$11),0)+IF(AND($M$11&gt;0,MOD(C$41-1-$I$37,$H$37)=0),$M$11*$H$37+IF(OR($D$11="No"),0,$C$11),0)+IF(AND($N$11&gt;0,MOD(C$41-1-$I$38,$H$38)=0),$N$11*$H$38+IF(OR($D$11="No"),0,$C$11),0))/$H$11)</f>
        <v>0.372971767594847</v>
      </c>
      <c r="D47" s="72" t="n">
        <f aca="false">IF($H$11=0,0,(IF(AND($K$11&gt;0,MOD(D$41-1-$I$35,$H$35)=0),$K$11*$H$35+IF(OR($D$11="No",AND($E$11="Sí",$F$11&gt;=2)),0,$C$11),0)+IF(AND($L$11&gt;0,MOD(D$41-1-$I$36,$H$36)=0),$L$11*$H$36+IF(OR($D$11="No"),0,$C$11),0)+IF(AND($M$11&gt;0,MOD(D$41-1-$I$37,$H$37)=0),$M$11*$H$37+IF(OR($D$11="No"),0,$C$11),0)+IF(AND($N$11&gt;0,MOD(D$41-1-$I$38,$H$38)=0),$N$11*$H$38+IF(OR($D$11="No"),0,$C$11),0))/$H$11)</f>
        <v>0.393740198902708</v>
      </c>
      <c r="E47" s="72" t="n">
        <f aca="false">IF($H$11=0,0,(IF(AND($K$11&gt;0,MOD(E$41-1-$I$35,$H$35)=0),$K$11*$H$35+IF(OR($D$11="No",AND($E$11="Sí",$F$11&gt;=2)),0,$C$11),0)+IF(AND($L$11&gt;0,MOD(E$41-1-$I$36,$H$36)=0),$L$11*$H$36+IF(OR($D$11="No"),0,$C$11),0)+IF(AND($M$11&gt;0,MOD(E$41-1-$I$37,$H$37)=0),$M$11*$H$37+IF(OR($D$11="No"),0,$C$11),0)+IF(AND($N$11&gt;0,MOD(E$41-1-$I$38,$H$38)=0),$N$11*$H$38+IF(OR($D$11="No"),0,$C$11),0))/$H$11)</f>
        <v>0.372971767594847</v>
      </c>
      <c r="F47" s="72" t="n">
        <f aca="false">IF($H$11=0,0,(IF(AND($K$11&gt;0,MOD(F$41-1-$I$35,$H$35)=0),$K$11*$H$35+IF(OR($D$11="No",AND($E$11="Sí",$F$11&gt;=2)),0,$C$11),0)+IF(AND($L$11&gt;0,MOD(F$41-1-$I$36,$H$36)=0),$L$11*$H$36+IF(OR($D$11="No"),0,$C$11),0)+IF(AND($M$11&gt;0,MOD(F$41-1-$I$37,$H$37)=0),$M$11*$H$37+IF(OR($D$11="No"),0,$C$11),0)+IF(AND($N$11&gt;0,MOD(F$41-1-$I$38,$H$38)=0),$N$11*$H$38+IF(OR($D$11="No"),0,$C$11),0))/$H$11)</f>
        <v>0.393740198902708</v>
      </c>
      <c r="G47" s="72" t="n">
        <f aca="false">IF($H$11=0,0,(IF(AND($K$11&gt;0,MOD(G$41-1-$I$35,$H$35)=0),$K$11*$H$35+IF(OR($D$11="No",AND($E$11="Sí",$F$11&gt;=2)),0,$C$11),0)+IF(AND($L$11&gt;0,MOD(G$41-1-$I$36,$H$36)=0),$L$11*$H$36+IF(OR($D$11="No"),0,$C$11),0)+IF(AND($M$11&gt;0,MOD(G$41-1-$I$37,$H$37)=0),$M$11*$H$37+IF(OR($D$11="No"),0,$C$11),0)+IF(AND($N$11&gt;0,MOD(G$41-1-$I$38,$H$38)=0),$N$11*$H$38+IF(OR($D$11="No"),0,$C$11),0))/$H$11)</f>
        <v>0.372971767594847</v>
      </c>
      <c r="H47" s="72" t="n">
        <f aca="false">IF($H$11=0,0,(IF(AND($K$11&gt;0,MOD(H$41-1-$I$35,$H$35)=0),$K$11*$H$35+IF(OR($D$11="No",AND($E$11="Sí",$F$11&gt;=2)),0,$C$11),0)+IF(AND($L$11&gt;0,MOD(H$41-1-$I$36,$H$36)=0),$L$11*$H$36+IF(OR($D$11="No"),0,$C$11),0)+IF(AND($M$11&gt;0,MOD(H$41-1-$I$37,$H$37)=0),$M$11*$H$37+IF(OR($D$11="No"),0,$C$11),0)+IF(AND($N$11&gt;0,MOD(H$41-1-$I$38,$H$38)=0),$N$11*$H$38+IF(OR($D$11="No"),0,$C$11),0))/$H$11)</f>
        <v>0.393740198902708</v>
      </c>
      <c r="I47" s="72" t="n">
        <f aca="false">IF($H$11=0,0,(IF(AND($K$11&gt;0,MOD(I$41-1-$I$35,$H$35)=0),$K$11*$H$35+IF(OR($D$11="No",AND($E$11="Sí",$F$11&gt;=2)),0,$C$11),0)+IF(AND($L$11&gt;0,MOD(I$41-1-$I$36,$H$36)=0),$L$11*$H$36+IF(OR($D$11="No"),0,$C$11),0)+IF(AND($M$11&gt;0,MOD(I$41-1-$I$37,$H$37)=0),$M$11*$H$37+IF(OR($D$11="No"),0,$C$11),0)+IF(AND($N$11&gt;0,MOD(I$41-1-$I$38,$H$38)=0),$N$11*$H$38+IF(OR($D$11="No"),0,$C$11),0))/$H$11)</f>
        <v>0.372971767594847</v>
      </c>
      <c r="J47" s="72" t="n">
        <f aca="false">IF($H$11=0,0,(IF(AND($K$11&gt;0,MOD(J$41-1-$I$35,$H$35)=0),$K$11*$H$35+IF(OR($D$11="No",AND($E$11="Sí",$F$11&gt;=2)),0,$C$11),0)+IF(AND($L$11&gt;0,MOD(J$41-1-$I$36,$H$36)=0),$L$11*$H$36+IF(OR($D$11="No"),0,$C$11),0)+IF(AND($M$11&gt;0,MOD(J$41-1-$I$37,$H$37)=0),$M$11*$H$37+IF(OR($D$11="No"),0,$C$11),0)+IF(AND($N$11&gt;0,MOD(J$41-1-$I$38,$H$38)=0),$N$11*$H$38+IF(OR($D$11="No"),0,$C$11),0))/$H$11)</f>
        <v>0.393740198902708</v>
      </c>
      <c r="K47" s="72" t="n">
        <f aca="false">IF($H$11=0,0,(IF(AND($K$11&gt;0,MOD(K$41-1-$I$35,$H$35)=0),$K$11*$H$35+IF(OR($D$11="No",AND($E$11="Sí",$F$11&gt;=2)),0,$C$11),0)+IF(AND($L$11&gt;0,MOD(K$41-1-$I$36,$H$36)=0),$L$11*$H$36+IF(OR($D$11="No"),0,$C$11),0)+IF(AND($M$11&gt;0,MOD(K$41-1-$I$37,$H$37)=0),$M$11*$H$37+IF(OR($D$11="No"),0,$C$11),0)+IF(AND($N$11&gt;0,MOD(K$41-1-$I$38,$H$38)=0),$N$11*$H$38+IF(OR($D$11="No"),0,$C$11),0))/$H$11)</f>
        <v>0.372971767594847</v>
      </c>
      <c r="L47" s="72" t="n">
        <f aca="false">IF($H$11=0,0,(IF(AND($K$11&gt;0,MOD(L$41-1-$I$35,$H$35)=0),$K$11*$H$35+IF(OR($D$11="No",AND($E$11="Sí",$F$11&gt;=2)),0,$C$11),0)+IF(AND($L$11&gt;0,MOD(L$41-1-$I$36,$H$36)=0),$L$11*$H$36+IF(OR($D$11="No"),0,$C$11),0)+IF(AND($M$11&gt;0,MOD(L$41-1-$I$37,$H$37)=0),$M$11*$H$37+IF(OR($D$11="No"),0,$C$11),0)+IF(AND($N$11&gt;0,MOD(L$41-1-$I$38,$H$38)=0),$N$11*$H$38+IF(OR($D$11="No"),0,$C$11),0))/$H$11)</f>
        <v>0.393740198902708</v>
      </c>
      <c r="M47" s="72" t="n">
        <f aca="false">IF($H$11=0,0,(IF(AND($K$11&gt;0,MOD(M$41-1-$I$35,$H$35)=0),$K$11*$H$35+IF(OR($D$11="No",AND($E$11="Sí",$F$11&gt;=2)),0,$C$11),0)+IF(AND($L$11&gt;0,MOD(M$41-1-$I$36,$H$36)=0),$L$11*$H$36+IF(OR($D$11="No"),0,$C$11),0)+IF(AND($M$11&gt;0,MOD(M$41-1-$I$37,$H$37)=0),$M$11*$H$37+IF(OR($D$11="No"),0,$C$11),0)+IF(AND($N$11&gt;0,MOD(M$41-1-$I$38,$H$38)=0),$N$11*$H$38+IF(OR($D$11="No"),0,$C$11),0))/$H$11)</f>
        <v>0.372971767594847</v>
      </c>
      <c r="N47" s="72" t="n">
        <f aca="false">IF($H$11=0,0,(IF(AND($K$11&gt;0,MOD(N$41-1-$I$35,$H$35)=0),$K$11*$H$35+IF(OR($D$11="No",AND($E$11="Sí",$F$11&gt;=2)),0,$C$11),0)+IF(AND($L$11&gt;0,MOD(N$41-1-$I$36,$H$36)=0),$L$11*$H$36+IF(OR($D$11="No"),0,$C$11),0)+IF(AND($M$11&gt;0,MOD(N$41-1-$I$37,$H$37)=0),$M$11*$H$37+IF(OR($D$11="No"),0,$C$11),0)+IF(AND($N$11&gt;0,MOD(N$41-1-$I$38,$H$38)=0),$N$11*$H$38+IF(OR($D$11="No"),0,$C$11),0))/$H$11)</f>
        <v>0.393740198902708</v>
      </c>
      <c r="O47" s="72" t="n">
        <f aca="false">IF($H$11=0,0,(IF(AND($K$11&gt;0,MOD(O$41-1-$I$35,$H$35)=0),$K$11*$H$35+IF(OR($D$11="No",AND($E$11="Sí",$F$11&gt;=2)),0,$C$11),0)+IF(AND($L$11&gt;0,MOD(O$41-1-$I$36,$H$36)=0),$L$11*$H$36+IF(OR($D$11="No"),0,$C$11),0)+IF(AND($M$11&gt;0,MOD(O$41-1-$I$37,$H$37)=0),$M$11*$H$37+IF(OR($D$11="No"),0,$C$11),0)+IF(AND($N$11&gt;0,MOD(O$41-1-$I$38,$H$38)=0),$N$11*$H$38+IF(OR($D$11="No"),0,$C$11),0))/$H$11)</f>
        <v>0.372971767594847</v>
      </c>
      <c r="P47" s="72" t="n">
        <f aca="false">IF($H$11=0,0,(IF(AND($K$11&gt;0,MOD(P$41-1-$I$35,$H$35)=0),$K$11*$H$35+IF(OR($D$11="No",AND($E$11="Sí",$F$11&gt;=2)),0,$C$11),0)+IF(AND($L$11&gt;0,MOD(P$41-1-$I$36,$H$36)=0),$L$11*$H$36+IF(OR($D$11="No"),0,$C$11),0)+IF(AND($M$11&gt;0,MOD(P$41-1-$I$37,$H$37)=0),$M$11*$H$37+IF(OR($D$11="No"),0,$C$11),0)+IF(AND($N$11&gt;0,MOD(P$41-1-$I$38,$H$38)=0),$N$11*$H$38+IF(OR($D$11="No"),0,$C$11),0))/$H$11)</f>
        <v>0.393740198902708</v>
      </c>
      <c r="Q47" s="72" t="n">
        <f aca="false">IF($H$11=0,0,(IF(AND($K$11&gt;0,MOD(Q$41-1-$I$35,$H$35)=0),$K$11*$H$35+IF(OR($D$11="No",AND($E$11="Sí",$F$11&gt;=2)),0,$C$11),0)+IF(AND($L$11&gt;0,MOD(Q$41-1-$I$36,$H$36)=0),$L$11*$H$36+IF(OR($D$11="No"),0,$C$11),0)+IF(AND($M$11&gt;0,MOD(Q$41-1-$I$37,$H$37)=0),$M$11*$H$37+IF(OR($D$11="No"),0,$C$11),0)+IF(AND($N$11&gt;0,MOD(Q$41-1-$I$38,$H$38)=0),$N$11*$H$38+IF(OR($D$11="No"),0,$C$11),0))/$H$11)</f>
        <v>0.372971767594847</v>
      </c>
      <c r="R47" s="72" t="n">
        <f aca="false">IF($H$11=0,0,(IF(AND($K$11&gt;0,MOD(R$41-1-$I$35,$H$35)=0),$K$11*$H$35+IF(OR($D$11="No",AND($E$11="Sí",$F$11&gt;=2)),0,$C$11),0)+IF(AND($L$11&gt;0,MOD(R$41-1-$I$36,$H$36)=0),$L$11*$H$36+IF(OR($D$11="No"),0,$C$11),0)+IF(AND($M$11&gt;0,MOD(R$41-1-$I$37,$H$37)=0),$M$11*$H$37+IF(OR($D$11="No"),0,$C$11),0)+IF(AND($N$11&gt;0,MOD(R$41-1-$I$38,$H$38)=0),$N$11*$H$38+IF(OR($D$11="No"),0,$C$11),0))/$H$11)</f>
        <v>0.393740198902708</v>
      </c>
      <c r="S47" s="72" t="n">
        <f aca="false">IF($H$11=0,0,(IF(AND($K$11&gt;0,MOD(S$41-1-$I$35,$H$35)=0),$K$11*$H$35+IF(OR($D$11="No",AND($E$11="Sí",$F$11&gt;=2)),0,$C$11),0)+IF(AND($L$11&gt;0,MOD(S$41-1-$I$36,$H$36)=0),$L$11*$H$36+IF(OR($D$11="No"),0,$C$11),0)+IF(AND($M$11&gt;0,MOD(S$41-1-$I$37,$H$37)=0),$M$11*$H$37+IF(OR($D$11="No"),0,$C$11),0)+IF(AND($N$11&gt;0,MOD(S$41-1-$I$38,$H$38)=0),$N$11*$H$38+IF(OR($D$11="No"),0,$C$11),0))/$H$11)</f>
        <v>0.372971767594847</v>
      </c>
      <c r="T47" s="72" t="n">
        <f aca="false">IF($H$11=0,0,(IF(AND($K$11&gt;0,MOD(T$41-1-$I$35,$H$35)=0),$K$11*$H$35+IF(OR($D$11="No",AND($E$11="Sí",$F$11&gt;=2)),0,$C$11),0)+IF(AND($L$11&gt;0,MOD(T$41-1-$I$36,$H$36)=0),$L$11*$H$36+IF(OR($D$11="No"),0,$C$11),0)+IF(AND($M$11&gt;0,MOD(T$41-1-$I$37,$H$37)=0),$M$11*$H$37+IF(OR($D$11="No"),0,$C$11),0)+IF(AND($N$11&gt;0,MOD(T$41-1-$I$38,$H$38)=0),$N$11*$H$38+IF(OR($D$11="No"),0,$C$11),0))/$H$11)</f>
        <v>0.393740198902708</v>
      </c>
      <c r="U47" s="72" t="n">
        <f aca="false">IF($H$11=0,0,(IF(AND($K$11&gt;0,MOD(U$41-1-$I$35,$H$35)=0),$K$11*$H$35+IF(OR($D$11="No",AND($E$11="Sí",$F$11&gt;=2)),0,$C$11),0)+IF(AND($L$11&gt;0,MOD(U$41-1-$I$36,$H$36)=0),$L$11*$H$36+IF(OR($D$11="No"),0,$C$11),0)+IF(AND($M$11&gt;0,MOD(U$41-1-$I$37,$H$37)=0),$M$11*$H$37+IF(OR($D$11="No"),0,$C$11),0)+IF(AND($N$11&gt;0,MOD(U$41-1-$I$38,$H$38)=0),$N$11*$H$38+IF(OR($D$11="No"),0,$C$11),0))/$H$11)</f>
        <v>0.372971767594847</v>
      </c>
      <c r="V47" s="72" t="n">
        <f aca="false">IF($H$11=0,0,(IF(AND($K$11&gt;0,MOD(V$41-1-$I$35,$H$35)=0),$K$11*$H$35+IF(OR($D$11="No",AND($E$11="Sí",$F$11&gt;=2)),0,$C$11),0)+IF(AND($L$11&gt;0,MOD(V$41-1-$I$36,$H$36)=0),$L$11*$H$36+IF(OR($D$11="No"),0,$C$11),0)+IF(AND($M$11&gt;0,MOD(V$41-1-$I$37,$H$37)=0),$M$11*$H$37+IF(OR($D$11="No"),0,$C$11),0)+IF(AND($N$11&gt;0,MOD(V$41-1-$I$38,$H$38)=0),$N$11*$H$38+IF(OR($D$11="No"),0,$C$11),0))/$H$11)</f>
        <v>0.393740198902708</v>
      </c>
    </row>
    <row r="48" customFormat="false" ht="15.75" hidden="false" customHeight="true" outlineLevel="0" collapsed="false">
      <c r="B48" s="70" t="str">
        <f aca="false">Carga!B42</f>
        <v>Soldadura longitudinal — 2,5 a 10 kg</v>
      </c>
      <c r="C48" s="71" t="str">
        <f aca="false">IF(AND($K$12&gt;0,MOD(C$41-1-$I$35,$H$35)=0),"1 ","")&amp;IF(AND($L$12&gt;0,MOD(C$41-1-$I$36,$H$36)=0),"2,5 ","")&amp;IF(AND($M$12&gt;0,MOD(C$41-1-$I$37,$H$37)=0),"5 ","")&amp;IF(AND($N$12&gt;0,MOD(C$41-1-$I$38,$H$38)=0),"10 ","")</f>
        <v>2,5 5 </v>
      </c>
      <c r="D48" s="71" t="str">
        <f aca="false">IF(AND($K$12&gt;0,MOD(D$41-1-$I$35,$H$35)=0),"1 ","")&amp;IF(AND($L$12&gt;0,MOD(D$41-1-$I$36,$H$36)=0),"2,5 ","")&amp;IF(AND($M$12&gt;0,MOD(D$41-1-$I$37,$H$37)=0),"5 ","")&amp;IF(AND($N$12&gt;0,MOD(D$41-1-$I$38,$H$38)=0),"10 ","")</f>
        <v>2,5 5 10 </v>
      </c>
      <c r="E48" s="71" t="str">
        <f aca="false">IF(AND($K$12&gt;0,MOD(E$41-1-$I$35,$H$35)=0),"1 ","")&amp;IF(AND($L$12&gt;0,MOD(E$41-1-$I$36,$H$36)=0),"2,5 ","")&amp;IF(AND($M$12&gt;0,MOD(E$41-1-$I$37,$H$37)=0),"5 ","")&amp;IF(AND($N$12&gt;0,MOD(E$41-1-$I$38,$H$38)=0),"10 ","")</f>
        <v>2,5 5 </v>
      </c>
      <c r="F48" s="71" t="str">
        <f aca="false">IF(AND($K$12&gt;0,MOD(F$41-1-$I$35,$H$35)=0),"1 ","")&amp;IF(AND($L$12&gt;0,MOD(F$41-1-$I$36,$H$36)=0),"2,5 ","")&amp;IF(AND($M$12&gt;0,MOD(F$41-1-$I$37,$H$37)=0),"5 ","")&amp;IF(AND($N$12&gt;0,MOD(F$41-1-$I$38,$H$38)=0),"10 ","")</f>
        <v>2,5 5 10 </v>
      </c>
      <c r="G48" s="71" t="str">
        <f aca="false">IF(AND($K$12&gt;0,MOD(G$41-1-$I$35,$H$35)=0),"1 ","")&amp;IF(AND($L$12&gt;0,MOD(G$41-1-$I$36,$H$36)=0),"2,5 ","")&amp;IF(AND($M$12&gt;0,MOD(G$41-1-$I$37,$H$37)=0),"5 ","")&amp;IF(AND($N$12&gt;0,MOD(G$41-1-$I$38,$H$38)=0),"10 ","")</f>
        <v>2,5 5 </v>
      </c>
      <c r="H48" s="71" t="str">
        <f aca="false">IF(AND($K$12&gt;0,MOD(H$41-1-$I$35,$H$35)=0),"1 ","")&amp;IF(AND($L$12&gt;0,MOD(H$41-1-$I$36,$H$36)=0),"2,5 ","")&amp;IF(AND($M$12&gt;0,MOD(H$41-1-$I$37,$H$37)=0),"5 ","")&amp;IF(AND($N$12&gt;0,MOD(H$41-1-$I$38,$H$38)=0),"10 ","")</f>
        <v>2,5 5 10 </v>
      </c>
      <c r="I48" s="71" t="str">
        <f aca="false">IF(AND($K$12&gt;0,MOD(I$41-1-$I$35,$H$35)=0),"1 ","")&amp;IF(AND($L$12&gt;0,MOD(I$41-1-$I$36,$H$36)=0),"2,5 ","")&amp;IF(AND($M$12&gt;0,MOD(I$41-1-$I$37,$H$37)=0),"5 ","")&amp;IF(AND($N$12&gt;0,MOD(I$41-1-$I$38,$H$38)=0),"10 ","")</f>
        <v>2,5 5 </v>
      </c>
      <c r="J48" s="71" t="str">
        <f aca="false">IF(AND($K$12&gt;0,MOD(J$41-1-$I$35,$H$35)=0),"1 ","")&amp;IF(AND($L$12&gt;0,MOD(J$41-1-$I$36,$H$36)=0),"2,5 ","")&amp;IF(AND($M$12&gt;0,MOD(J$41-1-$I$37,$H$37)=0),"5 ","")&amp;IF(AND($N$12&gt;0,MOD(J$41-1-$I$38,$H$38)=0),"10 ","")</f>
        <v>2,5 5 10 </v>
      </c>
      <c r="K48" s="71" t="str">
        <f aca="false">IF(AND($K$12&gt;0,MOD(K$41-1-$I$35,$H$35)=0),"1 ","")&amp;IF(AND($L$12&gt;0,MOD(K$41-1-$I$36,$H$36)=0),"2,5 ","")&amp;IF(AND($M$12&gt;0,MOD(K$41-1-$I$37,$H$37)=0),"5 ","")&amp;IF(AND($N$12&gt;0,MOD(K$41-1-$I$38,$H$38)=0),"10 ","")</f>
        <v>2,5 5 </v>
      </c>
      <c r="L48" s="71" t="str">
        <f aca="false">IF(AND($K$12&gt;0,MOD(L$41-1-$I$35,$H$35)=0),"1 ","")&amp;IF(AND($L$12&gt;0,MOD(L$41-1-$I$36,$H$36)=0),"2,5 ","")&amp;IF(AND($M$12&gt;0,MOD(L$41-1-$I$37,$H$37)=0),"5 ","")&amp;IF(AND($N$12&gt;0,MOD(L$41-1-$I$38,$H$38)=0),"10 ","")</f>
        <v>2,5 5 10 </v>
      </c>
      <c r="M48" s="71" t="str">
        <f aca="false">IF(AND($K$12&gt;0,MOD(M$41-1-$I$35,$H$35)=0),"1 ","")&amp;IF(AND($L$12&gt;0,MOD(M$41-1-$I$36,$H$36)=0),"2,5 ","")&amp;IF(AND($M$12&gt;0,MOD(M$41-1-$I$37,$H$37)=0),"5 ","")&amp;IF(AND($N$12&gt;0,MOD(M$41-1-$I$38,$H$38)=0),"10 ","")</f>
        <v>2,5 5 </v>
      </c>
      <c r="N48" s="71" t="str">
        <f aca="false">IF(AND($K$12&gt;0,MOD(N$41-1-$I$35,$H$35)=0),"1 ","")&amp;IF(AND($L$12&gt;0,MOD(N$41-1-$I$36,$H$36)=0),"2,5 ","")&amp;IF(AND($M$12&gt;0,MOD(N$41-1-$I$37,$H$37)=0),"5 ","")&amp;IF(AND($N$12&gt;0,MOD(N$41-1-$I$38,$H$38)=0),"10 ","")</f>
        <v>2,5 5 10 </v>
      </c>
      <c r="O48" s="71" t="str">
        <f aca="false">IF(AND($K$12&gt;0,MOD(O$41-1-$I$35,$H$35)=0),"1 ","")&amp;IF(AND($L$12&gt;0,MOD(O$41-1-$I$36,$H$36)=0),"2,5 ","")&amp;IF(AND($M$12&gt;0,MOD(O$41-1-$I$37,$H$37)=0),"5 ","")&amp;IF(AND($N$12&gt;0,MOD(O$41-1-$I$38,$H$38)=0),"10 ","")</f>
        <v>2,5 5 </v>
      </c>
      <c r="P48" s="71" t="str">
        <f aca="false">IF(AND($K$12&gt;0,MOD(P$41-1-$I$35,$H$35)=0),"1 ","")&amp;IF(AND($L$12&gt;0,MOD(P$41-1-$I$36,$H$36)=0),"2,5 ","")&amp;IF(AND($M$12&gt;0,MOD(P$41-1-$I$37,$H$37)=0),"5 ","")&amp;IF(AND($N$12&gt;0,MOD(P$41-1-$I$38,$H$38)=0),"10 ","")</f>
        <v>2,5 5 10 </v>
      </c>
      <c r="Q48" s="71" t="str">
        <f aca="false">IF(AND($K$12&gt;0,MOD(Q$41-1-$I$35,$H$35)=0),"1 ","")&amp;IF(AND($L$12&gt;0,MOD(Q$41-1-$I$36,$H$36)=0),"2,5 ","")&amp;IF(AND($M$12&gt;0,MOD(Q$41-1-$I$37,$H$37)=0),"5 ","")&amp;IF(AND($N$12&gt;0,MOD(Q$41-1-$I$38,$H$38)=0),"10 ","")</f>
        <v>2,5 5 </v>
      </c>
      <c r="R48" s="71" t="str">
        <f aca="false">IF(AND($K$12&gt;0,MOD(R$41-1-$I$35,$H$35)=0),"1 ","")&amp;IF(AND($L$12&gt;0,MOD(R$41-1-$I$36,$H$36)=0),"2,5 ","")&amp;IF(AND($M$12&gt;0,MOD(R$41-1-$I$37,$H$37)=0),"5 ","")&amp;IF(AND($N$12&gt;0,MOD(R$41-1-$I$38,$H$38)=0),"10 ","")</f>
        <v>2,5 5 10 </v>
      </c>
      <c r="S48" s="71" t="str">
        <f aca="false">IF(AND($K$12&gt;0,MOD(S$41-1-$I$35,$H$35)=0),"1 ","")&amp;IF(AND($L$12&gt;0,MOD(S$41-1-$I$36,$H$36)=0),"2,5 ","")&amp;IF(AND($M$12&gt;0,MOD(S$41-1-$I$37,$H$37)=0),"5 ","")&amp;IF(AND($N$12&gt;0,MOD(S$41-1-$I$38,$H$38)=0),"10 ","")</f>
        <v>2,5 5 </v>
      </c>
      <c r="T48" s="71" t="str">
        <f aca="false">IF(AND($K$12&gt;0,MOD(T$41-1-$I$35,$H$35)=0),"1 ","")&amp;IF(AND($L$12&gt;0,MOD(T$41-1-$I$36,$H$36)=0),"2,5 ","")&amp;IF(AND($M$12&gt;0,MOD(T$41-1-$I$37,$H$37)=0),"5 ","")&amp;IF(AND($N$12&gt;0,MOD(T$41-1-$I$38,$H$38)=0),"10 ","")</f>
        <v>2,5 5 10 </v>
      </c>
      <c r="U48" s="71" t="str">
        <f aca="false">IF(AND($K$12&gt;0,MOD(U$41-1-$I$35,$H$35)=0),"1 ","")&amp;IF(AND($L$12&gt;0,MOD(U$41-1-$I$36,$H$36)=0),"2,5 ","")&amp;IF(AND($M$12&gt;0,MOD(U$41-1-$I$37,$H$37)=0),"5 ","")&amp;IF(AND($N$12&gt;0,MOD(U$41-1-$I$38,$H$38)=0),"10 ","")</f>
        <v>2,5 5 </v>
      </c>
      <c r="V48" s="71" t="str">
        <f aca="false">IF(AND($K$12&gt;0,MOD(V$41-1-$I$35,$H$35)=0),"1 ","")&amp;IF(AND($L$12&gt;0,MOD(V$41-1-$I$36,$H$36)=0),"2,5 ","")&amp;IF(AND($M$12&gt;0,MOD(V$41-1-$I$37,$H$37)=0),"5 ","")&amp;IF(AND($N$12&gt;0,MOD(V$41-1-$I$38,$H$38)=0),"10 ","")</f>
        <v>2,5 5 10 </v>
      </c>
    </row>
    <row r="49" customFormat="false" ht="15.75" hidden="false" customHeight="true" outlineLevel="0" collapsed="false">
      <c r="B49" s="48" t="s">
        <v>640</v>
      </c>
      <c r="C49" s="72" t="n">
        <f aca="false">IF($H$12=0,0,(IF(AND($K$12&gt;0,MOD(C$41-1-$I$35,$H$35)=0),$K$12*$H$35+IF(OR($D$12="No",AND($E$12="Sí",$F$12&gt;=2)),0,$C$12),0)+IF(AND($L$12&gt;0,MOD(C$41-1-$I$36,$H$36)=0),$L$12*$H$36+IF(OR($D$12="No"),0,$C$12),0)+IF(AND($M$12&gt;0,MOD(C$41-1-$I$37,$H$37)=0),$M$12*$H$37+IF(OR($D$12="No"),0,$C$12),0)+IF(AND($N$12&gt;0,MOD(C$41-1-$I$38,$H$38)=0),$N$12*$H$38+IF(OR($D$12="No"),0,$C$12),0))/$H$12)</f>
        <v>0.769520945054431</v>
      </c>
      <c r="D49" s="72" t="n">
        <f aca="false">IF($H$12=0,0,(IF(AND($K$12&gt;0,MOD(D$41-1-$I$35,$H$35)=0),$K$12*$H$35+IF(OR($D$12="No",AND($E$12="Sí",$F$12&gt;=2)),0,$C$12),0)+IF(AND($L$12&gt;0,MOD(D$41-1-$I$36,$H$36)=0),$L$12*$H$36+IF(OR($D$12="No"),0,$C$12),0)+IF(AND($M$12&gt;0,MOD(D$41-1-$I$37,$H$37)=0),$M$12*$H$37+IF(OR($D$12="No"),0,$C$12),0)+IF(AND($N$12&gt;0,MOD(D$41-1-$I$38,$H$38)=0),$N$12*$H$38+IF(OR($D$12="No"),0,$C$12),0))/$H$12)</f>
        <v>0.854671511007292</v>
      </c>
      <c r="E49" s="72" t="n">
        <f aca="false">IF($H$12=0,0,(IF(AND($K$12&gt;0,MOD(E$41-1-$I$35,$H$35)=0),$K$12*$H$35+IF(OR($D$12="No",AND($E$12="Sí",$F$12&gt;=2)),0,$C$12),0)+IF(AND($L$12&gt;0,MOD(E$41-1-$I$36,$H$36)=0),$L$12*$H$36+IF(OR($D$12="No"),0,$C$12),0)+IF(AND($M$12&gt;0,MOD(E$41-1-$I$37,$H$37)=0),$M$12*$H$37+IF(OR($D$12="No"),0,$C$12),0)+IF(AND($N$12&gt;0,MOD(E$41-1-$I$38,$H$38)=0),$N$12*$H$38+IF(OR($D$12="No"),0,$C$12),0))/$H$12)</f>
        <v>0.769520945054431</v>
      </c>
      <c r="F49" s="72" t="n">
        <f aca="false">IF($H$12=0,0,(IF(AND($K$12&gt;0,MOD(F$41-1-$I$35,$H$35)=0),$K$12*$H$35+IF(OR($D$12="No",AND($E$12="Sí",$F$12&gt;=2)),0,$C$12),0)+IF(AND($L$12&gt;0,MOD(F$41-1-$I$36,$H$36)=0),$L$12*$H$36+IF(OR($D$12="No"),0,$C$12),0)+IF(AND($M$12&gt;0,MOD(F$41-1-$I$37,$H$37)=0),$M$12*$H$37+IF(OR($D$12="No"),0,$C$12),0)+IF(AND($N$12&gt;0,MOD(F$41-1-$I$38,$H$38)=0),$N$12*$H$38+IF(OR($D$12="No"),0,$C$12),0))/$H$12)</f>
        <v>0.854671511007292</v>
      </c>
      <c r="G49" s="72" t="n">
        <f aca="false">IF($H$12=0,0,(IF(AND($K$12&gt;0,MOD(G$41-1-$I$35,$H$35)=0),$K$12*$H$35+IF(OR($D$12="No",AND($E$12="Sí",$F$12&gt;=2)),0,$C$12),0)+IF(AND($L$12&gt;0,MOD(G$41-1-$I$36,$H$36)=0),$L$12*$H$36+IF(OR($D$12="No"),0,$C$12),0)+IF(AND($M$12&gt;0,MOD(G$41-1-$I$37,$H$37)=0),$M$12*$H$37+IF(OR($D$12="No"),0,$C$12),0)+IF(AND($N$12&gt;0,MOD(G$41-1-$I$38,$H$38)=0),$N$12*$H$38+IF(OR($D$12="No"),0,$C$12),0))/$H$12)</f>
        <v>0.769520945054431</v>
      </c>
      <c r="H49" s="72" t="n">
        <f aca="false">IF($H$12=0,0,(IF(AND($K$12&gt;0,MOD(H$41-1-$I$35,$H$35)=0),$K$12*$H$35+IF(OR($D$12="No",AND($E$12="Sí",$F$12&gt;=2)),0,$C$12),0)+IF(AND($L$12&gt;0,MOD(H$41-1-$I$36,$H$36)=0),$L$12*$H$36+IF(OR($D$12="No"),0,$C$12),0)+IF(AND($M$12&gt;0,MOD(H$41-1-$I$37,$H$37)=0),$M$12*$H$37+IF(OR($D$12="No"),0,$C$12),0)+IF(AND($N$12&gt;0,MOD(H$41-1-$I$38,$H$38)=0),$N$12*$H$38+IF(OR($D$12="No"),0,$C$12),0))/$H$12)</f>
        <v>0.854671511007292</v>
      </c>
      <c r="I49" s="72" t="n">
        <f aca="false">IF($H$12=0,0,(IF(AND($K$12&gt;0,MOD(I$41-1-$I$35,$H$35)=0),$K$12*$H$35+IF(OR($D$12="No",AND($E$12="Sí",$F$12&gt;=2)),0,$C$12),0)+IF(AND($L$12&gt;0,MOD(I$41-1-$I$36,$H$36)=0),$L$12*$H$36+IF(OR($D$12="No"),0,$C$12),0)+IF(AND($M$12&gt;0,MOD(I$41-1-$I$37,$H$37)=0),$M$12*$H$37+IF(OR($D$12="No"),0,$C$12),0)+IF(AND($N$12&gt;0,MOD(I$41-1-$I$38,$H$38)=0),$N$12*$H$38+IF(OR($D$12="No"),0,$C$12),0))/$H$12)</f>
        <v>0.769520945054431</v>
      </c>
      <c r="J49" s="72" t="n">
        <f aca="false">IF($H$12=0,0,(IF(AND($K$12&gt;0,MOD(J$41-1-$I$35,$H$35)=0),$K$12*$H$35+IF(OR($D$12="No",AND($E$12="Sí",$F$12&gt;=2)),0,$C$12),0)+IF(AND($L$12&gt;0,MOD(J$41-1-$I$36,$H$36)=0),$L$12*$H$36+IF(OR($D$12="No"),0,$C$12),0)+IF(AND($M$12&gt;0,MOD(J$41-1-$I$37,$H$37)=0),$M$12*$H$37+IF(OR($D$12="No"),0,$C$12),0)+IF(AND($N$12&gt;0,MOD(J$41-1-$I$38,$H$38)=0),$N$12*$H$38+IF(OR($D$12="No"),0,$C$12),0))/$H$12)</f>
        <v>0.854671511007292</v>
      </c>
      <c r="K49" s="72" t="n">
        <f aca="false">IF($H$12=0,0,(IF(AND($K$12&gt;0,MOD(K$41-1-$I$35,$H$35)=0),$K$12*$H$35+IF(OR($D$12="No",AND($E$12="Sí",$F$12&gt;=2)),0,$C$12),0)+IF(AND($L$12&gt;0,MOD(K$41-1-$I$36,$H$36)=0),$L$12*$H$36+IF(OR($D$12="No"),0,$C$12),0)+IF(AND($M$12&gt;0,MOD(K$41-1-$I$37,$H$37)=0),$M$12*$H$37+IF(OR($D$12="No"),0,$C$12),0)+IF(AND($N$12&gt;0,MOD(K$41-1-$I$38,$H$38)=0),$N$12*$H$38+IF(OR($D$12="No"),0,$C$12),0))/$H$12)</f>
        <v>0.769520945054431</v>
      </c>
      <c r="L49" s="72" t="n">
        <f aca="false">IF($H$12=0,0,(IF(AND($K$12&gt;0,MOD(L$41-1-$I$35,$H$35)=0),$K$12*$H$35+IF(OR($D$12="No",AND($E$12="Sí",$F$12&gt;=2)),0,$C$12),0)+IF(AND($L$12&gt;0,MOD(L$41-1-$I$36,$H$36)=0),$L$12*$H$36+IF(OR($D$12="No"),0,$C$12),0)+IF(AND($M$12&gt;0,MOD(L$41-1-$I$37,$H$37)=0),$M$12*$H$37+IF(OR($D$12="No"),0,$C$12),0)+IF(AND($N$12&gt;0,MOD(L$41-1-$I$38,$H$38)=0),$N$12*$H$38+IF(OR($D$12="No"),0,$C$12),0))/$H$12)</f>
        <v>0.854671511007292</v>
      </c>
      <c r="M49" s="72" t="n">
        <f aca="false">IF($H$12=0,0,(IF(AND($K$12&gt;0,MOD(M$41-1-$I$35,$H$35)=0),$K$12*$H$35+IF(OR($D$12="No",AND($E$12="Sí",$F$12&gt;=2)),0,$C$12),0)+IF(AND($L$12&gt;0,MOD(M$41-1-$I$36,$H$36)=0),$L$12*$H$36+IF(OR($D$12="No"),0,$C$12),0)+IF(AND($M$12&gt;0,MOD(M$41-1-$I$37,$H$37)=0),$M$12*$H$37+IF(OR($D$12="No"),0,$C$12),0)+IF(AND($N$12&gt;0,MOD(M$41-1-$I$38,$H$38)=0),$N$12*$H$38+IF(OR($D$12="No"),0,$C$12),0))/$H$12)</f>
        <v>0.769520945054431</v>
      </c>
      <c r="N49" s="72" t="n">
        <f aca="false">IF($H$12=0,0,(IF(AND($K$12&gt;0,MOD(N$41-1-$I$35,$H$35)=0),$K$12*$H$35+IF(OR($D$12="No",AND($E$12="Sí",$F$12&gt;=2)),0,$C$12),0)+IF(AND($L$12&gt;0,MOD(N$41-1-$I$36,$H$36)=0),$L$12*$H$36+IF(OR($D$12="No"),0,$C$12),0)+IF(AND($M$12&gt;0,MOD(N$41-1-$I$37,$H$37)=0),$M$12*$H$37+IF(OR($D$12="No"),0,$C$12),0)+IF(AND($N$12&gt;0,MOD(N$41-1-$I$38,$H$38)=0),$N$12*$H$38+IF(OR($D$12="No"),0,$C$12),0))/$H$12)</f>
        <v>0.854671511007292</v>
      </c>
      <c r="O49" s="72" t="n">
        <f aca="false">IF($H$12=0,0,(IF(AND($K$12&gt;0,MOD(O$41-1-$I$35,$H$35)=0),$K$12*$H$35+IF(OR($D$12="No",AND($E$12="Sí",$F$12&gt;=2)),0,$C$12),0)+IF(AND($L$12&gt;0,MOD(O$41-1-$I$36,$H$36)=0),$L$12*$H$36+IF(OR($D$12="No"),0,$C$12),0)+IF(AND($M$12&gt;0,MOD(O$41-1-$I$37,$H$37)=0),$M$12*$H$37+IF(OR($D$12="No"),0,$C$12),0)+IF(AND($N$12&gt;0,MOD(O$41-1-$I$38,$H$38)=0),$N$12*$H$38+IF(OR($D$12="No"),0,$C$12),0))/$H$12)</f>
        <v>0.769520945054431</v>
      </c>
      <c r="P49" s="72" t="n">
        <f aca="false">IF($H$12=0,0,(IF(AND($K$12&gt;0,MOD(P$41-1-$I$35,$H$35)=0),$K$12*$H$35+IF(OR($D$12="No",AND($E$12="Sí",$F$12&gt;=2)),0,$C$12),0)+IF(AND($L$12&gt;0,MOD(P$41-1-$I$36,$H$36)=0),$L$12*$H$36+IF(OR($D$12="No"),0,$C$12),0)+IF(AND($M$12&gt;0,MOD(P$41-1-$I$37,$H$37)=0),$M$12*$H$37+IF(OR($D$12="No"),0,$C$12),0)+IF(AND($N$12&gt;0,MOD(P$41-1-$I$38,$H$38)=0),$N$12*$H$38+IF(OR($D$12="No"),0,$C$12),0))/$H$12)</f>
        <v>0.854671511007292</v>
      </c>
      <c r="Q49" s="72" t="n">
        <f aca="false">IF($H$12=0,0,(IF(AND($K$12&gt;0,MOD(Q$41-1-$I$35,$H$35)=0),$K$12*$H$35+IF(OR($D$12="No",AND($E$12="Sí",$F$12&gt;=2)),0,$C$12),0)+IF(AND($L$12&gt;0,MOD(Q$41-1-$I$36,$H$36)=0),$L$12*$H$36+IF(OR($D$12="No"),0,$C$12),0)+IF(AND($M$12&gt;0,MOD(Q$41-1-$I$37,$H$37)=0),$M$12*$H$37+IF(OR($D$12="No"),0,$C$12),0)+IF(AND($N$12&gt;0,MOD(Q$41-1-$I$38,$H$38)=0),$N$12*$H$38+IF(OR($D$12="No"),0,$C$12),0))/$H$12)</f>
        <v>0.769520945054431</v>
      </c>
      <c r="R49" s="72" t="n">
        <f aca="false">IF($H$12=0,0,(IF(AND($K$12&gt;0,MOD(R$41-1-$I$35,$H$35)=0),$K$12*$H$35+IF(OR($D$12="No",AND($E$12="Sí",$F$12&gt;=2)),0,$C$12),0)+IF(AND($L$12&gt;0,MOD(R$41-1-$I$36,$H$36)=0),$L$12*$H$36+IF(OR($D$12="No"),0,$C$12),0)+IF(AND($M$12&gt;0,MOD(R$41-1-$I$37,$H$37)=0),$M$12*$H$37+IF(OR($D$12="No"),0,$C$12),0)+IF(AND($N$12&gt;0,MOD(R$41-1-$I$38,$H$38)=0),$N$12*$H$38+IF(OR($D$12="No"),0,$C$12),0))/$H$12)</f>
        <v>0.854671511007292</v>
      </c>
      <c r="S49" s="72" t="n">
        <f aca="false">IF($H$12=0,0,(IF(AND($K$12&gt;0,MOD(S$41-1-$I$35,$H$35)=0),$K$12*$H$35+IF(OR($D$12="No",AND($E$12="Sí",$F$12&gt;=2)),0,$C$12),0)+IF(AND($L$12&gt;0,MOD(S$41-1-$I$36,$H$36)=0),$L$12*$H$36+IF(OR($D$12="No"),0,$C$12),0)+IF(AND($M$12&gt;0,MOD(S$41-1-$I$37,$H$37)=0),$M$12*$H$37+IF(OR($D$12="No"),0,$C$12),0)+IF(AND($N$12&gt;0,MOD(S$41-1-$I$38,$H$38)=0),$N$12*$H$38+IF(OR($D$12="No"),0,$C$12),0))/$H$12)</f>
        <v>0.769520945054431</v>
      </c>
      <c r="T49" s="72" t="n">
        <f aca="false">IF($H$12=0,0,(IF(AND($K$12&gt;0,MOD(T$41-1-$I$35,$H$35)=0),$K$12*$H$35+IF(OR($D$12="No",AND($E$12="Sí",$F$12&gt;=2)),0,$C$12),0)+IF(AND($L$12&gt;0,MOD(T$41-1-$I$36,$H$36)=0),$L$12*$H$36+IF(OR($D$12="No"),0,$C$12),0)+IF(AND($M$12&gt;0,MOD(T$41-1-$I$37,$H$37)=0),$M$12*$H$37+IF(OR($D$12="No"),0,$C$12),0)+IF(AND($N$12&gt;0,MOD(T$41-1-$I$38,$H$38)=0),$N$12*$H$38+IF(OR($D$12="No"),0,$C$12),0))/$H$12)</f>
        <v>0.854671511007292</v>
      </c>
      <c r="U49" s="72" t="n">
        <f aca="false">IF($H$12=0,0,(IF(AND($K$12&gt;0,MOD(U$41-1-$I$35,$H$35)=0),$K$12*$H$35+IF(OR($D$12="No",AND($E$12="Sí",$F$12&gt;=2)),0,$C$12),0)+IF(AND($L$12&gt;0,MOD(U$41-1-$I$36,$H$36)=0),$L$12*$H$36+IF(OR($D$12="No"),0,$C$12),0)+IF(AND($M$12&gt;0,MOD(U$41-1-$I$37,$H$37)=0),$M$12*$H$37+IF(OR($D$12="No"),0,$C$12),0)+IF(AND($N$12&gt;0,MOD(U$41-1-$I$38,$H$38)=0),$N$12*$H$38+IF(OR($D$12="No"),0,$C$12),0))/$H$12)</f>
        <v>0.769520945054431</v>
      </c>
      <c r="V49" s="72" t="n">
        <f aca="false">IF($H$12=0,0,(IF(AND($K$12&gt;0,MOD(V$41-1-$I$35,$H$35)=0),$K$12*$H$35+IF(OR($D$12="No",AND($E$12="Sí",$F$12&gt;=2)),0,$C$12),0)+IF(AND($L$12&gt;0,MOD(V$41-1-$I$36,$H$36)=0),$L$12*$H$36+IF(OR($D$12="No"),0,$C$12),0)+IF(AND($M$12&gt;0,MOD(V$41-1-$I$37,$H$37)=0),$M$12*$H$37+IF(OR($D$12="No"),0,$C$12),0)+IF(AND($N$12&gt;0,MOD(V$41-1-$I$38,$H$38)=0),$N$12*$H$38+IF(OR($D$12="No"),0,$C$12),0))/$H$12)</f>
        <v>0.854671511007292</v>
      </c>
    </row>
    <row r="50" customFormat="false" ht="15.75" hidden="false" customHeight="true" outlineLevel="0" collapsed="false">
      <c r="B50" s="70" t="str">
        <f aca="false">Carga!B43</f>
        <v>Soldadura longitudinal TIG — 1 kg</v>
      </c>
      <c r="C50" s="71" t="str">
        <f aca="false">IF(AND($K$13&gt;0,MOD(C$41-1-$I$35,$H$35)=0),"1 ","")&amp;IF(AND($L$13&gt;0,MOD(C$41-1-$I$36,$H$36)=0),"2,5 ","")&amp;IF(AND($M$13&gt;0,MOD(C$41-1-$I$37,$H$37)=0),"5 ","")&amp;IF(AND($N$13&gt;0,MOD(C$41-1-$I$38,$H$38)=0),"10 ","")</f>
        <v>1 </v>
      </c>
      <c r="D50" s="71" t="str">
        <f aca="false">IF(AND($K$13&gt;0,MOD(D$41-1-$I$35,$H$35)=0),"1 ","")&amp;IF(AND($L$13&gt;0,MOD(D$41-1-$I$36,$H$36)=0),"2,5 ","")&amp;IF(AND($M$13&gt;0,MOD(D$41-1-$I$37,$H$37)=0),"5 ","")&amp;IF(AND($N$13&gt;0,MOD(D$41-1-$I$38,$H$38)=0),"10 ","")</f>
        <v>1 </v>
      </c>
      <c r="E50" s="71" t="str">
        <f aca="false">IF(AND($K$13&gt;0,MOD(E$41-1-$I$35,$H$35)=0),"1 ","")&amp;IF(AND($L$13&gt;0,MOD(E$41-1-$I$36,$H$36)=0),"2,5 ","")&amp;IF(AND($M$13&gt;0,MOD(E$41-1-$I$37,$H$37)=0),"5 ","")&amp;IF(AND($N$13&gt;0,MOD(E$41-1-$I$38,$H$38)=0),"10 ","")</f>
        <v>1 </v>
      </c>
      <c r="F50" s="71" t="str">
        <f aca="false">IF(AND($K$13&gt;0,MOD(F$41-1-$I$35,$H$35)=0),"1 ","")&amp;IF(AND($L$13&gt;0,MOD(F$41-1-$I$36,$H$36)=0),"2,5 ","")&amp;IF(AND($M$13&gt;0,MOD(F$41-1-$I$37,$H$37)=0),"5 ","")&amp;IF(AND($N$13&gt;0,MOD(F$41-1-$I$38,$H$38)=0),"10 ","")</f>
        <v>1 </v>
      </c>
      <c r="G50" s="71" t="str">
        <f aca="false">IF(AND($K$13&gt;0,MOD(G$41-1-$I$35,$H$35)=0),"1 ","")&amp;IF(AND($L$13&gt;0,MOD(G$41-1-$I$36,$H$36)=0),"2,5 ","")&amp;IF(AND($M$13&gt;0,MOD(G$41-1-$I$37,$H$37)=0),"5 ","")&amp;IF(AND($N$13&gt;0,MOD(G$41-1-$I$38,$H$38)=0),"10 ","")</f>
        <v>1 </v>
      </c>
      <c r="H50" s="71" t="str">
        <f aca="false">IF(AND($K$13&gt;0,MOD(H$41-1-$I$35,$H$35)=0),"1 ","")&amp;IF(AND($L$13&gt;0,MOD(H$41-1-$I$36,$H$36)=0),"2,5 ","")&amp;IF(AND($M$13&gt;0,MOD(H$41-1-$I$37,$H$37)=0),"5 ","")&amp;IF(AND($N$13&gt;0,MOD(H$41-1-$I$38,$H$38)=0),"10 ","")</f>
        <v>1 </v>
      </c>
      <c r="I50" s="71" t="str">
        <f aca="false">IF(AND($K$13&gt;0,MOD(I$41-1-$I$35,$H$35)=0),"1 ","")&amp;IF(AND($L$13&gt;0,MOD(I$41-1-$I$36,$H$36)=0),"2,5 ","")&amp;IF(AND($M$13&gt;0,MOD(I$41-1-$I$37,$H$37)=0),"5 ","")&amp;IF(AND($N$13&gt;0,MOD(I$41-1-$I$38,$H$38)=0),"10 ","")</f>
        <v>1 </v>
      </c>
      <c r="J50" s="71" t="str">
        <f aca="false">IF(AND($K$13&gt;0,MOD(J$41-1-$I$35,$H$35)=0),"1 ","")&amp;IF(AND($L$13&gt;0,MOD(J$41-1-$I$36,$H$36)=0),"2,5 ","")&amp;IF(AND($M$13&gt;0,MOD(J$41-1-$I$37,$H$37)=0),"5 ","")&amp;IF(AND($N$13&gt;0,MOD(J$41-1-$I$38,$H$38)=0),"10 ","")</f>
        <v>1 </v>
      </c>
      <c r="K50" s="71" t="str">
        <f aca="false">IF(AND($K$13&gt;0,MOD(K$41-1-$I$35,$H$35)=0),"1 ","")&amp;IF(AND($L$13&gt;0,MOD(K$41-1-$I$36,$H$36)=0),"2,5 ","")&amp;IF(AND($M$13&gt;0,MOD(K$41-1-$I$37,$H$37)=0),"5 ","")&amp;IF(AND($N$13&gt;0,MOD(K$41-1-$I$38,$H$38)=0),"10 ","")</f>
        <v>1 </v>
      </c>
      <c r="L50" s="71" t="str">
        <f aca="false">IF(AND($K$13&gt;0,MOD(L$41-1-$I$35,$H$35)=0),"1 ","")&amp;IF(AND($L$13&gt;0,MOD(L$41-1-$I$36,$H$36)=0),"2,5 ","")&amp;IF(AND($M$13&gt;0,MOD(L$41-1-$I$37,$H$37)=0),"5 ","")&amp;IF(AND($N$13&gt;0,MOD(L$41-1-$I$38,$H$38)=0),"10 ","")</f>
        <v>1 </v>
      </c>
      <c r="M50" s="71" t="str">
        <f aca="false">IF(AND($K$13&gt;0,MOD(M$41-1-$I$35,$H$35)=0),"1 ","")&amp;IF(AND($L$13&gt;0,MOD(M$41-1-$I$36,$H$36)=0),"2,5 ","")&amp;IF(AND($M$13&gt;0,MOD(M$41-1-$I$37,$H$37)=0),"5 ","")&amp;IF(AND($N$13&gt;0,MOD(M$41-1-$I$38,$H$38)=0),"10 ","")</f>
        <v>1 </v>
      </c>
      <c r="N50" s="71" t="str">
        <f aca="false">IF(AND($K$13&gt;0,MOD(N$41-1-$I$35,$H$35)=0),"1 ","")&amp;IF(AND($L$13&gt;0,MOD(N$41-1-$I$36,$H$36)=0),"2,5 ","")&amp;IF(AND($M$13&gt;0,MOD(N$41-1-$I$37,$H$37)=0),"5 ","")&amp;IF(AND($N$13&gt;0,MOD(N$41-1-$I$38,$H$38)=0),"10 ","")</f>
        <v>1 </v>
      </c>
      <c r="O50" s="71" t="str">
        <f aca="false">IF(AND($K$13&gt;0,MOD(O$41-1-$I$35,$H$35)=0),"1 ","")&amp;IF(AND($L$13&gt;0,MOD(O$41-1-$I$36,$H$36)=0),"2,5 ","")&amp;IF(AND($M$13&gt;0,MOD(O$41-1-$I$37,$H$37)=0),"5 ","")&amp;IF(AND($N$13&gt;0,MOD(O$41-1-$I$38,$H$38)=0),"10 ","")</f>
        <v>1 </v>
      </c>
      <c r="P50" s="71" t="str">
        <f aca="false">IF(AND($K$13&gt;0,MOD(P$41-1-$I$35,$H$35)=0),"1 ","")&amp;IF(AND($L$13&gt;0,MOD(P$41-1-$I$36,$H$36)=0),"2,5 ","")&amp;IF(AND($M$13&gt;0,MOD(P$41-1-$I$37,$H$37)=0),"5 ","")&amp;IF(AND($N$13&gt;0,MOD(P$41-1-$I$38,$H$38)=0),"10 ","")</f>
        <v>1 </v>
      </c>
      <c r="Q50" s="71" t="str">
        <f aca="false">IF(AND($K$13&gt;0,MOD(Q$41-1-$I$35,$H$35)=0),"1 ","")&amp;IF(AND($L$13&gt;0,MOD(Q$41-1-$I$36,$H$36)=0),"2,5 ","")&amp;IF(AND($M$13&gt;0,MOD(Q$41-1-$I$37,$H$37)=0),"5 ","")&amp;IF(AND($N$13&gt;0,MOD(Q$41-1-$I$38,$H$38)=0),"10 ","")</f>
        <v>1 </v>
      </c>
      <c r="R50" s="71" t="str">
        <f aca="false">IF(AND($K$13&gt;0,MOD(R$41-1-$I$35,$H$35)=0),"1 ","")&amp;IF(AND($L$13&gt;0,MOD(R$41-1-$I$36,$H$36)=0),"2,5 ","")&amp;IF(AND($M$13&gt;0,MOD(R$41-1-$I$37,$H$37)=0),"5 ","")&amp;IF(AND($N$13&gt;0,MOD(R$41-1-$I$38,$H$38)=0),"10 ","")</f>
        <v>1 </v>
      </c>
      <c r="S50" s="71" t="str">
        <f aca="false">IF(AND($K$13&gt;0,MOD(S$41-1-$I$35,$H$35)=0),"1 ","")&amp;IF(AND($L$13&gt;0,MOD(S$41-1-$I$36,$H$36)=0),"2,5 ","")&amp;IF(AND($M$13&gt;0,MOD(S$41-1-$I$37,$H$37)=0),"5 ","")&amp;IF(AND($N$13&gt;0,MOD(S$41-1-$I$38,$H$38)=0),"10 ","")</f>
        <v>1 </v>
      </c>
      <c r="T50" s="71" t="str">
        <f aca="false">IF(AND($K$13&gt;0,MOD(T$41-1-$I$35,$H$35)=0),"1 ","")&amp;IF(AND($L$13&gt;0,MOD(T$41-1-$I$36,$H$36)=0),"2,5 ","")&amp;IF(AND($M$13&gt;0,MOD(T$41-1-$I$37,$H$37)=0),"5 ","")&amp;IF(AND($N$13&gt;0,MOD(T$41-1-$I$38,$H$38)=0),"10 ","")</f>
        <v>1 </v>
      </c>
      <c r="U50" s="71" t="str">
        <f aca="false">IF(AND($K$13&gt;0,MOD(U$41-1-$I$35,$H$35)=0),"1 ","")&amp;IF(AND($L$13&gt;0,MOD(U$41-1-$I$36,$H$36)=0),"2,5 ","")&amp;IF(AND($M$13&gt;0,MOD(U$41-1-$I$37,$H$37)=0),"5 ","")&amp;IF(AND($N$13&gt;0,MOD(U$41-1-$I$38,$H$38)=0),"10 ","")</f>
        <v>1 </v>
      </c>
      <c r="V50" s="71" t="str">
        <f aca="false">IF(AND($K$13&gt;0,MOD(V$41-1-$I$35,$H$35)=0),"1 ","")&amp;IF(AND($L$13&gt;0,MOD(V$41-1-$I$36,$H$36)=0),"2,5 ","")&amp;IF(AND($M$13&gt;0,MOD(V$41-1-$I$37,$H$37)=0),"5 ","")&amp;IF(AND($N$13&gt;0,MOD(V$41-1-$I$38,$H$38)=0),"10 ","")</f>
        <v>1 </v>
      </c>
    </row>
    <row r="51" customFormat="false" ht="15.75" hidden="false" customHeight="true" outlineLevel="0" collapsed="false">
      <c r="B51" s="48" t="s">
        <v>640</v>
      </c>
      <c r="C51" s="72" t="n">
        <f aca="false">IF($H$13=0,0,(IF(AND($K$13&gt;0,MOD(C$41-1-$I$35,$H$35)=0),$K$13*$H$35+IF(OR($D$13="No",AND($E$13="Sí",$F$13&gt;=2)),0,$C$13),0)+IF(AND($L$13&gt;0,MOD(C$41-1-$I$36,$H$36)=0),$L$13*$H$36+IF(OR($D$13="No"),0,$C$13),0)+IF(AND($M$13&gt;0,MOD(C$41-1-$I$37,$H$37)=0),$M$13*$H$37+IF(OR($D$13="No"),0,$C$13),0)+IF(AND($N$13&gt;0,MOD(C$41-1-$I$38,$H$38)=0),$N$13*$H$38+IF(OR($D$13="No"),0,$C$13),0))/$H$13)</f>
        <v>0.5065515978325</v>
      </c>
      <c r="D51" s="72" t="n">
        <f aca="false">IF($H$13=0,0,(IF(AND($K$13&gt;0,MOD(D$41-1-$I$35,$H$35)=0),$K$13*$H$35+IF(OR($D$13="No",AND($E$13="Sí",$F$13&gt;=2)),0,$C$13),0)+IF(AND($L$13&gt;0,MOD(D$41-1-$I$36,$H$36)=0),$L$13*$H$36+IF(OR($D$13="No"),0,$C$13),0)+IF(AND($M$13&gt;0,MOD(D$41-1-$I$37,$H$37)=0),$M$13*$H$37+IF(OR($D$13="No"),0,$C$13),0)+IF(AND($N$13&gt;0,MOD(D$41-1-$I$38,$H$38)=0),$N$13*$H$38+IF(OR($D$13="No"),0,$C$13),0))/$H$13)</f>
        <v>0.5065515978325</v>
      </c>
      <c r="E51" s="72" t="n">
        <f aca="false">IF($H$13=0,0,(IF(AND($K$13&gt;0,MOD(E$41-1-$I$35,$H$35)=0),$K$13*$H$35+IF(OR($D$13="No",AND($E$13="Sí",$F$13&gt;=2)),0,$C$13),0)+IF(AND($L$13&gt;0,MOD(E$41-1-$I$36,$H$36)=0),$L$13*$H$36+IF(OR($D$13="No"),0,$C$13),0)+IF(AND($M$13&gt;0,MOD(E$41-1-$I$37,$H$37)=0),$M$13*$H$37+IF(OR($D$13="No"),0,$C$13),0)+IF(AND($N$13&gt;0,MOD(E$41-1-$I$38,$H$38)=0),$N$13*$H$38+IF(OR($D$13="No"),0,$C$13),0))/$H$13)</f>
        <v>0.5065515978325</v>
      </c>
      <c r="F51" s="72" t="n">
        <f aca="false">IF($H$13=0,0,(IF(AND($K$13&gt;0,MOD(F$41-1-$I$35,$H$35)=0),$K$13*$H$35+IF(OR($D$13="No",AND($E$13="Sí",$F$13&gt;=2)),0,$C$13),0)+IF(AND($L$13&gt;0,MOD(F$41-1-$I$36,$H$36)=0),$L$13*$H$36+IF(OR($D$13="No"),0,$C$13),0)+IF(AND($M$13&gt;0,MOD(F$41-1-$I$37,$H$37)=0),$M$13*$H$37+IF(OR($D$13="No"),0,$C$13),0)+IF(AND($N$13&gt;0,MOD(F$41-1-$I$38,$H$38)=0),$N$13*$H$38+IF(OR($D$13="No"),0,$C$13),0))/$H$13)</f>
        <v>0.5065515978325</v>
      </c>
      <c r="G51" s="72" t="n">
        <f aca="false">IF($H$13=0,0,(IF(AND($K$13&gt;0,MOD(G$41-1-$I$35,$H$35)=0),$K$13*$H$35+IF(OR($D$13="No",AND($E$13="Sí",$F$13&gt;=2)),0,$C$13),0)+IF(AND($L$13&gt;0,MOD(G$41-1-$I$36,$H$36)=0),$L$13*$H$36+IF(OR($D$13="No"),0,$C$13),0)+IF(AND($M$13&gt;0,MOD(G$41-1-$I$37,$H$37)=0),$M$13*$H$37+IF(OR($D$13="No"),0,$C$13),0)+IF(AND($N$13&gt;0,MOD(G$41-1-$I$38,$H$38)=0),$N$13*$H$38+IF(OR($D$13="No"),0,$C$13),0))/$H$13)</f>
        <v>0.5065515978325</v>
      </c>
      <c r="H51" s="72" t="n">
        <f aca="false">IF($H$13=0,0,(IF(AND($K$13&gt;0,MOD(H$41-1-$I$35,$H$35)=0),$K$13*$H$35+IF(OR($D$13="No",AND($E$13="Sí",$F$13&gt;=2)),0,$C$13),0)+IF(AND($L$13&gt;0,MOD(H$41-1-$I$36,$H$36)=0),$L$13*$H$36+IF(OR($D$13="No"),0,$C$13),0)+IF(AND($M$13&gt;0,MOD(H$41-1-$I$37,$H$37)=0),$M$13*$H$37+IF(OR($D$13="No"),0,$C$13),0)+IF(AND($N$13&gt;0,MOD(H$41-1-$I$38,$H$38)=0),$N$13*$H$38+IF(OR($D$13="No"),0,$C$13),0))/$H$13)</f>
        <v>0.5065515978325</v>
      </c>
      <c r="I51" s="72" t="n">
        <f aca="false">IF($H$13=0,0,(IF(AND($K$13&gt;0,MOD(I$41-1-$I$35,$H$35)=0),$K$13*$H$35+IF(OR($D$13="No",AND($E$13="Sí",$F$13&gt;=2)),0,$C$13),0)+IF(AND($L$13&gt;0,MOD(I$41-1-$I$36,$H$36)=0),$L$13*$H$36+IF(OR($D$13="No"),0,$C$13),0)+IF(AND($M$13&gt;0,MOD(I$41-1-$I$37,$H$37)=0),$M$13*$H$37+IF(OR($D$13="No"),0,$C$13),0)+IF(AND($N$13&gt;0,MOD(I$41-1-$I$38,$H$38)=0),$N$13*$H$38+IF(OR($D$13="No"),0,$C$13),0))/$H$13)</f>
        <v>0.5065515978325</v>
      </c>
      <c r="J51" s="72" t="n">
        <f aca="false">IF($H$13=0,0,(IF(AND($K$13&gt;0,MOD(J$41-1-$I$35,$H$35)=0),$K$13*$H$35+IF(OR($D$13="No",AND($E$13="Sí",$F$13&gt;=2)),0,$C$13),0)+IF(AND($L$13&gt;0,MOD(J$41-1-$I$36,$H$36)=0),$L$13*$H$36+IF(OR($D$13="No"),0,$C$13),0)+IF(AND($M$13&gt;0,MOD(J$41-1-$I$37,$H$37)=0),$M$13*$H$37+IF(OR($D$13="No"),0,$C$13),0)+IF(AND($N$13&gt;0,MOD(J$41-1-$I$38,$H$38)=0),$N$13*$H$38+IF(OR($D$13="No"),0,$C$13),0))/$H$13)</f>
        <v>0.5065515978325</v>
      </c>
      <c r="K51" s="72" t="n">
        <f aca="false">IF($H$13=0,0,(IF(AND($K$13&gt;0,MOD(K$41-1-$I$35,$H$35)=0),$K$13*$H$35+IF(OR($D$13="No",AND($E$13="Sí",$F$13&gt;=2)),0,$C$13),0)+IF(AND($L$13&gt;0,MOD(K$41-1-$I$36,$H$36)=0),$L$13*$H$36+IF(OR($D$13="No"),0,$C$13),0)+IF(AND($M$13&gt;0,MOD(K$41-1-$I$37,$H$37)=0),$M$13*$H$37+IF(OR($D$13="No"),0,$C$13),0)+IF(AND($N$13&gt;0,MOD(K$41-1-$I$38,$H$38)=0),$N$13*$H$38+IF(OR($D$13="No"),0,$C$13),0))/$H$13)</f>
        <v>0.5065515978325</v>
      </c>
      <c r="L51" s="72" t="n">
        <f aca="false">IF($H$13=0,0,(IF(AND($K$13&gt;0,MOD(L$41-1-$I$35,$H$35)=0),$K$13*$H$35+IF(OR($D$13="No",AND($E$13="Sí",$F$13&gt;=2)),0,$C$13),0)+IF(AND($L$13&gt;0,MOD(L$41-1-$I$36,$H$36)=0),$L$13*$H$36+IF(OR($D$13="No"),0,$C$13),0)+IF(AND($M$13&gt;0,MOD(L$41-1-$I$37,$H$37)=0),$M$13*$H$37+IF(OR($D$13="No"),0,$C$13),0)+IF(AND($N$13&gt;0,MOD(L$41-1-$I$38,$H$38)=0),$N$13*$H$38+IF(OR($D$13="No"),0,$C$13),0))/$H$13)</f>
        <v>0.5065515978325</v>
      </c>
      <c r="M51" s="72" t="n">
        <f aca="false">IF($H$13=0,0,(IF(AND($K$13&gt;0,MOD(M$41-1-$I$35,$H$35)=0),$K$13*$H$35+IF(OR($D$13="No",AND($E$13="Sí",$F$13&gt;=2)),0,$C$13),0)+IF(AND($L$13&gt;0,MOD(M$41-1-$I$36,$H$36)=0),$L$13*$H$36+IF(OR($D$13="No"),0,$C$13),0)+IF(AND($M$13&gt;0,MOD(M$41-1-$I$37,$H$37)=0),$M$13*$H$37+IF(OR($D$13="No"),0,$C$13),0)+IF(AND($N$13&gt;0,MOD(M$41-1-$I$38,$H$38)=0),$N$13*$H$38+IF(OR($D$13="No"),0,$C$13),0))/$H$13)</f>
        <v>0.5065515978325</v>
      </c>
      <c r="N51" s="72" t="n">
        <f aca="false">IF($H$13=0,0,(IF(AND($K$13&gt;0,MOD(N$41-1-$I$35,$H$35)=0),$K$13*$H$35+IF(OR($D$13="No",AND($E$13="Sí",$F$13&gt;=2)),0,$C$13),0)+IF(AND($L$13&gt;0,MOD(N$41-1-$I$36,$H$36)=0),$L$13*$H$36+IF(OR($D$13="No"),0,$C$13),0)+IF(AND($M$13&gt;0,MOD(N$41-1-$I$37,$H$37)=0),$M$13*$H$37+IF(OR($D$13="No"),0,$C$13),0)+IF(AND($N$13&gt;0,MOD(N$41-1-$I$38,$H$38)=0),$N$13*$H$38+IF(OR($D$13="No"),0,$C$13),0))/$H$13)</f>
        <v>0.5065515978325</v>
      </c>
      <c r="O51" s="72" t="n">
        <f aca="false">IF($H$13=0,0,(IF(AND($K$13&gt;0,MOD(O$41-1-$I$35,$H$35)=0),$K$13*$H$35+IF(OR($D$13="No",AND($E$13="Sí",$F$13&gt;=2)),0,$C$13),0)+IF(AND($L$13&gt;0,MOD(O$41-1-$I$36,$H$36)=0),$L$13*$H$36+IF(OR($D$13="No"),0,$C$13),0)+IF(AND($M$13&gt;0,MOD(O$41-1-$I$37,$H$37)=0),$M$13*$H$37+IF(OR($D$13="No"),0,$C$13),0)+IF(AND($N$13&gt;0,MOD(O$41-1-$I$38,$H$38)=0),$N$13*$H$38+IF(OR($D$13="No"),0,$C$13),0))/$H$13)</f>
        <v>0.5065515978325</v>
      </c>
      <c r="P51" s="72" t="n">
        <f aca="false">IF($H$13=0,0,(IF(AND($K$13&gt;0,MOD(P$41-1-$I$35,$H$35)=0),$K$13*$H$35+IF(OR($D$13="No",AND($E$13="Sí",$F$13&gt;=2)),0,$C$13),0)+IF(AND($L$13&gt;0,MOD(P$41-1-$I$36,$H$36)=0),$L$13*$H$36+IF(OR($D$13="No"),0,$C$13),0)+IF(AND($M$13&gt;0,MOD(P$41-1-$I$37,$H$37)=0),$M$13*$H$37+IF(OR($D$13="No"),0,$C$13),0)+IF(AND($N$13&gt;0,MOD(P$41-1-$I$38,$H$38)=0),$N$13*$H$38+IF(OR($D$13="No"),0,$C$13),0))/$H$13)</f>
        <v>0.5065515978325</v>
      </c>
      <c r="Q51" s="72" t="n">
        <f aca="false">IF($H$13=0,0,(IF(AND($K$13&gt;0,MOD(Q$41-1-$I$35,$H$35)=0),$K$13*$H$35+IF(OR($D$13="No",AND($E$13="Sí",$F$13&gt;=2)),0,$C$13),0)+IF(AND($L$13&gt;0,MOD(Q$41-1-$I$36,$H$36)=0),$L$13*$H$36+IF(OR($D$13="No"),0,$C$13),0)+IF(AND($M$13&gt;0,MOD(Q$41-1-$I$37,$H$37)=0),$M$13*$H$37+IF(OR($D$13="No"),0,$C$13),0)+IF(AND($N$13&gt;0,MOD(Q$41-1-$I$38,$H$38)=0),$N$13*$H$38+IF(OR($D$13="No"),0,$C$13),0))/$H$13)</f>
        <v>0.5065515978325</v>
      </c>
      <c r="R51" s="72" t="n">
        <f aca="false">IF($H$13=0,0,(IF(AND($K$13&gt;0,MOD(R$41-1-$I$35,$H$35)=0),$K$13*$H$35+IF(OR($D$13="No",AND($E$13="Sí",$F$13&gt;=2)),0,$C$13),0)+IF(AND($L$13&gt;0,MOD(R$41-1-$I$36,$H$36)=0),$L$13*$H$36+IF(OR($D$13="No"),0,$C$13),0)+IF(AND($M$13&gt;0,MOD(R$41-1-$I$37,$H$37)=0),$M$13*$H$37+IF(OR($D$13="No"),0,$C$13),0)+IF(AND($N$13&gt;0,MOD(R$41-1-$I$38,$H$38)=0),$N$13*$H$38+IF(OR($D$13="No"),0,$C$13),0))/$H$13)</f>
        <v>0.5065515978325</v>
      </c>
      <c r="S51" s="72" t="n">
        <f aca="false">IF($H$13=0,0,(IF(AND($K$13&gt;0,MOD(S$41-1-$I$35,$H$35)=0),$K$13*$H$35+IF(OR($D$13="No",AND($E$13="Sí",$F$13&gt;=2)),0,$C$13),0)+IF(AND($L$13&gt;0,MOD(S$41-1-$I$36,$H$36)=0),$L$13*$H$36+IF(OR($D$13="No"),0,$C$13),0)+IF(AND($M$13&gt;0,MOD(S$41-1-$I$37,$H$37)=0),$M$13*$H$37+IF(OR($D$13="No"),0,$C$13),0)+IF(AND($N$13&gt;0,MOD(S$41-1-$I$38,$H$38)=0),$N$13*$H$38+IF(OR($D$13="No"),0,$C$13),0))/$H$13)</f>
        <v>0.5065515978325</v>
      </c>
      <c r="T51" s="72" t="n">
        <f aca="false">IF($H$13=0,0,(IF(AND($K$13&gt;0,MOD(T$41-1-$I$35,$H$35)=0),$K$13*$H$35+IF(OR($D$13="No",AND($E$13="Sí",$F$13&gt;=2)),0,$C$13),0)+IF(AND($L$13&gt;0,MOD(T$41-1-$I$36,$H$36)=0),$L$13*$H$36+IF(OR($D$13="No"),0,$C$13),0)+IF(AND($M$13&gt;0,MOD(T$41-1-$I$37,$H$37)=0),$M$13*$H$37+IF(OR($D$13="No"),0,$C$13),0)+IF(AND($N$13&gt;0,MOD(T$41-1-$I$38,$H$38)=0),$N$13*$H$38+IF(OR($D$13="No"),0,$C$13),0))/$H$13)</f>
        <v>0.5065515978325</v>
      </c>
      <c r="U51" s="72" t="n">
        <f aca="false">IF($H$13=0,0,(IF(AND($K$13&gt;0,MOD(U$41-1-$I$35,$H$35)=0),$K$13*$H$35+IF(OR($D$13="No",AND($E$13="Sí",$F$13&gt;=2)),0,$C$13),0)+IF(AND($L$13&gt;0,MOD(U$41-1-$I$36,$H$36)=0),$L$13*$H$36+IF(OR($D$13="No"),0,$C$13),0)+IF(AND($M$13&gt;0,MOD(U$41-1-$I$37,$H$37)=0),$M$13*$H$37+IF(OR($D$13="No"),0,$C$13),0)+IF(AND($N$13&gt;0,MOD(U$41-1-$I$38,$H$38)=0),$N$13*$H$38+IF(OR($D$13="No"),0,$C$13),0))/$H$13)</f>
        <v>0.5065515978325</v>
      </c>
      <c r="V51" s="72" t="n">
        <f aca="false">IF($H$13=0,0,(IF(AND($K$13&gt;0,MOD(V$41-1-$I$35,$H$35)=0),$K$13*$H$35+IF(OR($D$13="No",AND($E$13="Sí",$F$13&gt;=2)),0,$C$13),0)+IF(AND($L$13&gt;0,MOD(V$41-1-$I$36,$H$36)=0),$L$13*$H$36+IF(OR($D$13="No"),0,$C$13),0)+IF(AND($M$13&gt;0,MOD(V$41-1-$I$37,$H$37)=0),$M$13*$H$37+IF(OR($D$13="No"),0,$C$13),0)+IF(AND($N$13&gt;0,MOD(V$41-1-$I$38,$H$38)=0),$N$13*$H$38+IF(OR($D$13="No"),0,$C$13),0))/$H$13)</f>
        <v>0.5065515978325</v>
      </c>
    </row>
    <row r="52" customFormat="false" ht="15.75" hidden="false" customHeight="true" outlineLevel="0" collapsed="false">
      <c r="B52" s="70" t="str">
        <f aca="false">Carga!B44</f>
        <v>Encastre de fondo</v>
      </c>
      <c r="C52" s="71" t="str">
        <f aca="false">IF(AND($K$14&gt;0,MOD(C$41-1-$I$35,$H$35)=0),"1 ","")&amp;IF(AND($L$14&gt;0,MOD(C$41-1-$I$36,$H$36)=0),"2,5 ","")&amp;IF(AND($M$14&gt;0,MOD(C$41-1-$I$37,$H$37)=0),"5 ","")&amp;IF(AND($N$14&gt;0,MOD(C$41-1-$I$38,$H$38)=0),"10 ","")</f>
        <v>1 2,5 5 </v>
      </c>
      <c r="D52" s="71" t="str">
        <f aca="false">IF(AND($K$14&gt;0,MOD(D$41-1-$I$35,$H$35)=0),"1 ","")&amp;IF(AND($L$14&gt;0,MOD(D$41-1-$I$36,$H$36)=0),"2,5 ","")&amp;IF(AND($M$14&gt;0,MOD(D$41-1-$I$37,$H$37)=0),"5 ","")&amp;IF(AND($N$14&gt;0,MOD(D$41-1-$I$38,$H$38)=0),"10 ","")</f>
        <v>1 2,5 5 10 </v>
      </c>
      <c r="E52" s="71" t="str">
        <f aca="false">IF(AND($K$14&gt;0,MOD(E$41-1-$I$35,$H$35)=0),"1 ","")&amp;IF(AND($L$14&gt;0,MOD(E$41-1-$I$36,$H$36)=0),"2,5 ","")&amp;IF(AND($M$14&gt;0,MOD(E$41-1-$I$37,$H$37)=0),"5 ","")&amp;IF(AND($N$14&gt;0,MOD(E$41-1-$I$38,$H$38)=0),"10 ","")</f>
        <v>1 2,5 5 </v>
      </c>
      <c r="F52" s="71" t="str">
        <f aca="false">IF(AND($K$14&gt;0,MOD(F$41-1-$I$35,$H$35)=0),"1 ","")&amp;IF(AND($L$14&gt;0,MOD(F$41-1-$I$36,$H$36)=0),"2,5 ","")&amp;IF(AND($M$14&gt;0,MOD(F$41-1-$I$37,$H$37)=0),"5 ","")&amp;IF(AND($N$14&gt;0,MOD(F$41-1-$I$38,$H$38)=0),"10 ","")</f>
        <v>1 2,5 5 10 </v>
      </c>
      <c r="G52" s="71" t="str">
        <f aca="false">IF(AND($K$14&gt;0,MOD(G$41-1-$I$35,$H$35)=0),"1 ","")&amp;IF(AND($L$14&gt;0,MOD(G$41-1-$I$36,$H$36)=0),"2,5 ","")&amp;IF(AND($M$14&gt;0,MOD(G$41-1-$I$37,$H$37)=0),"5 ","")&amp;IF(AND($N$14&gt;0,MOD(G$41-1-$I$38,$H$38)=0),"10 ","")</f>
        <v>1 2,5 5 </v>
      </c>
      <c r="H52" s="71" t="str">
        <f aca="false">IF(AND($K$14&gt;0,MOD(H$41-1-$I$35,$H$35)=0),"1 ","")&amp;IF(AND($L$14&gt;0,MOD(H$41-1-$I$36,$H$36)=0),"2,5 ","")&amp;IF(AND($M$14&gt;0,MOD(H$41-1-$I$37,$H$37)=0),"5 ","")&amp;IF(AND($N$14&gt;0,MOD(H$41-1-$I$38,$H$38)=0),"10 ","")</f>
        <v>1 2,5 5 10 </v>
      </c>
      <c r="I52" s="71" t="str">
        <f aca="false">IF(AND($K$14&gt;0,MOD(I$41-1-$I$35,$H$35)=0),"1 ","")&amp;IF(AND($L$14&gt;0,MOD(I$41-1-$I$36,$H$36)=0),"2,5 ","")&amp;IF(AND($M$14&gt;0,MOD(I$41-1-$I$37,$H$37)=0),"5 ","")&amp;IF(AND($N$14&gt;0,MOD(I$41-1-$I$38,$H$38)=0),"10 ","")</f>
        <v>1 2,5 5 </v>
      </c>
      <c r="J52" s="71" t="str">
        <f aca="false">IF(AND($K$14&gt;0,MOD(J$41-1-$I$35,$H$35)=0),"1 ","")&amp;IF(AND($L$14&gt;0,MOD(J$41-1-$I$36,$H$36)=0),"2,5 ","")&amp;IF(AND($M$14&gt;0,MOD(J$41-1-$I$37,$H$37)=0),"5 ","")&amp;IF(AND($N$14&gt;0,MOD(J$41-1-$I$38,$H$38)=0),"10 ","")</f>
        <v>1 2,5 5 10 </v>
      </c>
      <c r="K52" s="71" t="str">
        <f aca="false">IF(AND($K$14&gt;0,MOD(K$41-1-$I$35,$H$35)=0),"1 ","")&amp;IF(AND($L$14&gt;0,MOD(K$41-1-$I$36,$H$36)=0),"2,5 ","")&amp;IF(AND($M$14&gt;0,MOD(K$41-1-$I$37,$H$37)=0),"5 ","")&amp;IF(AND($N$14&gt;0,MOD(K$41-1-$I$38,$H$38)=0),"10 ","")</f>
        <v>1 2,5 5 </v>
      </c>
      <c r="L52" s="71" t="str">
        <f aca="false">IF(AND($K$14&gt;0,MOD(L$41-1-$I$35,$H$35)=0),"1 ","")&amp;IF(AND($L$14&gt;0,MOD(L$41-1-$I$36,$H$36)=0),"2,5 ","")&amp;IF(AND($M$14&gt;0,MOD(L$41-1-$I$37,$H$37)=0),"5 ","")&amp;IF(AND($N$14&gt;0,MOD(L$41-1-$I$38,$H$38)=0),"10 ","")</f>
        <v>1 2,5 5 10 </v>
      </c>
      <c r="M52" s="71" t="str">
        <f aca="false">IF(AND($K$14&gt;0,MOD(M$41-1-$I$35,$H$35)=0),"1 ","")&amp;IF(AND($L$14&gt;0,MOD(M$41-1-$I$36,$H$36)=0),"2,5 ","")&amp;IF(AND($M$14&gt;0,MOD(M$41-1-$I$37,$H$37)=0),"5 ","")&amp;IF(AND($N$14&gt;0,MOD(M$41-1-$I$38,$H$38)=0),"10 ","")</f>
        <v>1 2,5 5 </v>
      </c>
      <c r="N52" s="71" t="str">
        <f aca="false">IF(AND($K$14&gt;0,MOD(N$41-1-$I$35,$H$35)=0),"1 ","")&amp;IF(AND($L$14&gt;0,MOD(N$41-1-$I$36,$H$36)=0),"2,5 ","")&amp;IF(AND($M$14&gt;0,MOD(N$41-1-$I$37,$H$37)=0),"5 ","")&amp;IF(AND($N$14&gt;0,MOD(N$41-1-$I$38,$H$38)=0),"10 ","")</f>
        <v>1 2,5 5 10 </v>
      </c>
      <c r="O52" s="71" t="str">
        <f aca="false">IF(AND($K$14&gt;0,MOD(O$41-1-$I$35,$H$35)=0),"1 ","")&amp;IF(AND($L$14&gt;0,MOD(O$41-1-$I$36,$H$36)=0),"2,5 ","")&amp;IF(AND($M$14&gt;0,MOD(O$41-1-$I$37,$H$37)=0),"5 ","")&amp;IF(AND($N$14&gt;0,MOD(O$41-1-$I$38,$H$38)=0),"10 ","")</f>
        <v>1 2,5 5 </v>
      </c>
      <c r="P52" s="71" t="str">
        <f aca="false">IF(AND($K$14&gt;0,MOD(P$41-1-$I$35,$H$35)=0),"1 ","")&amp;IF(AND($L$14&gt;0,MOD(P$41-1-$I$36,$H$36)=0),"2,5 ","")&amp;IF(AND($M$14&gt;0,MOD(P$41-1-$I$37,$H$37)=0),"5 ","")&amp;IF(AND($N$14&gt;0,MOD(P$41-1-$I$38,$H$38)=0),"10 ","")</f>
        <v>1 2,5 5 10 </v>
      </c>
      <c r="Q52" s="71" t="str">
        <f aca="false">IF(AND($K$14&gt;0,MOD(Q$41-1-$I$35,$H$35)=0),"1 ","")&amp;IF(AND($L$14&gt;0,MOD(Q$41-1-$I$36,$H$36)=0),"2,5 ","")&amp;IF(AND($M$14&gt;0,MOD(Q$41-1-$I$37,$H$37)=0),"5 ","")&amp;IF(AND($N$14&gt;0,MOD(Q$41-1-$I$38,$H$38)=0),"10 ","")</f>
        <v>1 2,5 5 </v>
      </c>
      <c r="R52" s="71" t="str">
        <f aca="false">IF(AND($K$14&gt;0,MOD(R$41-1-$I$35,$H$35)=0),"1 ","")&amp;IF(AND($L$14&gt;0,MOD(R$41-1-$I$36,$H$36)=0),"2,5 ","")&amp;IF(AND($M$14&gt;0,MOD(R$41-1-$I$37,$H$37)=0),"5 ","")&amp;IF(AND($N$14&gt;0,MOD(R$41-1-$I$38,$H$38)=0),"10 ","")</f>
        <v>1 2,5 5 10 </v>
      </c>
      <c r="S52" s="71" t="str">
        <f aca="false">IF(AND($K$14&gt;0,MOD(S$41-1-$I$35,$H$35)=0),"1 ","")&amp;IF(AND($L$14&gt;0,MOD(S$41-1-$I$36,$H$36)=0),"2,5 ","")&amp;IF(AND($M$14&gt;0,MOD(S$41-1-$I$37,$H$37)=0),"5 ","")&amp;IF(AND($N$14&gt;0,MOD(S$41-1-$I$38,$H$38)=0),"10 ","")</f>
        <v>1 2,5 5 </v>
      </c>
      <c r="T52" s="71" t="str">
        <f aca="false">IF(AND($K$14&gt;0,MOD(T$41-1-$I$35,$H$35)=0),"1 ","")&amp;IF(AND($L$14&gt;0,MOD(T$41-1-$I$36,$H$36)=0),"2,5 ","")&amp;IF(AND($M$14&gt;0,MOD(T$41-1-$I$37,$H$37)=0),"5 ","")&amp;IF(AND($N$14&gt;0,MOD(T$41-1-$I$38,$H$38)=0),"10 ","")</f>
        <v>1 2,5 5 10 </v>
      </c>
      <c r="U52" s="71" t="str">
        <f aca="false">IF(AND($K$14&gt;0,MOD(U$41-1-$I$35,$H$35)=0),"1 ","")&amp;IF(AND($L$14&gt;0,MOD(U$41-1-$I$36,$H$36)=0),"2,5 ","")&amp;IF(AND($M$14&gt;0,MOD(U$41-1-$I$37,$H$37)=0),"5 ","")&amp;IF(AND($N$14&gt;0,MOD(U$41-1-$I$38,$H$38)=0),"10 ","")</f>
        <v>1 2,5 5 </v>
      </c>
      <c r="V52" s="71" t="str">
        <f aca="false">IF(AND($K$14&gt;0,MOD(V$41-1-$I$35,$H$35)=0),"1 ","")&amp;IF(AND($L$14&gt;0,MOD(V$41-1-$I$36,$H$36)=0),"2,5 ","")&amp;IF(AND($M$14&gt;0,MOD(V$41-1-$I$37,$H$37)=0),"5 ","")&amp;IF(AND($N$14&gt;0,MOD(V$41-1-$I$38,$H$38)=0),"10 ","")</f>
        <v>1 2,5 5 10 </v>
      </c>
    </row>
    <row r="53" customFormat="false" ht="15.75" hidden="false" customHeight="true" outlineLevel="0" collapsed="false">
      <c r="B53" s="48" t="s">
        <v>640</v>
      </c>
      <c r="C53" s="72" t="n">
        <f aca="false">IF($H$14=0,0,(IF(AND($K$14&gt;0,MOD(C$41-1-$I$35,$H$35)=0),$K$14*$H$35+IF(OR($D$14="No",AND($E$14="Sí",$F$14&gt;=2)),0,$C$14),0)+IF(AND($L$14&gt;0,MOD(C$41-1-$I$36,$H$36)=0),$L$14*$H$36+IF(OR($D$14="No"),0,$C$14),0)+IF(AND($M$14&gt;0,MOD(C$41-1-$I$37,$H$37)=0),$M$14*$H$37+IF(OR($D$14="No"),0,$C$14),0)+IF(AND($N$14&gt;0,MOD(C$41-1-$I$38,$H$38)=0),$N$14*$H$38+IF(OR($D$14="No"),0,$C$14),0))/$H$14)</f>
        <v>0.734832424078583</v>
      </c>
      <c r="D53" s="72" t="n">
        <f aca="false">IF($H$14=0,0,(IF(AND($K$14&gt;0,MOD(D$41-1-$I$35,$H$35)=0),$K$14*$H$35+IF(OR($D$14="No",AND($E$14="Sí",$F$14&gt;=2)),0,$C$14),0)+IF(AND($L$14&gt;0,MOD(D$41-1-$I$36,$H$36)=0),$L$14*$H$36+IF(OR($D$14="No"),0,$C$14),0)+IF(AND($M$14&gt;0,MOD(D$41-1-$I$37,$H$37)=0),$M$14*$H$37+IF(OR($D$14="No"),0,$C$14),0)+IF(AND($N$14&gt;0,MOD(D$41-1-$I$38,$H$38)=0),$N$14*$H$38+IF(OR($D$14="No"),0,$C$14),0))/$H$14)</f>
        <v>0.765258175583195</v>
      </c>
      <c r="E53" s="72" t="n">
        <f aca="false">IF($H$14=0,0,(IF(AND($K$14&gt;0,MOD(E$41-1-$I$35,$H$35)=0),$K$14*$H$35+IF(OR($D$14="No",AND($E$14="Sí",$F$14&gt;=2)),0,$C$14),0)+IF(AND($L$14&gt;0,MOD(E$41-1-$I$36,$H$36)=0),$L$14*$H$36+IF(OR($D$14="No"),0,$C$14),0)+IF(AND($M$14&gt;0,MOD(E$41-1-$I$37,$H$37)=0),$M$14*$H$37+IF(OR($D$14="No"),0,$C$14),0)+IF(AND($N$14&gt;0,MOD(E$41-1-$I$38,$H$38)=0),$N$14*$H$38+IF(OR($D$14="No"),0,$C$14),0))/$H$14)</f>
        <v>0.734832424078583</v>
      </c>
      <c r="F53" s="72" t="n">
        <f aca="false">IF($H$14=0,0,(IF(AND($K$14&gt;0,MOD(F$41-1-$I$35,$H$35)=0),$K$14*$H$35+IF(OR($D$14="No",AND($E$14="Sí",$F$14&gt;=2)),0,$C$14),0)+IF(AND($L$14&gt;0,MOD(F$41-1-$I$36,$H$36)=0),$L$14*$H$36+IF(OR($D$14="No"),0,$C$14),0)+IF(AND($M$14&gt;0,MOD(F$41-1-$I$37,$H$37)=0),$M$14*$H$37+IF(OR($D$14="No"),0,$C$14),0)+IF(AND($N$14&gt;0,MOD(F$41-1-$I$38,$H$38)=0),$N$14*$H$38+IF(OR($D$14="No"),0,$C$14),0))/$H$14)</f>
        <v>0.765258175583195</v>
      </c>
      <c r="G53" s="72" t="n">
        <f aca="false">IF($H$14=0,0,(IF(AND($K$14&gt;0,MOD(G$41-1-$I$35,$H$35)=0),$K$14*$H$35+IF(OR($D$14="No",AND($E$14="Sí",$F$14&gt;=2)),0,$C$14),0)+IF(AND($L$14&gt;0,MOD(G$41-1-$I$36,$H$36)=0),$L$14*$H$36+IF(OR($D$14="No"),0,$C$14),0)+IF(AND($M$14&gt;0,MOD(G$41-1-$I$37,$H$37)=0),$M$14*$H$37+IF(OR($D$14="No"),0,$C$14),0)+IF(AND($N$14&gt;0,MOD(G$41-1-$I$38,$H$38)=0),$N$14*$H$38+IF(OR($D$14="No"),0,$C$14),0))/$H$14)</f>
        <v>0.734832424078583</v>
      </c>
      <c r="H53" s="72" t="n">
        <f aca="false">IF($H$14=0,0,(IF(AND($K$14&gt;0,MOD(H$41-1-$I$35,$H$35)=0),$K$14*$H$35+IF(OR($D$14="No",AND($E$14="Sí",$F$14&gt;=2)),0,$C$14),0)+IF(AND($L$14&gt;0,MOD(H$41-1-$I$36,$H$36)=0),$L$14*$H$36+IF(OR($D$14="No"),0,$C$14),0)+IF(AND($M$14&gt;0,MOD(H$41-1-$I$37,$H$37)=0),$M$14*$H$37+IF(OR($D$14="No"),0,$C$14),0)+IF(AND($N$14&gt;0,MOD(H$41-1-$I$38,$H$38)=0),$N$14*$H$38+IF(OR($D$14="No"),0,$C$14),0))/$H$14)</f>
        <v>0.765258175583195</v>
      </c>
      <c r="I53" s="72" t="n">
        <f aca="false">IF($H$14=0,0,(IF(AND($K$14&gt;0,MOD(I$41-1-$I$35,$H$35)=0),$K$14*$H$35+IF(OR($D$14="No",AND($E$14="Sí",$F$14&gt;=2)),0,$C$14),0)+IF(AND($L$14&gt;0,MOD(I$41-1-$I$36,$H$36)=0),$L$14*$H$36+IF(OR($D$14="No"),0,$C$14),0)+IF(AND($M$14&gt;0,MOD(I$41-1-$I$37,$H$37)=0),$M$14*$H$37+IF(OR($D$14="No"),0,$C$14),0)+IF(AND($N$14&gt;0,MOD(I$41-1-$I$38,$H$38)=0),$N$14*$H$38+IF(OR($D$14="No"),0,$C$14),0))/$H$14)</f>
        <v>0.734832424078583</v>
      </c>
      <c r="J53" s="72" t="n">
        <f aca="false">IF($H$14=0,0,(IF(AND($K$14&gt;0,MOD(J$41-1-$I$35,$H$35)=0),$K$14*$H$35+IF(OR($D$14="No",AND($E$14="Sí",$F$14&gt;=2)),0,$C$14),0)+IF(AND($L$14&gt;0,MOD(J$41-1-$I$36,$H$36)=0),$L$14*$H$36+IF(OR($D$14="No"),0,$C$14),0)+IF(AND($M$14&gt;0,MOD(J$41-1-$I$37,$H$37)=0),$M$14*$H$37+IF(OR($D$14="No"),0,$C$14),0)+IF(AND($N$14&gt;0,MOD(J$41-1-$I$38,$H$38)=0),$N$14*$H$38+IF(OR($D$14="No"),0,$C$14),0))/$H$14)</f>
        <v>0.765258175583195</v>
      </c>
      <c r="K53" s="72" t="n">
        <f aca="false">IF($H$14=0,0,(IF(AND($K$14&gt;0,MOD(K$41-1-$I$35,$H$35)=0),$K$14*$H$35+IF(OR($D$14="No",AND($E$14="Sí",$F$14&gt;=2)),0,$C$14),0)+IF(AND($L$14&gt;0,MOD(K$41-1-$I$36,$H$36)=0),$L$14*$H$36+IF(OR($D$14="No"),0,$C$14),0)+IF(AND($M$14&gt;0,MOD(K$41-1-$I$37,$H$37)=0),$M$14*$H$37+IF(OR($D$14="No"),0,$C$14),0)+IF(AND($N$14&gt;0,MOD(K$41-1-$I$38,$H$38)=0),$N$14*$H$38+IF(OR($D$14="No"),0,$C$14),0))/$H$14)</f>
        <v>0.734832424078583</v>
      </c>
      <c r="L53" s="72" t="n">
        <f aca="false">IF($H$14=0,0,(IF(AND($K$14&gt;0,MOD(L$41-1-$I$35,$H$35)=0),$K$14*$H$35+IF(OR($D$14="No",AND($E$14="Sí",$F$14&gt;=2)),0,$C$14),0)+IF(AND($L$14&gt;0,MOD(L$41-1-$I$36,$H$36)=0),$L$14*$H$36+IF(OR($D$14="No"),0,$C$14),0)+IF(AND($M$14&gt;0,MOD(L$41-1-$I$37,$H$37)=0),$M$14*$H$37+IF(OR($D$14="No"),0,$C$14),0)+IF(AND($N$14&gt;0,MOD(L$41-1-$I$38,$H$38)=0),$N$14*$H$38+IF(OR($D$14="No"),0,$C$14),0))/$H$14)</f>
        <v>0.765258175583195</v>
      </c>
      <c r="M53" s="72" t="n">
        <f aca="false">IF($H$14=0,0,(IF(AND($K$14&gt;0,MOD(M$41-1-$I$35,$H$35)=0),$K$14*$H$35+IF(OR($D$14="No",AND($E$14="Sí",$F$14&gt;=2)),0,$C$14),0)+IF(AND($L$14&gt;0,MOD(M$41-1-$I$36,$H$36)=0),$L$14*$H$36+IF(OR($D$14="No"),0,$C$14),0)+IF(AND($M$14&gt;0,MOD(M$41-1-$I$37,$H$37)=0),$M$14*$H$37+IF(OR($D$14="No"),0,$C$14),0)+IF(AND($N$14&gt;0,MOD(M$41-1-$I$38,$H$38)=0),$N$14*$H$38+IF(OR($D$14="No"),0,$C$14),0))/$H$14)</f>
        <v>0.734832424078583</v>
      </c>
      <c r="N53" s="72" t="n">
        <f aca="false">IF($H$14=0,0,(IF(AND($K$14&gt;0,MOD(N$41-1-$I$35,$H$35)=0),$K$14*$H$35+IF(OR($D$14="No",AND($E$14="Sí",$F$14&gt;=2)),0,$C$14),0)+IF(AND($L$14&gt;0,MOD(N$41-1-$I$36,$H$36)=0),$L$14*$H$36+IF(OR($D$14="No"),0,$C$14),0)+IF(AND($M$14&gt;0,MOD(N$41-1-$I$37,$H$37)=0),$M$14*$H$37+IF(OR($D$14="No"),0,$C$14),0)+IF(AND($N$14&gt;0,MOD(N$41-1-$I$38,$H$38)=0),$N$14*$H$38+IF(OR($D$14="No"),0,$C$14),0))/$H$14)</f>
        <v>0.765258175583195</v>
      </c>
      <c r="O53" s="72" t="n">
        <f aca="false">IF($H$14=0,0,(IF(AND($K$14&gt;0,MOD(O$41-1-$I$35,$H$35)=0),$K$14*$H$35+IF(OR($D$14="No",AND($E$14="Sí",$F$14&gt;=2)),0,$C$14),0)+IF(AND($L$14&gt;0,MOD(O$41-1-$I$36,$H$36)=0),$L$14*$H$36+IF(OR($D$14="No"),0,$C$14),0)+IF(AND($M$14&gt;0,MOD(O$41-1-$I$37,$H$37)=0),$M$14*$H$37+IF(OR($D$14="No"),0,$C$14),0)+IF(AND($N$14&gt;0,MOD(O$41-1-$I$38,$H$38)=0),$N$14*$H$38+IF(OR($D$14="No"),0,$C$14),0))/$H$14)</f>
        <v>0.734832424078583</v>
      </c>
      <c r="P53" s="72" t="n">
        <f aca="false">IF($H$14=0,0,(IF(AND($K$14&gt;0,MOD(P$41-1-$I$35,$H$35)=0),$K$14*$H$35+IF(OR($D$14="No",AND($E$14="Sí",$F$14&gt;=2)),0,$C$14),0)+IF(AND($L$14&gt;0,MOD(P$41-1-$I$36,$H$36)=0),$L$14*$H$36+IF(OR($D$14="No"),0,$C$14),0)+IF(AND($M$14&gt;0,MOD(P$41-1-$I$37,$H$37)=0),$M$14*$H$37+IF(OR($D$14="No"),0,$C$14),0)+IF(AND($N$14&gt;0,MOD(P$41-1-$I$38,$H$38)=0),$N$14*$H$38+IF(OR($D$14="No"),0,$C$14),0))/$H$14)</f>
        <v>0.765258175583195</v>
      </c>
      <c r="Q53" s="72" t="n">
        <f aca="false">IF($H$14=0,0,(IF(AND($K$14&gt;0,MOD(Q$41-1-$I$35,$H$35)=0),$K$14*$H$35+IF(OR($D$14="No",AND($E$14="Sí",$F$14&gt;=2)),0,$C$14),0)+IF(AND($L$14&gt;0,MOD(Q$41-1-$I$36,$H$36)=0),$L$14*$H$36+IF(OR($D$14="No"),0,$C$14),0)+IF(AND($M$14&gt;0,MOD(Q$41-1-$I$37,$H$37)=0),$M$14*$H$37+IF(OR($D$14="No"),0,$C$14),0)+IF(AND($N$14&gt;0,MOD(Q$41-1-$I$38,$H$38)=0),$N$14*$H$38+IF(OR($D$14="No"),0,$C$14),0))/$H$14)</f>
        <v>0.734832424078583</v>
      </c>
      <c r="R53" s="72" t="n">
        <f aca="false">IF($H$14=0,0,(IF(AND($K$14&gt;0,MOD(R$41-1-$I$35,$H$35)=0),$K$14*$H$35+IF(OR($D$14="No",AND($E$14="Sí",$F$14&gt;=2)),0,$C$14),0)+IF(AND($L$14&gt;0,MOD(R$41-1-$I$36,$H$36)=0),$L$14*$H$36+IF(OR($D$14="No"),0,$C$14),0)+IF(AND($M$14&gt;0,MOD(R$41-1-$I$37,$H$37)=0),$M$14*$H$37+IF(OR($D$14="No"),0,$C$14),0)+IF(AND($N$14&gt;0,MOD(R$41-1-$I$38,$H$38)=0),$N$14*$H$38+IF(OR($D$14="No"),0,$C$14),0))/$H$14)</f>
        <v>0.765258175583195</v>
      </c>
      <c r="S53" s="72" t="n">
        <f aca="false">IF($H$14=0,0,(IF(AND($K$14&gt;0,MOD(S$41-1-$I$35,$H$35)=0),$K$14*$H$35+IF(OR($D$14="No",AND($E$14="Sí",$F$14&gt;=2)),0,$C$14),0)+IF(AND($L$14&gt;0,MOD(S$41-1-$I$36,$H$36)=0),$L$14*$H$36+IF(OR($D$14="No"),0,$C$14),0)+IF(AND($M$14&gt;0,MOD(S$41-1-$I$37,$H$37)=0),$M$14*$H$37+IF(OR($D$14="No"),0,$C$14),0)+IF(AND($N$14&gt;0,MOD(S$41-1-$I$38,$H$38)=0),$N$14*$H$38+IF(OR($D$14="No"),0,$C$14),0))/$H$14)</f>
        <v>0.734832424078583</v>
      </c>
      <c r="T53" s="72" t="n">
        <f aca="false">IF($H$14=0,0,(IF(AND($K$14&gt;0,MOD(T$41-1-$I$35,$H$35)=0),$K$14*$H$35+IF(OR($D$14="No",AND($E$14="Sí",$F$14&gt;=2)),0,$C$14),0)+IF(AND($L$14&gt;0,MOD(T$41-1-$I$36,$H$36)=0),$L$14*$H$36+IF(OR($D$14="No"),0,$C$14),0)+IF(AND($M$14&gt;0,MOD(T$41-1-$I$37,$H$37)=0),$M$14*$H$37+IF(OR($D$14="No"),0,$C$14),0)+IF(AND($N$14&gt;0,MOD(T$41-1-$I$38,$H$38)=0),$N$14*$H$38+IF(OR($D$14="No"),0,$C$14),0))/$H$14)</f>
        <v>0.765258175583195</v>
      </c>
      <c r="U53" s="72" t="n">
        <f aca="false">IF($H$14=0,0,(IF(AND($K$14&gt;0,MOD(U$41-1-$I$35,$H$35)=0),$K$14*$H$35+IF(OR($D$14="No",AND($E$14="Sí",$F$14&gt;=2)),0,$C$14),0)+IF(AND($L$14&gt;0,MOD(U$41-1-$I$36,$H$36)=0),$L$14*$H$36+IF(OR($D$14="No"),0,$C$14),0)+IF(AND($M$14&gt;0,MOD(U$41-1-$I$37,$H$37)=0),$M$14*$H$37+IF(OR($D$14="No"),0,$C$14),0)+IF(AND($N$14&gt;0,MOD(U$41-1-$I$38,$H$38)=0),$N$14*$H$38+IF(OR($D$14="No"),0,$C$14),0))/$H$14)</f>
        <v>0.734832424078583</v>
      </c>
      <c r="V53" s="72" t="n">
        <f aca="false">IF($H$14=0,0,(IF(AND($K$14&gt;0,MOD(V$41-1-$I$35,$H$35)=0),$K$14*$H$35+IF(OR($D$14="No",AND($E$14="Sí",$F$14&gt;=2)),0,$C$14),0)+IF(AND($L$14&gt;0,MOD(V$41-1-$I$36,$H$36)=0),$L$14*$H$36+IF(OR($D$14="No"),0,$C$14),0)+IF(AND($M$14&gt;0,MOD(V$41-1-$I$37,$H$37)=0),$M$14*$H$37+IF(OR($D$14="No"),0,$C$14),0)+IF(AND($N$14&gt;0,MOD(V$41-1-$I$38,$H$38)=0),$N$14*$H$38+IF(OR($D$14="No"),0,$C$14),0))/$H$14)</f>
        <v>0.765258175583195</v>
      </c>
    </row>
    <row r="54" customFormat="false" ht="15.75" hidden="false" customHeight="true" outlineLevel="0" collapsed="false">
      <c r="B54" s="70" t="str">
        <f aca="false">Carga!B40</f>
        <v>Soldadura del cuello a la cúpula</v>
      </c>
      <c r="C54" s="71" t="str">
        <f aca="false">IF(AND($K$10&gt;0,MOD(C$41-1-$I$35,$H$35)=0),"1 ","")&amp;IF(AND($L$10&gt;0,MOD(C$41-1-$I$36,$H$36)=0),"2,5 ","")&amp;IF(AND($M$10&gt;0,MOD(C$41-1-$I$37,$H$37)=0),"5 ","")&amp;IF(AND($N$10&gt;0,MOD(C$41-1-$I$38,$H$38)=0),"10 ","")</f>
        <v>1 2,5 5 </v>
      </c>
      <c r="D54" s="71" t="str">
        <f aca="false">IF(AND($K$10&gt;0,MOD(D$41-1-$I$35,$H$35)=0),"1 ","")&amp;IF(AND($L$10&gt;0,MOD(D$41-1-$I$36,$H$36)=0),"2,5 ","")&amp;IF(AND($M$10&gt;0,MOD(D$41-1-$I$37,$H$37)=0),"5 ","")&amp;IF(AND($N$10&gt;0,MOD(D$41-1-$I$38,$H$38)=0),"10 ","")</f>
        <v>1 2,5 5 10 </v>
      </c>
      <c r="E54" s="71" t="str">
        <f aca="false">IF(AND($K$10&gt;0,MOD(E$41-1-$I$35,$H$35)=0),"1 ","")&amp;IF(AND($L$10&gt;0,MOD(E$41-1-$I$36,$H$36)=0),"2,5 ","")&amp;IF(AND($M$10&gt;0,MOD(E$41-1-$I$37,$H$37)=0),"5 ","")&amp;IF(AND($N$10&gt;0,MOD(E$41-1-$I$38,$H$38)=0),"10 ","")</f>
        <v>1 2,5 5 </v>
      </c>
      <c r="F54" s="71" t="str">
        <f aca="false">IF(AND($K$10&gt;0,MOD(F$41-1-$I$35,$H$35)=0),"1 ","")&amp;IF(AND($L$10&gt;0,MOD(F$41-1-$I$36,$H$36)=0),"2,5 ","")&amp;IF(AND($M$10&gt;0,MOD(F$41-1-$I$37,$H$37)=0),"5 ","")&amp;IF(AND($N$10&gt;0,MOD(F$41-1-$I$38,$H$38)=0),"10 ","")</f>
        <v>1 2,5 5 10 </v>
      </c>
      <c r="G54" s="71" t="str">
        <f aca="false">IF(AND($K$10&gt;0,MOD(G$41-1-$I$35,$H$35)=0),"1 ","")&amp;IF(AND($L$10&gt;0,MOD(G$41-1-$I$36,$H$36)=0),"2,5 ","")&amp;IF(AND($M$10&gt;0,MOD(G$41-1-$I$37,$H$37)=0),"5 ","")&amp;IF(AND($N$10&gt;0,MOD(G$41-1-$I$38,$H$38)=0),"10 ","")</f>
        <v>1 2,5 5 </v>
      </c>
      <c r="H54" s="71" t="str">
        <f aca="false">IF(AND($K$10&gt;0,MOD(H$41-1-$I$35,$H$35)=0),"1 ","")&amp;IF(AND($L$10&gt;0,MOD(H$41-1-$I$36,$H$36)=0),"2,5 ","")&amp;IF(AND($M$10&gt;0,MOD(H$41-1-$I$37,$H$37)=0),"5 ","")&amp;IF(AND($N$10&gt;0,MOD(H$41-1-$I$38,$H$38)=0),"10 ","")</f>
        <v>1 2,5 5 10 </v>
      </c>
      <c r="I54" s="71" t="str">
        <f aca="false">IF(AND($K$10&gt;0,MOD(I$41-1-$I$35,$H$35)=0),"1 ","")&amp;IF(AND($L$10&gt;0,MOD(I$41-1-$I$36,$H$36)=0),"2,5 ","")&amp;IF(AND($M$10&gt;0,MOD(I$41-1-$I$37,$H$37)=0),"5 ","")&amp;IF(AND($N$10&gt;0,MOD(I$41-1-$I$38,$H$38)=0),"10 ","")</f>
        <v>1 2,5 5 </v>
      </c>
      <c r="J54" s="71" t="str">
        <f aca="false">IF(AND($K$10&gt;0,MOD(J$41-1-$I$35,$H$35)=0),"1 ","")&amp;IF(AND($L$10&gt;0,MOD(J$41-1-$I$36,$H$36)=0),"2,5 ","")&amp;IF(AND($M$10&gt;0,MOD(J$41-1-$I$37,$H$37)=0),"5 ","")&amp;IF(AND($N$10&gt;0,MOD(J$41-1-$I$38,$H$38)=0),"10 ","")</f>
        <v>1 2,5 5 10 </v>
      </c>
      <c r="K54" s="71" t="str">
        <f aca="false">IF(AND($K$10&gt;0,MOD(K$41-1-$I$35,$H$35)=0),"1 ","")&amp;IF(AND($L$10&gt;0,MOD(K$41-1-$I$36,$H$36)=0),"2,5 ","")&amp;IF(AND($M$10&gt;0,MOD(K$41-1-$I$37,$H$37)=0),"5 ","")&amp;IF(AND($N$10&gt;0,MOD(K$41-1-$I$38,$H$38)=0),"10 ","")</f>
        <v>1 2,5 5 </v>
      </c>
      <c r="L54" s="71" t="str">
        <f aca="false">IF(AND($K$10&gt;0,MOD(L$41-1-$I$35,$H$35)=0),"1 ","")&amp;IF(AND($L$10&gt;0,MOD(L$41-1-$I$36,$H$36)=0),"2,5 ","")&amp;IF(AND($M$10&gt;0,MOD(L$41-1-$I$37,$H$37)=0),"5 ","")&amp;IF(AND($N$10&gt;0,MOD(L$41-1-$I$38,$H$38)=0),"10 ","")</f>
        <v>1 2,5 5 10 </v>
      </c>
      <c r="M54" s="71" t="str">
        <f aca="false">IF(AND($K$10&gt;0,MOD(M$41-1-$I$35,$H$35)=0),"1 ","")&amp;IF(AND($L$10&gt;0,MOD(M$41-1-$I$36,$H$36)=0),"2,5 ","")&amp;IF(AND($M$10&gt;0,MOD(M$41-1-$I$37,$H$37)=0),"5 ","")&amp;IF(AND($N$10&gt;0,MOD(M$41-1-$I$38,$H$38)=0),"10 ","")</f>
        <v>1 2,5 5 </v>
      </c>
      <c r="N54" s="71" t="str">
        <f aca="false">IF(AND($K$10&gt;0,MOD(N$41-1-$I$35,$H$35)=0),"1 ","")&amp;IF(AND($L$10&gt;0,MOD(N$41-1-$I$36,$H$36)=0),"2,5 ","")&amp;IF(AND($M$10&gt;0,MOD(N$41-1-$I$37,$H$37)=0),"5 ","")&amp;IF(AND($N$10&gt;0,MOD(N$41-1-$I$38,$H$38)=0),"10 ","")</f>
        <v>1 2,5 5 10 </v>
      </c>
      <c r="O54" s="71" t="str">
        <f aca="false">IF(AND($K$10&gt;0,MOD(O$41-1-$I$35,$H$35)=0),"1 ","")&amp;IF(AND($L$10&gt;0,MOD(O$41-1-$I$36,$H$36)=0),"2,5 ","")&amp;IF(AND($M$10&gt;0,MOD(O$41-1-$I$37,$H$37)=0),"5 ","")&amp;IF(AND($N$10&gt;0,MOD(O$41-1-$I$38,$H$38)=0),"10 ","")</f>
        <v>1 2,5 5 </v>
      </c>
      <c r="P54" s="71" t="str">
        <f aca="false">IF(AND($K$10&gt;0,MOD(P$41-1-$I$35,$H$35)=0),"1 ","")&amp;IF(AND($L$10&gt;0,MOD(P$41-1-$I$36,$H$36)=0),"2,5 ","")&amp;IF(AND($M$10&gt;0,MOD(P$41-1-$I$37,$H$37)=0),"5 ","")&amp;IF(AND($N$10&gt;0,MOD(P$41-1-$I$38,$H$38)=0),"10 ","")</f>
        <v>1 2,5 5 10 </v>
      </c>
      <c r="Q54" s="71" t="str">
        <f aca="false">IF(AND($K$10&gt;0,MOD(Q$41-1-$I$35,$H$35)=0),"1 ","")&amp;IF(AND($L$10&gt;0,MOD(Q$41-1-$I$36,$H$36)=0),"2,5 ","")&amp;IF(AND($M$10&gt;0,MOD(Q$41-1-$I$37,$H$37)=0),"5 ","")&amp;IF(AND($N$10&gt;0,MOD(Q$41-1-$I$38,$H$38)=0),"10 ","")</f>
        <v>1 2,5 5 </v>
      </c>
      <c r="R54" s="71" t="str">
        <f aca="false">IF(AND($K$10&gt;0,MOD(R$41-1-$I$35,$H$35)=0),"1 ","")&amp;IF(AND($L$10&gt;0,MOD(R$41-1-$I$36,$H$36)=0),"2,5 ","")&amp;IF(AND($M$10&gt;0,MOD(R$41-1-$I$37,$H$37)=0),"5 ","")&amp;IF(AND($N$10&gt;0,MOD(R$41-1-$I$38,$H$38)=0),"10 ","")</f>
        <v>1 2,5 5 10 </v>
      </c>
      <c r="S54" s="71" t="str">
        <f aca="false">IF(AND($K$10&gt;0,MOD(S$41-1-$I$35,$H$35)=0),"1 ","")&amp;IF(AND($L$10&gt;0,MOD(S$41-1-$I$36,$H$36)=0),"2,5 ","")&amp;IF(AND($M$10&gt;0,MOD(S$41-1-$I$37,$H$37)=0),"5 ","")&amp;IF(AND($N$10&gt;0,MOD(S$41-1-$I$38,$H$38)=0),"10 ","")</f>
        <v>1 2,5 5 </v>
      </c>
      <c r="T54" s="71" t="str">
        <f aca="false">IF(AND($K$10&gt;0,MOD(T$41-1-$I$35,$H$35)=0),"1 ","")&amp;IF(AND($L$10&gt;0,MOD(T$41-1-$I$36,$H$36)=0),"2,5 ","")&amp;IF(AND($M$10&gt;0,MOD(T$41-1-$I$37,$H$37)=0),"5 ","")&amp;IF(AND($N$10&gt;0,MOD(T$41-1-$I$38,$H$38)=0),"10 ","")</f>
        <v>1 2,5 5 10 </v>
      </c>
      <c r="U54" s="71" t="str">
        <f aca="false">IF(AND($K$10&gt;0,MOD(U$41-1-$I$35,$H$35)=0),"1 ","")&amp;IF(AND($L$10&gt;0,MOD(U$41-1-$I$36,$H$36)=0),"2,5 ","")&amp;IF(AND($M$10&gt;0,MOD(U$41-1-$I$37,$H$37)=0),"5 ","")&amp;IF(AND($N$10&gt;0,MOD(U$41-1-$I$38,$H$38)=0),"10 ","")</f>
        <v>1 2,5 5 </v>
      </c>
      <c r="V54" s="71" t="str">
        <f aca="false">IF(AND($K$10&gt;0,MOD(V$41-1-$I$35,$H$35)=0),"1 ","")&amp;IF(AND($L$10&gt;0,MOD(V$41-1-$I$36,$H$36)=0),"2,5 ","")&amp;IF(AND($M$10&gt;0,MOD(V$41-1-$I$37,$H$37)=0),"5 ","")&amp;IF(AND($N$10&gt;0,MOD(V$41-1-$I$38,$H$38)=0),"10 ","")</f>
        <v>1 2,5 5 10 </v>
      </c>
    </row>
    <row r="55" customFormat="false" ht="15.75" hidden="false" customHeight="true" outlineLevel="0" collapsed="false">
      <c r="B55" s="48" t="s">
        <v>640</v>
      </c>
      <c r="C55" s="72" t="n">
        <f aca="false">IF($H$10=0,0,(IF(AND($K$10&gt;0,MOD(C$41-1-$I$35,$H$35)=0),$K$10*$H$35+IF(OR($D$10="No",AND($E$10="Sí",$F$10&gt;=2)),0,$C$10),0)+IF(AND($L$10&gt;0,MOD(C$41-1-$I$36,$H$36)=0),$L$10*$H$36+IF(OR($D$10="No"),0,$C$10),0)+IF(AND($M$10&gt;0,MOD(C$41-1-$I$37,$H$37)=0),$M$10*$H$37+IF(OR($D$10="No"),0,$C$10),0)+IF(AND($N$10&gt;0,MOD(C$41-1-$I$38,$H$38)=0),$N$10*$H$38+IF(OR($D$10="No"),0,$C$10),0))/$H$10)</f>
        <v>0.634582575621042</v>
      </c>
      <c r="D55" s="72" t="n">
        <f aca="false">IF($H$10=0,0,(IF(AND($K$10&gt;0,MOD(D$41-1-$I$35,$H$35)=0),$K$10*$H$35+IF(OR($D$10="No",AND($E$10="Sí",$F$10&gt;=2)),0,$C$10),0)+IF(AND($L$10&gt;0,MOD(D$41-1-$I$36,$H$36)=0),$L$10*$H$36+IF(OR($D$10="No"),0,$C$10),0)+IF(AND($M$10&gt;0,MOD(D$41-1-$I$37,$H$37)=0),$M$10*$H$37+IF(OR($D$10="No"),0,$C$10),0)+IF(AND($N$10&gt;0,MOD(D$41-1-$I$38,$H$38)=0),$N$10*$H$38+IF(OR($D$10="No"),0,$C$10),0))/$H$10)</f>
        <v>0.667344775948958</v>
      </c>
      <c r="E55" s="72" t="n">
        <f aca="false">IF($H$10=0,0,(IF(AND($K$10&gt;0,MOD(E$41-1-$I$35,$H$35)=0),$K$10*$H$35+IF(OR($D$10="No",AND($E$10="Sí",$F$10&gt;=2)),0,$C$10),0)+IF(AND($L$10&gt;0,MOD(E$41-1-$I$36,$H$36)=0),$L$10*$H$36+IF(OR($D$10="No"),0,$C$10),0)+IF(AND($M$10&gt;0,MOD(E$41-1-$I$37,$H$37)=0),$M$10*$H$37+IF(OR($D$10="No"),0,$C$10),0)+IF(AND($N$10&gt;0,MOD(E$41-1-$I$38,$H$38)=0),$N$10*$H$38+IF(OR($D$10="No"),0,$C$10),0))/$H$10)</f>
        <v>0.634582575621042</v>
      </c>
      <c r="F55" s="72" t="n">
        <f aca="false">IF($H$10=0,0,(IF(AND($K$10&gt;0,MOD(F$41-1-$I$35,$H$35)=0),$K$10*$H$35+IF(OR($D$10="No",AND($E$10="Sí",$F$10&gt;=2)),0,$C$10),0)+IF(AND($L$10&gt;0,MOD(F$41-1-$I$36,$H$36)=0),$L$10*$H$36+IF(OR($D$10="No"),0,$C$10),0)+IF(AND($M$10&gt;0,MOD(F$41-1-$I$37,$H$37)=0),$M$10*$H$37+IF(OR($D$10="No"),0,$C$10),0)+IF(AND($N$10&gt;0,MOD(F$41-1-$I$38,$H$38)=0),$N$10*$H$38+IF(OR($D$10="No"),0,$C$10),0))/$H$10)</f>
        <v>0.667344775948958</v>
      </c>
      <c r="G55" s="72" t="n">
        <f aca="false">IF($H$10=0,0,(IF(AND($K$10&gt;0,MOD(G$41-1-$I$35,$H$35)=0),$K$10*$H$35+IF(OR($D$10="No",AND($E$10="Sí",$F$10&gt;=2)),0,$C$10),0)+IF(AND($L$10&gt;0,MOD(G$41-1-$I$36,$H$36)=0),$L$10*$H$36+IF(OR($D$10="No"),0,$C$10),0)+IF(AND($M$10&gt;0,MOD(G$41-1-$I$37,$H$37)=0),$M$10*$H$37+IF(OR($D$10="No"),0,$C$10),0)+IF(AND($N$10&gt;0,MOD(G$41-1-$I$38,$H$38)=0),$N$10*$H$38+IF(OR($D$10="No"),0,$C$10),0))/$H$10)</f>
        <v>0.634582575621042</v>
      </c>
      <c r="H55" s="72" t="n">
        <f aca="false">IF($H$10=0,0,(IF(AND($K$10&gt;0,MOD(H$41-1-$I$35,$H$35)=0),$K$10*$H$35+IF(OR($D$10="No",AND($E$10="Sí",$F$10&gt;=2)),0,$C$10),0)+IF(AND($L$10&gt;0,MOD(H$41-1-$I$36,$H$36)=0),$L$10*$H$36+IF(OR($D$10="No"),0,$C$10),0)+IF(AND($M$10&gt;0,MOD(H$41-1-$I$37,$H$37)=0),$M$10*$H$37+IF(OR($D$10="No"),0,$C$10),0)+IF(AND($N$10&gt;0,MOD(H$41-1-$I$38,$H$38)=0),$N$10*$H$38+IF(OR($D$10="No"),0,$C$10),0))/$H$10)</f>
        <v>0.667344775948958</v>
      </c>
      <c r="I55" s="72" t="n">
        <f aca="false">IF($H$10=0,0,(IF(AND($K$10&gt;0,MOD(I$41-1-$I$35,$H$35)=0),$K$10*$H$35+IF(OR($D$10="No",AND($E$10="Sí",$F$10&gt;=2)),0,$C$10),0)+IF(AND($L$10&gt;0,MOD(I$41-1-$I$36,$H$36)=0),$L$10*$H$36+IF(OR($D$10="No"),0,$C$10),0)+IF(AND($M$10&gt;0,MOD(I$41-1-$I$37,$H$37)=0),$M$10*$H$37+IF(OR($D$10="No"),0,$C$10),0)+IF(AND($N$10&gt;0,MOD(I$41-1-$I$38,$H$38)=0),$N$10*$H$38+IF(OR($D$10="No"),0,$C$10),0))/$H$10)</f>
        <v>0.634582575621042</v>
      </c>
      <c r="J55" s="72" t="n">
        <f aca="false">IF($H$10=0,0,(IF(AND($K$10&gt;0,MOD(J$41-1-$I$35,$H$35)=0),$K$10*$H$35+IF(OR($D$10="No",AND($E$10="Sí",$F$10&gt;=2)),0,$C$10),0)+IF(AND($L$10&gt;0,MOD(J$41-1-$I$36,$H$36)=0),$L$10*$H$36+IF(OR($D$10="No"),0,$C$10),0)+IF(AND($M$10&gt;0,MOD(J$41-1-$I$37,$H$37)=0),$M$10*$H$37+IF(OR($D$10="No"),0,$C$10),0)+IF(AND($N$10&gt;0,MOD(J$41-1-$I$38,$H$38)=0),$N$10*$H$38+IF(OR($D$10="No"),0,$C$10),0))/$H$10)</f>
        <v>0.667344775948958</v>
      </c>
      <c r="K55" s="72" t="n">
        <f aca="false">IF($H$10=0,0,(IF(AND($K$10&gt;0,MOD(K$41-1-$I$35,$H$35)=0),$K$10*$H$35+IF(OR($D$10="No",AND($E$10="Sí",$F$10&gt;=2)),0,$C$10),0)+IF(AND($L$10&gt;0,MOD(K$41-1-$I$36,$H$36)=0),$L$10*$H$36+IF(OR($D$10="No"),0,$C$10),0)+IF(AND($M$10&gt;0,MOD(K$41-1-$I$37,$H$37)=0),$M$10*$H$37+IF(OR($D$10="No"),0,$C$10),0)+IF(AND($N$10&gt;0,MOD(K$41-1-$I$38,$H$38)=0),$N$10*$H$38+IF(OR($D$10="No"),0,$C$10),0))/$H$10)</f>
        <v>0.634582575621042</v>
      </c>
      <c r="L55" s="72" t="n">
        <f aca="false">IF($H$10=0,0,(IF(AND($K$10&gt;0,MOD(L$41-1-$I$35,$H$35)=0),$K$10*$H$35+IF(OR($D$10="No",AND($E$10="Sí",$F$10&gt;=2)),0,$C$10),0)+IF(AND($L$10&gt;0,MOD(L$41-1-$I$36,$H$36)=0),$L$10*$H$36+IF(OR($D$10="No"),0,$C$10),0)+IF(AND($M$10&gt;0,MOD(L$41-1-$I$37,$H$37)=0),$M$10*$H$37+IF(OR($D$10="No"),0,$C$10),0)+IF(AND($N$10&gt;0,MOD(L$41-1-$I$38,$H$38)=0),$N$10*$H$38+IF(OR($D$10="No"),0,$C$10),0))/$H$10)</f>
        <v>0.667344775948958</v>
      </c>
      <c r="M55" s="72" t="n">
        <f aca="false">IF($H$10=0,0,(IF(AND($K$10&gt;0,MOD(M$41-1-$I$35,$H$35)=0),$K$10*$H$35+IF(OR($D$10="No",AND($E$10="Sí",$F$10&gt;=2)),0,$C$10),0)+IF(AND($L$10&gt;0,MOD(M$41-1-$I$36,$H$36)=0),$L$10*$H$36+IF(OR($D$10="No"),0,$C$10),0)+IF(AND($M$10&gt;0,MOD(M$41-1-$I$37,$H$37)=0),$M$10*$H$37+IF(OR($D$10="No"),0,$C$10),0)+IF(AND($N$10&gt;0,MOD(M$41-1-$I$38,$H$38)=0),$N$10*$H$38+IF(OR($D$10="No"),0,$C$10),0))/$H$10)</f>
        <v>0.634582575621042</v>
      </c>
      <c r="N55" s="72" t="n">
        <f aca="false">IF($H$10=0,0,(IF(AND($K$10&gt;0,MOD(N$41-1-$I$35,$H$35)=0),$K$10*$H$35+IF(OR($D$10="No",AND($E$10="Sí",$F$10&gt;=2)),0,$C$10),0)+IF(AND($L$10&gt;0,MOD(N$41-1-$I$36,$H$36)=0),$L$10*$H$36+IF(OR($D$10="No"),0,$C$10),0)+IF(AND($M$10&gt;0,MOD(N$41-1-$I$37,$H$37)=0),$M$10*$H$37+IF(OR($D$10="No"),0,$C$10),0)+IF(AND($N$10&gt;0,MOD(N$41-1-$I$38,$H$38)=0),$N$10*$H$38+IF(OR($D$10="No"),0,$C$10),0))/$H$10)</f>
        <v>0.667344775948958</v>
      </c>
      <c r="O55" s="72" t="n">
        <f aca="false">IF($H$10=0,0,(IF(AND($K$10&gt;0,MOD(O$41-1-$I$35,$H$35)=0),$K$10*$H$35+IF(OR($D$10="No",AND($E$10="Sí",$F$10&gt;=2)),0,$C$10),0)+IF(AND($L$10&gt;0,MOD(O$41-1-$I$36,$H$36)=0),$L$10*$H$36+IF(OR($D$10="No"),0,$C$10),0)+IF(AND($M$10&gt;0,MOD(O$41-1-$I$37,$H$37)=0),$M$10*$H$37+IF(OR($D$10="No"),0,$C$10),0)+IF(AND($N$10&gt;0,MOD(O$41-1-$I$38,$H$38)=0),$N$10*$H$38+IF(OR($D$10="No"),0,$C$10),0))/$H$10)</f>
        <v>0.634582575621042</v>
      </c>
      <c r="P55" s="72" t="n">
        <f aca="false">IF($H$10=0,0,(IF(AND($K$10&gt;0,MOD(P$41-1-$I$35,$H$35)=0),$K$10*$H$35+IF(OR($D$10="No",AND($E$10="Sí",$F$10&gt;=2)),0,$C$10),0)+IF(AND($L$10&gt;0,MOD(P$41-1-$I$36,$H$36)=0),$L$10*$H$36+IF(OR($D$10="No"),0,$C$10),0)+IF(AND($M$10&gt;0,MOD(P$41-1-$I$37,$H$37)=0),$M$10*$H$37+IF(OR($D$10="No"),0,$C$10),0)+IF(AND($N$10&gt;0,MOD(P$41-1-$I$38,$H$38)=0),$N$10*$H$38+IF(OR($D$10="No"),0,$C$10),0))/$H$10)</f>
        <v>0.667344775948958</v>
      </c>
      <c r="Q55" s="72" t="n">
        <f aca="false">IF($H$10=0,0,(IF(AND($K$10&gt;0,MOD(Q$41-1-$I$35,$H$35)=0),$K$10*$H$35+IF(OR($D$10="No",AND($E$10="Sí",$F$10&gt;=2)),0,$C$10),0)+IF(AND($L$10&gt;0,MOD(Q$41-1-$I$36,$H$36)=0),$L$10*$H$36+IF(OR($D$10="No"),0,$C$10),0)+IF(AND($M$10&gt;0,MOD(Q$41-1-$I$37,$H$37)=0),$M$10*$H$37+IF(OR($D$10="No"),0,$C$10),0)+IF(AND($N$10&gt;0,MOD(Q$41-1-$I$38,$H$38)=0),$N$10*$H$38+IF(OR($D$10="No"),0,$C$10),0))/$H$10)</f>
        <v>0.634582575621042</v>
      </c>
      <c r="R55" s="72" t="n">
        <f aca="false">IF($H$10=0,0,(IF(AND($K$10&gt;0,MOD(R$41-1-$I$35,$H$35)=0),$K$10*$H$35+IF(OR($D$10="No",AND($E$10="Sí",$F$10&gt;=2)),0,$C$10),0)+IF(AND($L$10&gt;0,MOD(R$41-1-$I$36,$H$36)=0),$L$10*$H$36+IF(OR($D$10="No"),0,$C$10),0)+IF(AND($M$10&gt;0,MOD(R$41-1-$I$37,$H$37)=0),$M$10*$H$37+IF(OR($D$10="No"),0,$C$10),0)+IF(AND($N$10&gt;0,MOD(R$41-1-$I$38,$H$38)=0),$N$10*$H$38+IF(OR($D$10="No"),0,$C$10),0))/$H$10)</f>
        <v>0.667344775948958</v>
      </c>
      <c r="S55" s="72" t="n">
        <f aca="false">IF($H$10=0,0,(IF(AND($K$10&gt;0,MOD(S$41-1-$I$35,$H$35)=0),$K$10*$H$35+IF(OR($D$10="No",AND($E$10="Sí",$F$10&gt;=2)),0,$C$10),0)+IF(AND($L$10&gt;0,MOD(S$41-1-$I$36,$H$36)=0),$L$10*$H$36+IF(OR($D$10="No"),0,$C$10),0)+IF(AND($M$10&gt;0,MOD(S$41-1-$I$37,$H$37)=0),$M$10*$H$37+IF(OR($D$10="No"),0,$C$10),0)+IF(AND($N$10&gt;0,MOD(S$41-1-$I$38,$H$38)=0),$N$10*$H$38+IF(OR($D$10="No"),0,$C$10),0))/$H$10)</f>
        <v>0.634582575621042</v>
      </c>
      <c r="T55" s="72" t="n">
        <f aca="false">IF($H$10=0,0,(IF(AND($K$10&gt;0,MOD(T$41-1-$I$35,$H$35)=0),$K$10*$H$35+IF(OR($D$10="No",AND($E$10="Sí",$F$10&gt;=2)),0,$C$10),0)+IF(AND($L$10&gt;0,MOD(T$41-1-$I$36,$H$36)=0),$L$10*$H$36+IF(OR($D$10="No"),0,$C$10),0)+IF(AND($M$10&gt;0,MOD(T$41-1-$I$37,$H$37)=0),$M$10*$H$37+IF(OR($D$10="No"),0,$C$10),0)+IF(AND($N$10&gt;0,MOD(T$41-1-$I$38,$H$38)=0),$N$10*$H$38+IF(OR($D$10="No"),0,$C$10),0))/$H$10)</f>
        <v>0.667344775948958</v>
      </c>
      <c r="U55" s="72" t="n">
        <f aca="false">IF($H$10=0,0,(IF(AND($K$10&gt;0,MOD(U$41-1-$I$35,$H$35)=0),$K$10*$H$35+IF(OR($D$10="No",AND($E$10="Sí",$F$10&gt;=2)),0,$C$10),0)+IF(AND($L$10&gt;0,MOD(U$41-1-$I$36,$H$36)=0),$L$10*$H$36+IF(OR($D$10="No"),0,$C$10),0)+IF(AND($M$10&gt;0,MOD(U$41-1-$I$37,$H$37)=0),$M$10*$H$37+IF(OR($D$10="No"),0,$C$10),0)+IF(AND($N$10&gt;0,MOD(U$41-1-$I$38,$H$38)=0),$N$10*$H$38+IF(OR($D$10="No"),0,$C$10),0))/$H$10)</f>
        <v>0.634582575621042</v>
      </c>
      <c r="V55" s="72" t="n">
        <f aca="false">IF($H$10=0,0,(IF(AND($K$10&gt;0,MOD(V$41-1-$I$35,$H$35)=0),$K$10*$H$35+IF(OR($D$10="No",AND($E$10="Sí",$F$10&gt;=2)),0,$C$10),0)+IF(AND($L$10&gt;0,MOD(V$41-1-$I$36,$H$36)=0),$L$10*$H$36+IF(OR($D$10="No"),0,$C$10),0)+IF(AND($M$10&gt;0,MOD(V$41-1-$I$37,$H$37)=0),$M$10*$H$37+IF(OR($D$10="No"),0,$C$10),0)+IF(AND($N$10&gt;0,MOD(V$41-1-$I$38,$H$38)=0),$N$10*$H$38+IF(OR($D$10="No"),0,$C$10),0))/$H$10)</f>
        <v>0.667344775948958</v>
      </c>
    </row>
    <row r="56" customFormat="false" ht="15.75" hidden="false" customHeight="true" outlineLevel="0" collapsed="false">
      <c r="B56" s="70" t="str">
        <f aca="false">Carga!B46</f>
        <v>Soldadura circunferencial de cúpula y fondo</v>
      </c>
      <c r="C56" s="71" t="str">
        <f aca="false">IF(AND($K$16&gt;0,MOD(C$41-1-$I$35,$H$35)=0),"1 ","")&amp;IF(AND($L$16&gt;0,MOD(C$41-1-$I$36,$H$36)=0),"2,5 ","")&amp;IF(AND($M$16&gt;0,MOD(C$41-1-$I$37,$H$37)=0),"5 ","")&amp;IF(AND($N$16&gt;0,MOD(C$41-1-$I$38,$H$38)=0),"10 ","")</f>
        <v>1 2,5 5 </v>
      </c>
      <c r="D56" s="71" t="str">
        <f aca="false">IF(AND($K$16&gt;0,MOD(D$41-1-$I$35,$H$35)=0),"1 ","")&amp;IF(AND($L$16&gt;0,MOD(D$41-1-$I$36,$H$36)=0),"2,5 ","")&amp;IF(AND($M$16&gt;0,MOD(D$41-1-$I$37,$H$37)=0),"5 ","")&amp;IF(AND($N$16&gt;0,MOD(D$41-1-$I$38,$H$38)=0),"10 ","")</f>
        <v>1 2,5 5 10 </v>
      </c>
      <c r="E56" s="71" t="str">
        <f aca="false">IF(AND($K$16&gt;0,MOD(E$41-1-$I$35,$H$35)=0),"1 ","")&amp;IF(AND($L$16&gt;0,MOD(E$41-1-$I$36,$H$36)=0),"2,5 ","")&amp;IF(AND($M$16&gt;0,MOD(E$41-1-$I$37,$H$37)=0),"5 ","")&amp;IF(AND($N$16&gt;0,MOD(E$41-1-$I$38,$H$38)=0),"10 ","")</f>
        <v>1 2,5 5 </v>
      </c>
      <c r="F56" s="71" t="str">
        <f aca="false">IF(AND($K$16&gt;0,MOD(F$41-1-$I$35,$H$35)=0),"1 ","")&amp;IF(AND($L$16&gt;0,MOD(F$41-1-$I$36,$H$36)=0),"2,5 ","")&amp;IF(AND($M$16&gt;0,MOD(F$41-1-$I$37,$H$37)=0),"5 ","")&amp;IF(AND($N$16&gt;0,MOD(F$41-1-$I$38,$H$38)=0),"10 ","")</f>
        <v>1 2,5 5 10 </v>
      </c>
      <c r="G56" s="71" t="str">
        <f aca="false">IF(AND($K$16&gt;0,MOD(G$41-1-$I$35,$H$35)=0),"1 ","")&amp;IF(AND($L$16&gt;0,MOD(G$41-1-$I$36,$H$36)=0),"2,5 ","")&amp;IF(AND($M$16&gt;0,MOD(G$41-1-$I$37,$H$37)=0),"5 ","")&amp;IF(AND($N$16&gt;0,MOD(G$41-1-$I$38,$H$38)=0),"10 ","")</f>
        <v>1 2,5 5 </v>
      </c>
      <c r="H56" s="71" t="str">
        <f aca="false">IF(AND($K$16&gt;0,MOD(H$41-1-$I$35,$H$35)=0),"1 ","")&amp;IF(AND($L$16&gt;0,MOD(H$41-1-$I$36,$H$36)=0),"2,5 ","")&amp;IF(AND($M$16&gt;0,MOD(H$41-1-$I$37,$H$37)=0),"5 ","")&amp;IF(AND($N$16&gt;0,MOD(H$41-1-$I$38,$H$38)=0),"10 ","")</f>
        <v>1 2,5 5 10 </v>
      </c>
      <c r="I56" s="71" t="str">
        <f aca="false">IF(AND($K$16&gt;0,MOD(I$41-1-$I$35,$H$35)=0),"1 ","")&amp;IF(AND($L$16&gt;0,MOD(I$41-1-$I$36,$H$36)=0),"2,5 ","")&amp;IF(AND($M$16&gt;0,MOD(I$41-1-$I$37,$H$37)=0),"5 ","")&amp;IF(AND($N$16&gt;0,MOD(I$41-1-$I$38,$H$38)=0),"10 ","")</f>
        <v>1 2,5 5 </v>
      </c>
      <c r="J56" s="71" t="str">
        <f aca="false">IF(AND($K$16&gt;0,MOD(J$41-1-$I$35,$H$35)=0),"1 ","")&amp;IF(AND($L$16&gt;0,MOD(J$41-1-$I$36,$H$36)=0),"2,5 ","")&amp;IF(AND($M$16&gt;0,MOD(J$41-1-$I$37,$H$37)=0),"5 ","")&amp;IF(AND($N$16&gt;0,MOD(J$41-1-$I$38,$H$38)=0),"10 ","")</f>
        <v>1 2,5 5 10 </v>
      </c>
      <c r="K56" s="71" t="str">
        <f aca="false">IF(AND($K$16&gt;0,MOD(K$41-1-$I$35,$H$35)=0),"1 ","")&amp;IF(AND($L$16&gt;0,MOD(K$41-1-$I$36,$H$36)=0),"2,5 ","")&amp;IF(AND($M$16&gt;0,MOD(K$41-1-$I$37,$H$37)=0),"5 ","")&amp;IF(AND($N$16&gt;0,MOD(K$41-1-$I$38,$H$38)=0),"10 ","")</f>
        <v>1 2,5 5 </v>
      </c>
      <c r="L56" s="71" t="str">
        <f aca="false">IF(AND($K$16&gt;0,MOD(L$41-1-$I$35,$H$35)=0),"1 ","")&amp;IF(AND($L$16&gt;0,MOD(L$41-1-$I$36,$H$36)=0),"2,5 ","")&amp;IF(AND($M$16&gt;0,MOD(L$41-1-$I$37,$H$37)=0),"5 ","")&amp;IF(AND($N$16&gt;0,MOD(L$41-1-$I$38,$H$38)=0),"10 ","")</f>
        <v>1 2,5 5 10 </v>
      </c>
      <c r="M56" s="71" t="str">
        <f aca="false">IF(AND($K$16&gt;0,MOD(M$41-1-$I$35,$H$35)=0),"1 ","")&amp;IF(AND($L$16&gt;0,MOD(M$41-1-$I$36,$H$36)=0),"2,5 ","")&amp;IF(AND($M$16&gt;0,MOD(M$41-1-$I$37,$H$37)=0),"5 ","")&amp;IF(AND($N$16&gt;0,MOD(M$41-1-$I$38,$H$38)=0),"10 ","")</f>
        <v>1 2,5 5 </v>
      </c>
      <c r="N56" s="71" t="str">
        <f aca="false">IF(AND($K$16&gt;0,MOD(N$41-1-$I$35,$H$35)=0),"1 ","")&amp;IF(AND($L$16&gt;0,MOD(N$41-1-$I$36,$H$36)=0),"2,5 ","")&amp;IF(AND($M$16&gt;0,MOD(N$41-1-$I$37,$H$37)=0),"5 ","")&amp;IF(AND($N$16&gt;0,MOD(N$41-1-$I$38,$H$38)=0),"10 ","")</f>
        <v>1 2,5 5 10 </v>
      </c>
      <c r="O56" s="71" t="str">
        <f aca="false">IF(AND($K$16&gt;0,MOD(O$41-1-$I$35,$H$35)=0),"1 ","")&amp;IF(AND($L$16&gt;0,MOD(O$41-1-$I$36,$H$36)=0),"2,5 ","")&amp;IF(AND($M$16&gt;0,MOD(O$41-1-$I$37,$H$37)=0),"5 ","")&amp;IF(AND($N$16&gt;0,MOD(O$41-1-$I$38,$H$38)=0),"10 ","")</f>
        <v>1 2,5 5 </v>
      </c>
      <c r="P56" s="71" t="str">
        <f aca="false">IF(AND($K$16&gt;0,MOD(P$41-1-$I$35,$H$35)=0),"1 ","")&amp;IF(AND($L$16&gt;0,MOD(P$41-1-$I$36,$H$36)=0),"2,5 ","")&amp;IF(AND($M$16&gt;0,MOD(P$41-1-$I$37,$H$37)=0),"5 ","")&amp;IF(AND($N$16&gt;0,MOD(P$41-1-$I$38,$H$38)=0),"10 ","")</f>
        <v>1 2,5 5 10 </v>
      </c>
      <c r="Q56" s="71" t="str">
        <f aca="false">IF(AND($K$16&gt;0,MOD(Q$41-1-$I$35,$H$35)=0),"1 ","")&amp;IF(AND($L$16&gt;0,MOD(Q$41-1-$I$36,$H$36)=0),"2,5 ","")&amp;IF(AND($M$16&gt;0,MOD(Q$41-1-$I$37,$H$37)=0),"5 ","")&amp;IF(AND($N$16&gt;0,MOD(Q$41-1-$I$38,$H$38)=0),"10 ","")</f>
        <v>1 2,5 5 </v>
      </c>
      <c r="R56" s="71" t="str">
        <f aca="false">IF(AND($K$16&gt;0,MOD(R$41-1-$I$35,$H$35)=0),"1 ","")&amp;IF(AND($L$16&gt;0,MOD(R$41-1-$I$36,$H$36)=0),"2,5 ","")&amp;IF(AND($M$16&gt;0,MOD(R$41-1-$I$37,$H$37)=0),"5 ","")&amp;IF(AND($N$16&gt;0,MOD(R$41-1-$I$38,$H$38)=0),"10 ","")</f>
        <v>1 2,5 5 10 </v>
      </c>
      <c r="S56" s="71" t="str">
        <f aca="false">IF(AND($K$16&gt;0,MOD(S$41-1-$I$35,$H$35)=0),"1 ","")&amp;IF(AND($L$16&gt;0,MOD(S$41-1-$I$36,$H$36)=0),"2,5 ","")&amp;IF(AND($M$16&gt;0,MOD(S$41-1-$I$37,$H$37)=0),"5 ","")&amp;IF(AND($N$16&gt;0,MOD(S$41-1-$I$38,$H$38)=0),"10 ","")</f>
        <v>1 2,5 5 </v>
      </c>
      <c r="T56" s="71" t="str">
        <f aca="false">IF(AND($K$16&gt;0,MOD(T$41-1-$I$35,$H$35)=0),"1 ","")&amp;IF(AND($L$16&gt;0,MOD(T$41-1-$I$36,$H$36)=0),"2,5 ","")&amp;IF(AND($M$16&gt;0,MOD(T$41-1-$I$37,$H$37)=0),"5 ","")&amp;IF(AND($N$16&gt;0,MOD(T$41-1-$I$38,$H$38)=0),"10 ","")</f>
        <v>1 2,5 5 10 </v>
      </c>
      <c r="U56" s="71" t="str">
        <f aca="false">IF(AND($K$16&gt;0,MOD(U$41-1-$I$35,$H$35)=0),"1 ","")&amp;IF(AND($L$16&gt;0,MOD(U$41-1-$I$36,$H$36)=0),"2,5 ","")&amp;IF(AND($M$16&gt;0,MOD(U$41-1-$I$37,$H$37)=0),"5 ","")&amp;IF(AND($N$16&gt;0,MOD(U$41-1-$I$38,$H$38)=0),"10 ","")</f>
        <v>1 2,5 5 </v>
      </c>
      <c r="V56" s="71" t="str">
        <f aca="false">IF(AND($K$16&gt;0,MOD(V$41-1-$I$35,$H$35)=0),"1 ","")&amp;IF(AND($L$16&gt;0,MOD(V$41-1-$I$36,$H$36)=0),"2,5 ","")&amp;IF(AND($M$16&gt;0,MOD(V$41-1-$I$37,$H$37)=0),"5 ","")&amp;IF(AND($N$16&gt;0,MOD(V$41-1-$I$38,$H$38)=0),"10 ","")</f>
        <v>1 2,5 5 10 </v>
      </c>
    </row>
    <row r="57" customFormat="false" ht="15.75" hidden="false" customHeight="true" outlineLevel="0" collapsed="false">
      <c r="B57" s="48" t="s">
        <v>640</v>
      </c>
      <c r="C57" s="72" t="n">
        <f aca="false">IF($H$16=0,0,(IF(AND($K$16&gt;0,MOD(C$41-1-$I$35,$H$35)=0),$K$16*$H$35+IF(OR($D$16="No",AND($E$16="Sí",$F$16&gt;=2)),0,$C$16),0)+IF(AND($L$16&gt;0,MOD(C$41-1-$I$36,$H$36)=0),$L$16*$H$36+IF(OR($D$16="No"),0,$C$16),0)+IF(AND($M$16&gt;0,MOD(C$41-1-$I$37,$H$37)=0),$M$16*$H$37+IF(OR($D$16="No"),0,$C$16),0)+IF(AND($N$16&gt;0,MOD(C$41-1-$I$38,$H$38)=0),$N$16*$H$38+IF(OR($D$16="No"),0,$C$16),0))/$H$16)</f>
        <v>0.718165757411917</v>
      </c>
      <c r="D57" s="72" t="n">
        <f aca="false">IF($H$16=0,0,(IF(AND($K$16&gt;0,MOD(D$41-1-$I$35,$H$35)=0),$K$16*$H$35+IF(OR($D$16="No",AND($E$16="Sí",$F$16&gt;=2)),0,$C$16),0)+IF(AND($L$16&gt;0,MOD(D$41-1-$I$36,$H$36)=0),$L$16*$H$36+IF(OR($D$16="No"),0,$C$16),0)+IF(AND($M$16&gt;0,MOD(D$41-1-$I$37,$H$37)=0),$M$16*$H$37+IF(OR($D$16="No"),0,$C$16),0)+IF(AND($N$16&gt;0,MOD(D$41-1-$I$38,$H$38)=0),$N$16*$H$38+IF(OR($D$16="No"),0,$C$16),0))/$H$16)</f>
        <v>0.743035953360972</v>
      </c>
      <c r="E57" s="72" t="n">
        <f aca="false">IF($H$16=0,0,(IF(AND($K$16&gt;0,MOD(E$41-1-$I$35,$H$35)=0),$K$16*$H$35+IF(OR($D$16="No",AND($E$16="Sí",$F$16&gt;=2)),0,$C$16),0)+IF(AND($L$16&gt;0,MOD(E$41-1-$I$36,$H$36)=0),$L$16*$H$36+IF(OR($D$16="No"),0,$C$16),0)+IF(AND($M$16&gt;0,MOD(E$41-1-$I$37,$H$37)=0),$M$16*$H$37+IF(OR($D$16="No"),0,$C$16),0)+IF(AND($N$16&gt;0,MOD(E$41-1-$I$38,$H$38)=0),$N$16*$H$38+IF(OR($D$16="No"),0,$C$16),0))/$H$16)</f>
        <v>0.718165757411917</v>
      </c>
      <c r="F57" s="72" t="n">
        <f aca="false">IF($H$16=0,0,(IF(AND($K$16&gt;0,MOD(F$41-1-$I$35,$H$35)=0),$K$16*$H$35+IF(OR($D$16="No",AND($E$16="Sí",$F$16&gt;=2)),0,$C$16),0)+IF(AND($L$16&gt;0,MOD(F$41-1-$I$36,$H$36)=0),$L$16*$H$36+IF(OR($D$16="No"),0,$C$16),0)+IF(AND($M$16&gt;0,MOD(F$41-1-$I$37,$H$37)=0),$M$16*$H$37+IF(OR($D$16="No"),0,$C$16),0)+IF(AND($N$16&gt;0,MOD(F$41-1-$I$38,$H$38)=0),$N$16*$H$38+IF(OR($D$16="No"),0,$C$16),0))/$H$16)</f>
        <v>0.743035953360972</v>
      </c>
      <c r="G57" s="72" t="n">
        <f aca="false">IF($H$16=0,0,(IF(AND($K$16&gt;0,MOD(G$41-1-$I$35,$H$35)=0),$K$16*$H$35+IF(OR($D$16="No",AND($E$16="Sí",$F$16&gt;=2)),0,$C$16),0)+IF(AND($L$16&gt;0,MOD(G$41-1-$I$36,$H$36)=0),$L$16*$H$36+IF(OR($D$16="No"),0,$C$16),0)+IF(AND($M$16&gt;0,MOD(G$41-1-$I$37,$H$37)=0),$M$16*$H$37+IF(OR($D$16="No"),0,$C$16),0)+IF(AND($N$16&gt;0,MOD(G$41-1-$I$38,$H$38)=0),$N$16*$H$38+IF(OR($D$16="No"),0,$C$16),0))/$H$16)</f>
        <v>0.718165757411917</v>
      </c>
      <c r="H57" s="72" t="n">
        <f aca="false">IF($H$16=0,0,(IF(AND($K$16&gt;0,MOD(H$41-1-$I$35,$H$35)=0),$K$16*$H$35+IF(OR($D$16="No",AND($E$16="Sí",$F$16&gt;=2)),0,$C$16),0)+IF(AND($L$16&gt;0,MOD(H$41-1-$I$36,$H$36)=0),$L$16*$H$36+IF(OR($D$16="No"),0,$C$16),0)+IF(AND($M$16&gt;0,MOD(H$41-1-$I$37,$H$37)=0),$M$16*$H$37+IF(OR($D$16="No"),0,$C$16),0)+IF(AND($N$16&gt;0,MOD(H$41-1-$I$38,$H$38)=0),$N$16*$H$38+IF(OR($D$16="No"),0,$C$16),0))/$H$16)</f>
        <v>0.743035953360972</v>
      </c>
      <c r="I57" s="72" t="n">
        <f aca="false">IF($H$16=0,0,(IF(AND($K$16&gt;0,MOD(I$41-1-$I$35,$H$35)=0),$K$16*$H$35+IF(OR($D$16="No",AND($E$16="Sí",$F$16&gt;=2)),0,$C$16),0)+IF(AND($L$16&gt;0,MOD(I$41-1-$I$36,$H$36)=0),$L$16*$H$36+IF(OR($D$16="No"),0,$C$16),0)+IF(AND($M$16&gt;0,MOD(I$41-1-$I$37,$H$37)=0),$M$16*$H$37+IF(OR($D$16="No"),0,$C$16),0)+IF(AND($N$16&gt;0,MOD(I$41-1-$I$38,$H$38)=0),$N$16*$H$38+IF(OR($D$16="No"),0,$C$16),0))/$H$16)</f>
        <v>0.718165757411917</v>
      </c>
      <c r="J57" s="72" t="n">
        <f aca="false">IF($H$16=0,0,(IF(AND($K$16&gt;0,MOD(J$41-1-$I$35,$H$35)=0),$K$16*$H$35+IF(OR($D$16="No",AND($E$16="Sí",$F$16&gt;=2)),0,$C$16),0)+IF(AND($L$16&gt;0,MOD(J$41-1-$I$36,$H$36)=0),$L$16*$H$36+IF(OR($D$16="No"),0,$C$16),0)+IF(AND($M$16&gt;0,MOD(J$41-1-$I$37,$H$37)=0),$M$16*$H$37+IF(OR($D$16="No"),0,$C$16),0)+IF(AND($N$16&gt;0,MOD(J$41-1-$I$38,$H$38)=0),$N$16*$H$38+IF(OR($D$16="No"),0,$C$16),0))/$H$16)</f>
        <v>0.743035953360972</v>
      </c>
      <c r="K57" s="72" t="n">
        <f aca="false">IF($H$16=0,0,(IF(AND($K$16&gt;0,MOD(K$41-1-$I$35,$H$35)=0),$K$16*$H$35+IF(OR($D$16="No",AND($E$16="Sí",$F$16&gt;=2)),0,$C$16),0)+IF(AND($L$16&gt;0,MOD(K$41-1-$I$36,$H$36)=0),$L$16*$H$36+IF(OR($D$16="No"),0,$C$16),0)+IF(AND($M$16&gt;0,MOD(K$41-1-$I$37,$H$37)=0),$M$16*$H$37+IF(OR($D$16="No"),0,$C$16),0)+IF(AND($N$16&gt;0,MOD(K$41-1-$I$38,$H$38)=0),$N$16*$H$38+IF(OR($D$16="No"),0,$C$16),0))/$H$16)</f>
        <v>0.718165757411917</v>
      </c>
      <c r="L57" s="72" t="n">
        <f aca="false">IF($H$16=0,0,(IF(AND($K$16&gt;0,MOD(L$41-1-$I$35,$H$35)=0),$K$16*$H$35+IF(OR($D$16="No",AND($E$16="Sí",$F$16&gt;=2)),0,$C$16),0)+IF(AND($L$16&gt;0,MOD(L$41-1-$I$36,$H$36)=0),$L$16*$H$36+IF(OR($D$16="No"),0,$C$16),0)+IF(AND($M$16&gt;0,MOD(L$41-1-$I$37,$H$37)=0),$M$16*$H$37+IF(OR($D$16="No"),0,$C$16),0)+IF(AND($N$16&gt;0,MOD(L$41-1-$I$38,$H$38)=0),$N$16*$H$38+IF(OR($D$16="No"),0,$C$16),0))/$H$16)</f>
        <v>0.743035953360972</v>
      </c>
      <c r="M57" s="72" t="n">
        <f aca="false">IF($H$16=0,0,(IF(AND($K$16&gt;0,MOD(M$41-1-$I$35,$H$35)=0),$K$16*$H$35+IF(OR($D$16="No",AND($E$16="Sí",$F$16&gt;=2)),0,$C$16),0)+IF(AND($L$16&gt;0,MOD(M$41-1-$I$36,$H$36)=0),$L$16*$H$36+IF(OR($D$16="No"),0,$C$16),0)+IF(AND($M$16&gt;0,MOD(M$41-1-$I$37,$H$37)=0),$M$16*$H$37+IF(OR($D$16="No"),0,$C$16),0)+IF(AND($N$16&gt;0,MOD(M$41-1-$I$38,$H$38)=0),$N$16*$H$38+IF(OR($D$16="No"),0,$C$16),0))/$H$16)</f>
        <v>0.718165757411917</v>
      </c>
      <c r="N57" s="72" t="n">
        <f aca="false">IF($H$16=0,0,(IF(AND($K$16&gt;0,MOD(N$41-1-$I$35,$H$35)=0),$K$16*$H$35+IF(OR($D$16="No",AND($E$16="Sí",$F$16&gt;=2)),0,$C$16),0)+IF(AND($L$16&gt;0,MOD(N$41-1-$I$36,$H$36)=0),$L$16*$H$36+IF(OR($D$16="No"),0,$C$16),0)+IF(AND($M$16&gt;0,MOD(N$41-1-$I$37,$H$37)=0),$M$16*$H$37+IF(OR($D$16="No"),0,$C$16),0)+IF(AND($N$16&gt;0,MOD(N$41-1-$I$38,$H$38)=0),$N$16*$H$38+IF(OR($D$16="No"),0,$C$16),0))/$H$16)</f>
        <v>0.743035953360972</v>
      </c>
      <c r="O57" s="72" t="n">
        <f aca="false">IF($H$16=0,0,(IF(AND($K$16&gt;0,MOD(O$41-1-$I$35,$H$35)=0),$K$16*$H$35+IF(OR($D$16="No",AND($E$16="Sí",$F$16&gt;=2)),0,$C$16),0)+IF(AND($L$16&gt;0,MOD(O$41-1-$I$36,$H$36)=0),$L$16*$H$36+IF(OR($D$16="No"),0,$C$16),0)+IF(AND($M$16&gt;0,MOD(O$41-1-$I$37,$H$37)=0),$M$16*$H$37+IF(OR($D$16="No"),0,$C$16),0)+IF(AND($N$16&gt;0,MOD(O$41-1-$I$38,$H$38)=0),$N$16*$H$38+IF(OR($D$16="No"),0,$C$16),0))/$H$16)</f>
        <v>0.718165757411917</v>
      </c>
      <c r="P57" s="72" t="n">
        <f aca="false">IF($H$16=0,0,(IF(AND($K$16&gt;0,MOD(P$41-1-$I$35,$H$35)=0),$K$16*$H$35+IF(OR($D$16="No",AND($E$16="Sí",$F$16&gt;=2)),0,$C$16),0)+IF(AND($L$16&gt;0,MOD(P$41-1-$I$36,$H$36)=0),$L$16*$H$36+IF(OR($D$16="No"),0,$C$16),0)+IF(AND($M$16&gt;0,MOD(P$41-1-$I$37,$H$37)=0),$M$16*$H$37+IF(OR($D$16="No"),0,$C$16),0)+IF(AND($N$16&gt;0,MOD(P$41-1-$I$38,$H$38)=0),$N$16*$H$38+IF(OR($D$16="No"),0,$C$16),0))/$H$16)</f>
        <v>0.743035953360972</v>
      </c>
      <c r="Q57" s="72" t="n">
        <f aca="false">IF($H$16=0,0,(IF(AND($K$16&gt;0,MOD(Q$41-1-$I$35,$H$35)=0),$K$16*$H$35+IF(OR($D$16="No",AND($E$16="Sí",$F$16&gt;=2)),0,$C$16),0)+IF(AND($L$16&gt;0,MOD(Q$41-1-$I$36,$H$36)=0),$L$16*$H$36+IF(OR($D$16="No"),0,$C$16),0)+IF(AND($M$16&gt;0,MOD(Q$41-1-$I$37,$H$37)=0),$M$16*$H$37+IF(OR($D$16="No"),0,$C$16),0)+IF(AND($N$16&gt;0,MOD(Q$41-1-$I$38,$H$38)=0),$N$16*$H$38+IF(OR($D$16="No"),0,$C$16),0))/$H$16)</f>
        <v>0.718165757411917</v>
      </c>
      <c r="R57" s="72" t="n">
        <f aca="false">IF($H$16=0,0,(IF(AND($K$16&gt;0,MOD(R$41-1-$I$35,$H$35)=0),$K$16*$H$35+IF(OR($D$16="No",AND($E$16="Sí",$F$16&gt;=2)),0,$C$16),0)+IF(AND($L$16&gt;0,MOD(R$41-1-$I$36,$H$36)=0),$L$16*$H$36+IF(OR($D$16="No"),0,$C$16),0)+IF(AND($M$16&gt;0,MOD(R$41-1-$I$37,$H$37)=0),$M$16*$H$37+IF(OR($D$16="No"),0,$C$16),0)+IF(AND($N$16&gt;0,MOD(R$41-1-$I$38,$H$38)=0),$N$16*$H$38+IF(OR($D$16="No"),0,$C$16),0))/$H$16)</f>
        <v>0.743035953360972</v>
      </c>
      <c r="S57" s="72" t="n">
        <f aca="false">IF($H$16=0,0,(IF(AND($K$16&gt;0,MOD(S$41-1-$I$35,$H$35)=0),$K$16*$H$35+IF(OR($D$16="No",AND($E$16="Sí",$F$16&gt;=2)),0,$C$16),0)+IF(AND($L$16&gt;0,MOD(S$41-1-$I$36,$H$36)=0),$L$16*$H$36+IF(OR($D$16="No"),0,$C$16),0)+IF(AND($M$16&gt;0,MOD(S$41-1-$I$37,$H$37)=0),$M$16*$H$37+IF(OR($D$16="No"),0,$C$16),0)+IF(AND($N$16&gt;0,MOD(S$41-1-$I$38,$H$38)=0),$N$16*$H$38+IF(OR($D$16="No"),0,$C$16),0))/$H$16)</f>
        <v>0.718165757411917</v>
      </c>
      <c r="T57" s="72" t="n">
        <f aca="false">IF($H$16=0,0,(IF(AND($K$16&gt;0,MOD(T$41-1-$I$35,$H$35)=0),$K$16*$H$35+IF(OR($D$16="No",AND($E$16="Sí",$F$16&gt;=2)),0,$C$16),0)+IF(AND($L$16&gt;0,MOD(T$41-1-$I$36,$H$36)=0),$L$16*$H$36+IF(OR($D$16="No"),0,$C$16),0)+IF(AND($M$16&gt;0,MOD(T$41-1-$I$37,$H$37)=0),$M$16*$H$37+IF(OR($D$16="No"),0,$C$16),0)+IF(AND($N$16&gt;0,MOD(T$41-1-$I$38,$H$38)=0),$N$16*$H$38+IF(OR($D$16="No"),0,$C$16),0))/$H$16)</f>
        <v>0.743035953360972</v>
      </c>
      <c r="U57" s="72" t="n">
        <f aca="false">IF($H$16=0,0,(IF(AND($K$16&gt;0,MOD(U$41-1-$I$35,$H$35)=0),$K$16*$H$35+IF(OR($D$16="No",AND($E$16="Sí",$F$16&gt;=2)),0,$C$16),0)+IF(AND($L$16&gt;0,MOD(U$41-1-$I$36,$H$36)=0),$L$16*$H$36+IF(OR($D$16="No"),0,$C$16),0)+IF(AND($M$16&gt;0,MOD(U$41-1-$I$37,$H$37)=0),$M$16*$H$37+IF(OR($D$16="No"),0,$C$16),0)+IF(AND($N$16&gt;0,MOD(U$41-1-$I$38,$H$38)=0),$N$16*$H$38+IF(OR($D$16="No"),0,$C$16),0))/$H$16)</f>
        <v>0.718165757411917</v>
      </c>
      <c r="V57" s="72" t="n">
        <f aca="false">IF($H$16=0,0,(IF(AND($K$16&gt;0,MOD(V$41-1-$I$35,$H$35)=0),$K$16*$H$35+IF(OR($D$16="No",AND($E$16="Sí",$F$16&gt;=2)),0,$C$16),0)+IF(AND($L$16&gt;0,MOD(V$41-1-$I$36,$H$36)=0),$L$16*$H$36+IF(OR($D$16="No"),0,$C$16),0)+IF(AND($M$16&gt;0,MOD(V$41-1-$I$37,$H$37)=0),$M$16*$H$37+IF(OR($D$16="No"),0,$C$16),0)+IF(AND($N$16&gt;0,MOD(V$41-1-$I$38,$H$38)=0),$N$16*$H$38+IF(OR($D$16="No"),0,$C$16),0))/$H$16)</f>
        <v>0.743035953360972</v>
      </c>
    </row>
    <row r="58" customFormat="false" ht="15.75" hidden="false" customHeight="true" outlineLevel="0" collapsed="false">
      <c r="B58" s="70" t="str">
        <f aca="false">Carga!B48</f>
        <v>Prueba hidráulica</v>
      </c>
      <c r="C58" s="71" t="str">
        <f aca="false">IF(AND($K$18&gt;0,MOD(C$41-1-$I$35,$H$35)=0),"1 ","")&amp;IF(AND($L$18&gt;0,MOD(C$41-1-$I$36,$H$36)=0),"2,5 ","")&amp;IF(AND($M$18&gt;0,MOD(C$41-1-$I$37,$H$37)=0),"5 ","")&amp;IF(AND($N$18&gt;0,MOD(C$41-1-$I$38,$H$38)=0),"10 ","")</f>
        <v>1 2,5 5 </v>
      </c>
      <c r="D58" s="71" t="str">
        <f aca="false">IF(AND($K$18&gt;0,MOD(D$41-1-$I$35,$H$35)=0),"1 ","")&amp;IF(AND($L$18&gt;0,MOD(D$41-1-$I$36,$H$36)=0),"2,5 ","")&amp;IF(AND($M$18&gt;0,MOD(D$41-1-$I$37,$H$37)=0),"5 ","")&amp;IF(AND($N$18&gt;0,MOD(D$41-1-$I$38,$H$38)=0),"10 ","")</f>
        <v>1 2,5 5 10 </v>
      </c>
      <c r="E58" s="71" t="str">
        <f aca="false">IF(AND($K$18&gt;0,MOD(E$41-1-$I$35,$H$35)=0),"1 ","")&amp;IF(AND($L$18&gt;0,MOD(E$41-1-$I$36,$H$36)=0),"2,5 ","")&amp;IF(AND($M$18&gt;0,MOD(E$41-1-$I$37,$H$37)=0),"5 ","")&amp;IF(AND($N$18&gt;0,MOD(E$41-1-$I$38,$H$38)=0),"10 ","")</f>
        <v>1 2,5 5 </v>
      </c>
      <c r="F58" s="71" t="str">
        <f aca="false">IF(AND($K$18&gt;0,MOD(F$41-1-$I$35,$H$35)=0),"1 ","")&amp;IF(AND($L$18&gt;0,MOD(F$41-1-$I$36,$H$36)=0),"2,5 ","")&amp;IF(AND($M$18&gt;0,MOD(F$41-1-$I$37,$H$37)=0),"5 ","")&amp;IF(AND($N$18&gt;0,MOD(F$41-1-$I$38,$H$38)=0),"10 ","")</f>
        <v>1 2,5 5 10 </v>
      </c>
      <c r="G58" s="71" t="str">
        <f aca="false">IF(AND($K$18&gt;0,MOD(G$41-1-$I$35,$H$35)=0),"1 ","")&amp;IF(AND($L$18&gt;0,MOD(G$41-1-$I$36,$H$36)=0),"2,5 ","")&amp;IF(AND($M$18&gt;0,MOD(G$41-1-$I$37,$H$37)=0),"5 ","")&amp;IF(AND($N$18&gt;0,MOD(G$41-1-$I$38,$H$38)=0),"10 ","")</f>
        <v>1 2,5 5 </v>
      </c>
      <c r="H58" s="71" t="str">
        <f aca="false">IF(AND($K$18&gt;0,MOD(H$41-1-$I$35,$H$35)=0),"1 ","")&amp;IF(AND($L$18&gt;0,MOD(H$41-1-$I$36,$H$36)=0),"2,5 ","")&amp;IF(AND($M$18&gt;0,MOD(H$41-1-$I$37,$H$37)=0),"5 ","")&amp;IF(AND($N$18&gt;0,MOD(H$41-1-$I$38,$H$38)=0),"10 ","")</f>
        <v>1 2,5 5 10 </v>
      </c>
      <c r="I58" s="71" t="str">
        <f aca="false">IF(AND($K$18&gt;0,MOD(I$41-1-$I$35,$H$35)=0),"1 ","")&amp;IF(AND($L$18&gt;0,MOD(I$41-1-$I$36,$H$36)=0),"2,5 ","")&amp;IF(AND($M$18&gt;0,MOD(I$41-1-$I$37,$H$37)=0),"5 ","")&amp;IF(AND($N$18&gt;0,MOD(I$41-1-$I$38,$H$38)=0),"10 ","")</f>
        <v>1 2,5 5 </v>
      </c>
      <c r="J58" s="71" t="str">
        <f aca="false">IF(AND($K$18&gt;0,MOD(J$41-1-$I$35,$H$35)=0),"1 ","")&amp;IF(AND($L$18&gt;0,MOD(J$41-1-$I$36,$H$36)=0),"2,5 ","")&amp;IF(AND($M$18&gt;0,MOD(J$41-1-$I$37,$H$37)=0),"5 ","")&amp;IF(AND($N$18&gt;0,MOD(J$41-1-$I$38,$H$38)=0),"10 ","")</f>
        <v>1 2,5 5 10 </v>
      </c>
      <c r="K58" s="71" t="str">
        <f aca="false">IF(AND($K$18&gt;0,MOD(K$41-1-$I$35,$H$35)=0),"1 ","")&amp;IF(AND($L$18&gt;0,MOD(K$41-1-$I$36,$H$36)=0),"2,5 ","")&amp;IF(AND($M$18&gt;0,MOD(K$41-1-$I$37,$H$37)=0),"5 ","")&amp;IF(AND($N$18&gt;0,MOD(K$41-1-$I$38,$H$38)=0),"10 ","")</f>
        <v>1 2,5 5 </v>
      </c>
      <c r="L58" s="71" t="str">
        <f aca="false">IF(AND($K$18&gt;0,MOD(L$41-1-$I$35,$H$35)=0),"1 ","")&amp;IF(AND($L$18&gt;0,MOD(L$41-1-$I$36,$H$36)=0),"2,5 ","")&amp;IF(AND($M$18&gt;0,MOD(L$41-1-$I$37,$H$37)=0),"5 ","")&amp;IF(AND($N$18&gt;0,MOD(L$41-1-$I$38,$H$38)=0),"10 ","")</f>
        <v>1 2,5 5 10 </v>
      </c>
      <c r="M58" s="71" t="str">
        <f aca="false">IF(AND($K$18&gt;0,MOD(M$41-1-$I$35,$H$35)=0),"1 ","")&amp;IF(AND($L$18&gt;0,MOD(M$41-1-$I$36,$H$36)=0),"2,5 ","")&amp;IF(AND($M$18&gt;0,MOD(M$41-1-$I$37,$H$37)=0),"5 ","")&amp;IF(AND($N$18&gt;0,MOD(M$41-1-$I$38,$H$38)=0),"10 ","")</f>
        <v>1 2,5 5 </v>
      </c>
      <c r="N58" s="71" t="str">
        <f aca="false">IF(AND($K$18&gt;0,MOD(N$41-1-$I$35,$H$35)=0),"1 ","")&amp;IF(AND($L$18&gt;0,MOD(N$41-1-$I$36,$H$36)=0),"2,5 ","")&amp;IF(AND($M$18&gt;0,MOD(N$41-1-$I$37,$H$37)=0),"5 ","")&amp;IF(AND($N$18&gt;0,MOD(N$41-1-$I$38,$H$38)=0),"10 ","")</f>
        <v>1 2,5 5 10 </v>
      </c>
      <c r="O58" s="71" t="str">
        <f aca="false">IF(AND($K$18&gt;0,MOD(O$41-1-$I$35,$H$35)=0),"1 ","")&amp;IF(AND($L$18&gt;0,MOD(O$41-1-$I$36,$H$36)=0),"2,5 ","")&amp;IF(AND($M$18&gt;0,MOD(O$41-1-$I$37,$H$37)=0),"5 ","")&amp;IF(AND($N$18&gt;0,MOD(O$41-1-$I$38,$H$38)=0),"10 ","")</f>
        <v>1 2,5 5 </v>
      </c>
      <c r="P58" s="71" t="str">
        <f aca="false">IF(AND($K$18&gt;0,MOD(P$41-1-$I$35,$H$35)=0),"1 ","")&amp;IF(AND($L$18&gt;0,MOD(P$41-1-$I$36,$H$36)=0),"2,5 ","")&amp;IF(AND($M$18&gt;0,MOD(P$41-1-$I$37,$H$37)=0),"5 ","")&amp;IF(AND($N$18&gt;0,MOD(P$41-1-$I$38,$H$38)=0),"10 ","")</f>
        <v>1 2,5 5 10 </v>
      </c>
      <c r="Q58" s="71" t="str">
        <f aca="false">IF(AND($K$18&gt;0,MOD(Q$41-1-$I$35,$H$35)=0),"1 ","")&amp;IF(AND($L$18&gt;0,MOD(Q$41-1-$I$36,$H$36)=0),"2,5 ","")&amp;IF(AND($M$18&gt;0,MOD(Q$41-1-$I$37,$H$37)=0),"5 ","")&amp;IF(AND($N$18&gt;0,MOD(Q$41-1-$I$38,$H$38)=0),"10 ","")</f>
        <v>1 2,5 5 </v>
      </c>
      <c r="R58" s="71" t="str">
        <f aca="false">IF(AND($K$18&gt;0,MOD(R$41-1-$I$35,$H$35)=0),"1 ","")&amp;IF(AND($L$18&gt;0,MOD(R$41-1-$I$36,$H$36)=0),"2,5 ","")&amp;IF(AND($M$18&gt;0,MOD(R$41-1-$I$37,$H$37)=0),"5 ","")&amp;IF(AND($N$18&gt;0,MOD(R$41-1-$I$38,$H$38)=0),"10 ","")</f>
        <v>1 2,5 5 10 </v>
      </c>
      <c r="S58" s="71" t="str">
        <f aca="false">IF(AND($K$18&gt;0,MOD(S$41-1-$I$35,$H$35)=0),"1 ","")&amp;IF(AND($L$18&gt;0,MOD(S$41-1-$I$36,$H$36)=0),"2,5 ","")&amp;IF(AND($M$18&gt;0,MOD(S$41-1-$I$37,$H$37)=0),"5 ","")&amp;IF(AND($N$18&gt;0,MOD(S$41-1-$I$38,$H$38)=0),"10 ","")</f>
        <v>1 2,5 5 </v>
      </c>
      <c r="T58" s="71" t="str">
        <f aca="false">IF(AND($K$18&gt;0,MOD(T$41-1-$I$35,$H$35)=0),"1 ","")&amp;IF(AND($L$18&gt;0,MOD(T$41-1-$I$36,$H$36)=0),"2,5 ","")&amp;IF(AND($M$18&gt;0,MOD(T$41-1-$I$37,$H$37)=0),"5 ","")&amp;IF(AND($N$18&gt;0,MOD(T$41-1-$I$38,$H$38)=0),"10 ","")</f>
        <v>1 2,5 5 10 </v>
      </c>
      <c r="U58" s="71" t="str">
        <f aca="false">IF(AND($K$18&gt;0,MOD(U$41-1-$I$35,$H$35)=0),"1 ","")&amp;IF(AND($L$18&gt;0,MOD(U$41-1-$I$36,$H$36)=0),"2,5 ","")&amp;IF(AND($M$18&gt;0,MOD(U$41-1-$I$37,$H$37)=0),"5 ","")&amp;IF(AND($N$18&gt;0,MOD(U$41-1-$I$38,$H$38)=0),"10 ","")</f>
        <v>1 2,5 5 </v>
      </c>
      <c r="V58" s="71" t="str">
        <f aca="false">IF(AND($K$18&gt;0,MOD(V$41-1-$I$35,$H$35)=0),"1 ","")&amp;IF(AND($L$18&gt;0,MOD(V$41-1-$I$36,$H$36)=0),"2,5 ","")&amp;IF(AND($M$18&gt;0,MOD(V$41-1-$I$37,$H$37)=0),"5 ","")&amp;IF(AND($N$18&gt;0,MOD(V$41-1-$I$38,$H$38)=0),"10 ","")</f>
        <v>1 2,5 5 10 </v>
      </c>
    </row>
    <row r="59" customFormat="false" ht="15.75" hidden="false" customHeight="true" outlineLevel="0" collapsed="false">
      <c r="B59" s="48" t="s">
        <v>640</v>
      </c>
      <c r="C59" s="72" t="n">
        <f aca="false">IF($H$18=0,0,(IF(AND($K$18&gt;0,MOD(C$41-1-$I$35,$H$35)=0),$K$18*$H$35+IF(OR($D$18="No",AND($E$18="Sí",$F$18&gt;=2)),0,$C$18),0)+IF(AND($L$18&gt;0,MOD(C$41-1-$I$36,$H$36)=0),$L$18*$H$36+IF(OR($D$18="No"),0,$C$18),0)+IF(AND($M$18&gt;0,MOD(C$41-1-$I$37,$H$37)=0),$M$18*$H$37+IF(OR($D$18="No"),0,$C$18),0)+IF(AND($N$18&gt;0,MOD(C$41-1-$I$38,$H$38)=0),$N$18*$H$38+IF(OR($D$18="No"),0,$C$18),0))/$H$18)</f>
        <v>0.718165757411917</v>
      </c>
      <c r="D59" s="72" t="n">
        <f aca="false">IF($H$18=0,0,(IF(AND($K$18&gt;0,MOD(D$41-1-$I$35,$H$35)=0),$K$18*$H$35+IF(OR($D$18="No",AND($E$18="Sí",$F$18&gt;=2)),0,$C$18),0)+IF(AND($L$18&gt;0,MOD(D$41-1-$I$36,$H$36)=0),$L$18*$H$36+IF(OR($D$18="No"),0,$C$18),0)+IF(AND($M$18&gt;0,MOD(D$41-1-$I$37,$H$37)=0),$M$18*$H$37+IF(OR($D$18="No"),0,$C$18),0)+IF(AND($N$18&gt;0,MOD(D$41-1-$I$38,$H$38)=0),$N$18*$H$38+IF(OR($D$18="No"),0,$C$18),0))/$H$18)</f>
        <v>0.743035953360972</v>
      </c>
      <c r="E59" s="72" t="n">
        <f aca="false">IF($H$18=0,0,(IF(AND($K$18&gt;0,MOD(E$41-1-$I$35,$H$35)=0),$K$18*$H$35+IF(OR($D$18="No",AND($E$18="Sí",$F$18&gt;=2)),0,$C$18),0)+IF(AND($L$18&gt;0,MOD(E$41-1-$I$36,$H$36)=0),$L$18*$H$36+IF(OR($D$18="No"),0,$C$18),0)+IF(AND($M$18&gt;0,MOD(E$41-1-$I$37,$H$37)=0),$M$18*$H$37+IF(OR($D$18="No"),0,$C$18),0)+IF(AND($N$18&gt;0,MOD(E$41-1-$I$38,$H$38)=0),$N$18*$H$38+IF(OR($D$18="No"),0,$C$18),0))/$H$18)</f>
        <v>0.718165757411917</v>
      </c>
      <c r="F59" s="72" t="n">
        <f aca="false">IF($H$18=0,0,(IF(AND($K$18&gt;0,MOD(F$41-1-$I$35,$H$35)=0),$K$18*$H$35+IF(OR($D$18="No",AND($E$18="Sí",$F$18&gt;=2)),0,$C$18),0)+IF(AND($L$18&gt;0,MOD(F$41-1-$I$36,$H$36)=0),$L$18*$H$36+IF(OR($D$18="No"),0,$C$18),0)+IF(AND($M$18&gt;0,MOD(F$41-1-$I$37,$H$37)=0),$M$18*$H$37+IF(OR($D$18="No"),0,$C$18),0)+IF(AND($N$18&gt;0,MOD(F$41-1-$I$38,$H$38)=0),$N$18*$H$38+IF(OR($D$18="No"),0,$C$18),0))/$H$18)</f>
        <v>0.743035953360972</v>
      </c>
      <c r="G59" s="72" t="n">
        <f aca="false">IF($H$18=0,0,(IF(AND($K$18&gt;0,MOD(G$41-1-$I$35,$H$35)=0),$K$18*$H$35+IF(OR($D$18="No",AND($E$18="Sí",$F$18&gt;=2)),0,$C$18),0)+IF(AND($L$18&gt;0,MOD(G$41-1-$I$36,$H$36)=0),$L$18*$H$36+IF(OR($D$18="No"),0,$C$18),0)+IF(AND($M$18&gt;0,MOD(G$41-1-$I$37,$H$37)=0),$M$18*$H$37+IF(OR($D$18="No"),0,$C$18),0)+IF(AND($N$18&gt;0,MOD(G$41-1-$I$38,$H$38)=0),$N$18*$H$38+IF(OR($D$18="No"),0,$C$18),0))/$H$18)</f>
        <v>0.718165757411917</v>
      </c>
      <c r="H59" s="72" t="n">
        <f aca="false">IF($H$18=0,0,(IF(AND($K$18&gt;0,MOD(H$41-1-$I$35,$H$35)=0),$K$18*$H$35+IF(OR($D$18="No",AND($E$18="Sí",$F$18&gt;=2)),0,$C$18),0)+IF(AND($L$18&gt;0,MOD(H$41-1-$I$36,$H$36)=0),$L$18*$H$36+IF(OR($D$18="No"),0,$C$18),0)+IF(AND($M$18&gt;0,MOD(H$41-1-$I$37,$H$37)=0),$M$18*$H$37+IF(OR($D$18="No"),0,$C$18),0)+IF(AND($N$18&gt;0,MOD(H$41-1-$I$38,$H$38)=0),$N$18*$H$38+IF(OR($D$18="No"),0,$C$18),0))/$H$18)</f>
        <v>0.743035953360972</v>
      </c>
      <c r="I59" s="72" t="n">
        <f aca="false">IF($H$18=0,0,(IF(AND($K$18&gt;0,MOD(I$41-1-$I$35,$H$35)=0),$K$18*$H$35+IF(OR($D$18="No",AND($E$18="Sí",$F$18&gt;=2)),0,$C$18),0)+IF(AND($L$18&gt;0,MOD(I$41-1-$I$36,$H$36)=0),$L$18*$H$36+IF(OR($D$18="No"),0,$C$18),0)+IF(AND($M$18&gt;0,MOD(I$41-1-$I$37,$H$37)=0),$M$18*$H$37+IF(OR($D$18="No"),0,$C$18),0)+IF(AND($N$18&gt;0,MOD(I$41-1-$I$38,$H$38)=0),$N$18*$H$38+IF(OR($D$18="No"),0,$C$18),0))/$H$18)</f>
        <v>0.718165757411917</v>
      </c>
      <c r="J59" s="72" t="n">
        <f aca="false">IF($H$18=0,0,(IF(AND($K$18&gt;0,MOD(J$41-1-$I$35,$H$35)=0),$K$18*$H$35+IF(OR($D$18="No",AND($E$18="Sí",$F$18&gt;=2)),0,$C$18),0)+IF(AND($L$18&gt;0,MOD(J$41-1-$I$36,$H$36)=0),$L$18*$H$36+IF(OR($D$18="No"),0,$C$18),0)+IF(AND($M$18&gt;0,MOD(J$41-1-$I$37,$H$37)=0),$M$18*$H$37+IF(OR($D$18="No"),0,$C$18),0)+IF(AND($N$18&gt;0,MOD(J$41-1-$I$38,$H$38)=0),$N$18*$H$38+IF(OR($D$18="No"),0,$C$18),0))/$H$18)</f>
        <v>0.743035953360972</v>
      </c>
      <c r="K59" s="72" t="n">
        <f aca="false">IF($H$18=0,0,(IF(AND($K$18&gt;0,MOD(K$41-1-$I$35,$H$35)=0),$K$18*$H$35+IF(OR($D$18="No",AND($E$18="Sí",$F$18&gt;=2)),0,$C$18),0)+IF(AND($L$18&gt;0,MOD(K$41-1-$I$36,$H$36)=0),$L$18*$H$36+IF(OR($D$18="No"),0,$C$18),0)+IF(AND($M$18&gt;0,MOD(K$41-1-$I$37,$H$37)=0),$M$18*$H$37+IF(OR($D$18="No"),0,$C$18),0)+IF(AND($N$18&gt;0,MOD(K$41-1-$I$38,$H$38)=0),$N$18*$H$38+IF(OR($D$18="No"),0,$C$18),0))/$H$18)</f>
        <v>0.718165757411917</v>
      </c>
      <c r="L59" s="72" t="n">
        <f aca="false">IF($H$18=0,0,(IF(AND($K$18&gt;0,MOD(L$41-1-$I$35,$H$35)=0),$K$18*$H$35+IF(OR($D$18="No",AND($E$18="Sí",$F$18&gt;=2)),0,$C$18),0)+IF(AND($L$18&gt;0,MOD(L$41-1-$I$36,$H$36)=0),$L$18*$H$36+IF(OR($D$18="No"),0,$C$18),0)+IF(AND($M$18&gt;0,MOD(L$41-1-$I$37,$H$37)=0),$M$18*$H$37+IF(OR($D$18="No"),0,$C$18),0)+IF(AND($N$18&gt;0,MOD(L$41-1-$I$38,$H$38)=0),$N$18*$H$38+IF(OR($D$18="No"),0,$C$18),0))/$H$18)</f>
        <v>0.743035953360972</v>
      </c>
      <c r="M59" s="72" t="n">
        <f aca="false">IF($H$18=0,0,(IF(AND($K$18&gt;0,MOD(M$41-1-$I$35,$H$35)=0),$K$18*$H$35+IF(OR($D$18="No",AND($E$18="Sí",$F$18&gt;=2)),0,$C$18),0)+IF(AND($L$18&gt;0,MOD(M$41-1-$I$36,$H$36)=0),$L$18*$H$36+IF(OR($D$18="No"),0,$C$18),0)+IF(AND($M$18&gt;0,MOD(M$41-1-$I$37,$H$37)=0),$M$18*$H$37+IF(OR($D$18="No"),0,$C$18),0)+IF(AND($N$18&gt;0,MOD(M$41-1-$I$38,$H$38)=0),$N$18*$H$38+IF(OR($D$18="No"),0,$C$18),0))/$H$18)</f>
        <v>0.718165757411917</v>
      </c>
      <c r="N59" s="72" t="n">
        <f aca="false">IF($H$18=0,0,(IF(AND($K$18&gt;0,MOD(N$41-1-$I$35,$H$35)=0),$K$18*$H$35+IF(OR($D$18="No",AND($E$18="Sí",$F$18&gt;=2)),0,$C$18),0)+IF(AND($L$18&gt;0,MOD(N$41-1-$I$36,$H$36)=0),$L$18*$H$36+IF(OR($D$18="No"),0,$C$18),0)+IF(AND($M$18&gt;0,MOD(N$41-1-$I$37,$H$37)=0),$M$18*$H$37+IF(OR($D$18="No"),0,$C$18),0)+IF(AND($N$18&gt;0,MOD(N$41-1-$I$38,$H$38)=0),$N$18*$H$38+IF(OR($D$18="No"),0,$C$18),0))/$H$18)</f>
        <v>0.743035953360972</v>
      </c>
      <c r="O59" s="72" t="n">
        <f aca="false">IF($H$18=0,0,(IF(AND($K$18&gt;0,MOD(O$41-1-$I$35,$H$35)=0),$K$18*$H$35+IF(OR($D$18="No",AND($E$18="Sí",$F$18&gt;=2)),0,$C$18),0)+IF(AND($L$18&gt;0,MOD(O$41-1-$I$36,$H$36)=0),$L$18*$H$36+IF(OR($D$18="No"),0,$C$18),0)+IF(AND($M$18&gt;0,MOD(O$41-1-$I$37,$H$37)=0),$M$18*$H$37+IF(OR($D$18="No"),0,$C$18),0)+IF(AND($N$18&gt;0,MOD(O$41-1-$I$38,$H$38)=0),$N$18*$H$38+IF(OR($D$18="No"),0,$C$18),0))/$H$18)</f>
        <v>0.718165757411917</v>
      </c>
      <c r="P59" s="72" t="n">
        <f aca="false">IF($H$18=0,0,(IF(AND($K$18&gt;0,MOD(P$41-1-$I$35,$H$35)=0),$K$18*$H$35+IF(OR($D$18="No",AND($E$18="Sí",$F$18&gt;=2)),0,$C$18),0)+IF(AND($L$18&gt;0,MOD(P$41-1-$I$36,$H$36)=0),$L$18*$H$36+IF(OR($D$18="No"),0,$C$18),0)+IF(AND($M$18&gt;0,MOD(P$41-1-$I$37,$H$37)=0),$M$18*$H$37+IF(OR($D$18="No"),0,$C$18),0)+IF(AND($N$18&gt;0,MOD(P$41-1-$I$38,$H$38)=0),$N$18*$H$38+IF(OR($D$18="No"),0,$C$18),0))/$H$18)</f>
        <v>0.743035953360972</v>
      </c>
      <c r="Q59" s="72" t="n">
        <f aca="false">IF($H$18=0,0,(IF(AND($K$18&gt;0,MOD(Q$41-1-$I$35,$H$35)=0),$K$18*$H$35+IF(OR($D$18="No",AND($E$18="Sí",$F$18&gt;=2)),0,$C$18),0)+IF(AND($L$18&gt;0,MOD(Q$41-1-$I$36,$H$36)=0),$L$18*$H$36+IF(OR($D$18="No"),0,$C$18),0)+IF(AND($M$18&gt;0,MOD(Q$41-1-$I$37,$H$37)=0),$M$18*$H$37+IF(OR($D$18="No"),0,$C$18),0)+IF(AND($N$18&gt;0,MOD(Q$41-1-$I$38,$H$38)=0),$N$18*$H$38+IF(OR($D$18="No"),0,$C$18),0))/$H$18)</f>
        <v>0.718165757411917</v>
      </c>
      <c r="R59" s="72" t="n">
        <f aca="false">IF($H$18=0,0,(IF(AND($K$18&gt;0,MOD(R$41-1-$I$35,$H$35)=0),$K$18*$H$35+IF(OR($D$18="No",AND($E$18="Sí",$F$18&gt;=2)),0,$C$18),0)+IF(AND($L$18&gt;0,MOD(R$41-1-$I$36,$H$36)=0),$L$18*$H$36+IF(OR($D$18="No"),0,$C$18),0)+IF(AND($M$18&gt;0,MOD(R$41-1-$I$37,$H$37)=0),$M$18*$H$37+IF(OR($D$18="No"),0,$C$18),0)+IF(AND($N$18&gt;0,MOD(R$41-1-$I$38,$H$38)=0),$N$18*$H$38+IF(OR($D$18="No"),0,$C$18),0))/$H$18)</f>
        <v>0.743035953360972</v>
      </c>
      <c r="S59" s="72" t="n">
        <f aca="false">IF($H$18=0,0,(IF(AND($K$18&gt;0,MOD(S$41-1-$I$35,$H$35)=0),$K$18*$H$35+IF(OR($D$18="No",AND($E$18="Sí",$F$18&gt;=2)),0,$C$18),0)+IF(AND($L$18&gt;0,MOD(S$41-1-$I$36,$H$36)=0),$L$18*$H$36+IF(OR($D$18="No"),0,$C$18),0)+IF(AND($M$18&gt;0,MOD(S$41-1-$I$37,$H$37)=0),$M$18*$H$37+IF(OR($D$18="No"),0,$C$18),0)+IF(AND($N$18&gt;0,MOD(S$41-1-$I$38,$H$38)=0),$N$18*$H$38+IF(OR($D$18="No"),0,$C$18),0))/$H$18)</f>
        <v>0.718165757411917</v>
      </c>
      <c r="T59" s="72" t="n">
        <f aca="false">IF($H$18=0,0,(IF(AND($K$18&gt;0,MOD(T$41-1-$I$35,$H$35)=0),$K$18*$H$35+IF(OR($D$18="No",AND($E$18="Sí",$F$18&gt;=2)),0,$C$18),0)+IF(AND($L$18&gt;0,MOD(T$41-1-$I$36,$H$36)=0),$L$18*$H$36+IF(OR($D$18="No"),0,$C$18),0)+IF(AND($M$18&gt;0,MOD(T$41-1-$I$37,$H$37)=0),$M$18*$H$37+IF(OR($D$18="No"),0,$C$18),0)+IF(AND($N$18&gt;0,MOD(T$41-1-$I$38,$H$38)=0),$N$18*$H$38+IF(OR($D$18="No"),0,$C$18),0))/$H$18)</f>
        <v>0.743035953360972</v>
      </c>
      <c r="U59" s="72" t="n">
        <f aca="false">IF($H$18=0,0,(IF(AND($K$18&gt;0,MOD(U$41-1-$I$35,$H$35)=0),$K$18*$H$35+IF(OR($D$18="No",AND($E$18="Sí",$F$18&gt;=2)),0,$C$18),0)+IF(AND($L$18&gt;0,MOD(U$41-1-$I$36,$H$36)=0),$L$18*$H$36+IF(OR($D$18="No"),0,$C$18),0)+IF(AND($M$18&gt;0,MOD(U$41-1-$I$37,$H$37)=0),$M$18*$H$37+IF(OR($D$18="No"),0,$C$18),0)+IF(AND($N$18&gt;0,MOD(U$41-1-$I$38,$H$38)=0),$N$18*$H$38+IF(OR($D$18="No"),0,$C$18),0))/$H$18)</f>
        <v>0.718165757411917</v>
      </c>
      <c r="V59" s="72" t="n">
        <f aca="false">IF($H$18=0,0,(IF(AND($K$18&gt;0,MOD(V$41-1-$I$35,$H$35)=0),$K$18*$H$35+IF(OR($D$18="No",AND($E$18="Sí",$F$18&gt;=2)),0,$C$18),0)+IF(AND($L$18&gt;0,MOD(V$41-1-$I$36,$H$36)=0),$L$18*$H$36+IF(OR($D$18="No"),0,$C$18),0)+IF(AND($M$18&gt;0,MOD(V$41-1-$I$37,$H$37)=0),$M$18*$H$37+IF(OR($D$18="No"),0,$C$18),0)+IF(AND($N$18&gt;0,MOD(V$41-1-$I$38,$H$38)=0),$N$18*$H$38+IF(OR($D$18="No"),0,$C$18),0))/$H$18)</f>
        <v>0.743035953360972</v>
      </c>
    </row>
    <row r="60" customFormat="false" ht="15.75" hidden="false" customHeight="true" outlineLevel="0" collapsed="false">
      <c r="B60" s="70" t="str">
        <f aca="false">Carga!B53</f>
        <v>Pintura en polvo + horno</v>
      </c>
      <c r="C60" s="71" t="str">
        <f aca="false">IF(AND($K$23&gt;0,MOD(C$41-1-$I$35,$H$35)=0),"1 ","")&amp;IF(AND($L$23&gt;0,MOD(C$41-1-$I$36,$H$36)=0),"2,5 ","")&amp;IF(AND($M$23&gt;0,MOD(C$41-1-$I$37,$H$37)=0),"5 ","")&amp;IF(AND($N$23&gt;0,MOD(C$41-1-$I$38,$H$38)=0),"10 ","")</f>
        <v>1 2,5 5 </v>
      </c>
      <c r="D60" s="71" t="str">
        <f aca="false">IF(AND($K$23&gt;0,MOD(D$41-1-$I$35,$H$35)=0),"1 ","")&amp;IF(AND($L$23&gt;0,MOD(D$41-1-$I$36,$H$36)=0),"2,5 ","")&amp;IF(AND($M$23&gt;0,MOD(D$41-1-$I$37,$H$37)=0),"5 ","")&amp;IF(AND($N$23&gt;0,MOD(D$41-1-$I$38,$H$38)=0),"10 ","")</f>
        <v>1 2,5 5 10 </v>
      </c>
      <c r="E60" s="71" t="str">
        <f aca="false">IF(AND($K$23&gt;0,MOD(E$41-1-$I$35,$H$35)=0),"1 ","")&amp;IF(AND($L$23&gt;0,MOD(E$41-1-$I$36,$H$36)=0),"2,5 ","")&amp;IF(AND($M$23&gt;0,MOD(E$41-1-$I$37,$H$37)=0),"5 ","")&amp;IF(AND($N$23&gt;0,MOD(E$41-1-$I$38,$H$38)=0),"10 ","")</f>
        <v>1 2,5 5 </v>
      </c>
      <c r="F60" s="71" t="str">
        <f aca="false">IF(AND($K$23&gt;0,MOD(F$41-1-$I$35,$H$35)=0),"1 ","")&amp;IF(AND($L$23&gt;0,MOD(F$41-1-$I$36,$H$36)=0),"2,5 ","")&amp;IF(AND($M$23&gt;0,MOD(F$41-1-$I$37,$H$37)=0),"5 ","")&amp;IF(AND($N$23&gt;0,MOD(F$41-1-$I$38,$H$38)=0),"10 ","")</f>
        <v>1 2,5 5 10 </v>
      </c>
      <c r="G60" s="71" t="str">
        <f aca="false">IF(AND($K$23&gt;0,MOD(G$41-1-$I$35,$H$35)=0),"1 ","")&amp;IF(AND($L$23&gt;0,MOD(G$41-1-$I$36,$H$36)=0),"2,5 ","")&amp;IF(AND($M$23&gt;0,MOD(G$41-1-$I$37,$H$37)=0),"5 ","")&amp;IF(AND($N$23&gt;0,MOD(G$41-1-$I$38,$H$38)=0),"10 ","")</f>
        <v>1 2,5 5 </v>
      </c>
      <c r="H60" s="71" t="str">
        <f aca="false">IF(AND($K$23&gt;0,MOD(H$41-1-$I$35,$H$35)=0),"1 ","")&amp;IF(AND($L$23&gt;0,MOD(H$41-1-$I$36,$H$36)=0),"2,5 ","")&amp;IF(AND($M$23&gt;0,MOD(H$41-1-$I$37,$H$37)=0),"5 ","")&amp;IF(AND($N$23&gt;0,MOD(H$41-1-$I$38,$H$38)=0),"10 ","")</f>
        <v>1 2,5 5 10 </v>
      </c>
      <c r="I60" s="71" t="str">
        <f aca="false">IF(AND($K$23&gt;0,MOD(I$41-1-$I$35,$H$35)=0),"1 ","")&amp;IF(AND($L$23&gt;0,MOD(I$41-1-$I$36,$H$36)=0),"2,5 ","")&amp;IF(AND($M$23&gt;0,MOD(I$41-1-$I$37,$H$37)=0),"5 ","")&amp;IF(AND($N$23&gt;0,MOD(I$41-1-$I$38,$H$38)=0),"10 ","")</f>
        <v>1 2,5 5 </v>
      </c>
      <c r="J60" s="71" t="str">
        <f aca="false">IF(AND($K$23&gt;0,MOD(J$41-1-$I$35,$H$35)=0),"1 ","")&amp;IF(AND($L$23&gt;0,MOD(J$41-1-$I$36,$H$36)=0),"2,5 ","")&amp;IF(AND($M$23&gt;0,MOD(J$41-1-$I$37,$H$37)=0),"5 ","")&amp;IF(AND($N$23&gt;0,MOD(J$41-1-$I$38,$H$38)=0),"10 ","")</f>
        <v>1 2,5 5 10 </v>
      </c>
      <c r="K60" s="71" t="str">
        <f aca="false">IF(AND($K$23&gt;0,MOD(K$41-1-$I$35,$H$35)=0),"1 ","")&amp;IF(AND($L$23&gt;0,MOD(K$41-1-$I$36,$H$36)=0),"2,5 ","")&amp;IF(AND($M$23&gt;0,MOD(K$41-1-$I$37,$H$37)=0),"5 ","")&amp;IF(AND($N$23&gt;0,MOD(K$41-1-$I$38,$H$38)=0),"10 ","")</f>
        <v>1 2,5 5 </v>
      </c>
      <c r="L60" s="71" t="str">
        <f aca="false">IF(AND($K$23&gt;0,MOD(L$41-1-$I$35,$H$35)=0),"1 ","")&amp;IF(AND($L$23&gt;0,MOD(L$41-1-$I$36,$H$36)=0),"2,5 ","")&amp;IF(AND($M$23&gt;0,MOD(L$41-1-$I$37,$H$37)=0),"5 ","")&amp;IF(AND($N$23&gt;0,MOD(L$41-1-$I$38,$H$38)=0),"10 ","")</f>
        <v>1 2,5 5 10 </v>
      </c>
      <c r="M60" s="71" t="str">
        <f aca="false">IF(AND($K$23&gt;0,MOD(M$41-1-$I$35,$H$35)=0),"1 ","")&amp;IF(AND($L$23&gt;0,MOD(M$41-1-$I$36,$H$36)=0),"2,5 ","")&amp;IF(AND($M$23&gt;0,MOD(M$41-1-$I$37,$H$37)=0),"5 ","")&amp;IF(AND($N$23&gt;0,MOD(M$41-1-$I$38,$H$38)=0),"10 ","")</f>
        <v>1 2,5 5 </v>
      </c>
      <c r="N60" s="71" t="str">
        <f aca="false">IF(AND($K$23&gt;0,MOD(N$41-1-$I$35,$H$35)=0),"1 ","")&amp;IF(AND($L$23&gt;0,MOD(N$41-1-$I$36,$H$36)=0),"2,5 ","")&amp;IF(AND($M$23&gt;0,MOD(N$41-1-$I$37,$H$37)=0),"5 ","")&amp;IF(AND($N$23&gt;0,MOD(N$41-1-$I$38,$H$38)=0),"10 ","")</f>
        <v>1 2,5 5 10 </v>
      </c>
      <c r="O60" s="71" t="str">
        <f aca="false">IF(AND($K$23&gt;0,MOD(O$41-1-$I$35,$H$35)=0),"1 ","")&amp;IF(AND($L$23&gt;0,MOD(O$41-1-$I$36,$H$36)=0),"2,5 ","")&amp;IF(AND($M$23&gt;0,MOD(O$41-1-$I$37,$H$37)=0),"5 ","")&amp;IF(AND($N$23&gt;0,MOD(O$41-1-$I$38,$H$38)=0),"10 ","")</f>
        <v>1 2,5 5 </v>
      </c>
      <c r="P60" s="71" t="str">
        <f aca="false">IF(AND($K$23&gt;0,MOD(P$41-1-$I$35,$H$35)=0),"1 ","")&amp;IF(AND($L$23&gt;0,MOD(P$41-1-$I$36,$H$36)=0),"2,5 ","")&amp;IF(AND($M$23&gt;0,MOD(P$41-1-$I$37,$H$37)=0),"5 ","")&amp;IF(AND($N$23&gt;0,MOD(P$41-1-$I$38,$H$38)=0),"10 ","")</f>
        <v>1 2,5 5 10 </v>
      </c>
      <c r="Q60" s="71" t="str">
        <f aca="false">IF(AND($K$23&gt;0,MOD(Q$41-1-$I$35,$H$35)=0),"1 ","")&amp;IF(AND($L$23&gt;0,MOD(Q$41-1-$I$36,$H$36)=0),"2,5 ","")&amp;IF(AND($M$23&gt;0,MOD(Q$41-1-$I$37,$H$37)=0),"5 ","")&amp;IF(AND($N$23&gt;0,MOD(Q$41-1-$I$38,$H$38)=0),"10 ","")</f>
        <v>1 2,5 5 </v>
      </c>
      <c r="R60" s="71" t="str">
        <f aca="false">IF(AND($K$23&gt;0,MOD(R$41-1-$I$35,$H$35)=0),"1 ","")&amp;IF(AND($L$23&gt;0,MOD(R$41-1-$I$36,$H$36)=0),"2,5 ","")&amp;IF(AND($M$23&gt;0,MOD(R$41-1-$I$37,$H$37)=0),"5 ","")&amp;IF(AND($N$23&gt;0,MOD(R$41-1-$I$38,$H$38)=0),"10 ","")</f>
        <v>1 2,5 5 10 </v>
      </c>
      <c r="S60" s="71" t="str">
        <f aca="false">IF(AND($K$23&gt;0,MOD(S$41-1-$I$35,$H$35)=0),"1 ","")&amp;IF(AND($L$23&gt;0,MOD(S$41-1-$I$36,$H$36)=0),"2,5 ","")&amp;IF(AND($M$23&gt;0,MOD(S$41-1-$I$37,$H$37)=0),"5 ","")&amp;IF(AND($N$23&gt;0,MOD(S$41-1-$I$38,$H$38)=0),"10 ","")</f>
        <v>1 2,5 5 </v>
      </c>
      <c r="T60" s="71" t="str">
        <f aca="false">IF(AND($K$23&gt;0,MOD(T$41-1-$I$35,$H$35)=0),"1 ","")&amp;IF(AND($L$23&gt;0,MOD(T$41-1-$I$36,$H$36)=0),"2,5 ","")&amp;IF(AND($M$23&gt;0,MOD(T$41-1-$I$37,$H$37)=0),"5 ","")&amp;IF(AND($N$23&gt;0,MOD(T$41-1-$I$38,$H$38)=0),"10 ","")</f>
        <v>1 2,5 5 10 </v>
      </c>
      <c r="U60" s="71" t="str">
        <f aca="false">IF(AND($K$23&gt;0,MOD(U$41-1-$I$35,$H$35)=0),"1 ","")&amp;IF(AND($L$23&gt;0,MOD(U$41-1-$I$36,$H$36)=0),"2,5 ","")&amp;IF(AND($M$23&gt;0,MOD(U$41-1-$I$37,$H$37)=0),"5 ","")&amp;IF(AND($N$23&gt;0,MOD(U$41-1-$I$38,$H$38)=0),"10 ","")</f>
        <v>1 2,5 5 </v>
      </c>
      <c r="V60" s="71" t="str">
        <f aca="false">IF(AND($K$23&gt;0,MOD(V$41-1-$I$35,$H$35)=0),"1 ","")&amp;IF(AND($L$23&gt;0,MOD(V$41-1-$I$36,$H$36)=0),"2,5 ","")&amp;IF(AND($M$23&gt;0,MOD(V$41-1-$I$37,$H$37)=0),"5 ","")&amp;IF(AND($N$23&gt;0,MOD(V$41-1-$I$38,$H$38)=0),"10 ","")</f>
        <v>1 2,5 5 10 </v>
      </c>
    </row>
    <row r="61" customFormat="false" ht="15.75" hidden="false" customHeight="true" outlineLevel="0" collapsed="false">
      <c r="B61" s="48" t="s">
        <v>640</v>
      </c>
      <c r="C61" s="72" t="n">
        <f aca="false">IF($H$23=0,0,(IF(AND($K$23&gt;0,MOD(C$41-1-$I$35,$H$35)=0),$K$23*$H$35+IF(OR($D$23="No",AND($E$23="Sí",$F$23&gt;=2)),0,$C$23),0)+IF(AND($L$23&gt;0,MOD(C$41-1-$I$36,$H$36)=0),$L$23*$H$36+IF(OR($D$23="No"),0,$C$23),0)+IF(AND($M$23&gt;0,MOD(C$41-1-$I$37,$H$37)=0),$M$23*$H$37+IF(OR($D$23="No"),0,$C$23),0)+IF(AND($N$23&gt;0,MOD(C$41-1-$I$38,$H$38)=0),$N$23*$H$38+IF(OR($D$23="No"),0,$C$23),0))/$H$23)</f>
        <v>0.684582575621042</v>
      </c>
      <c r="D61" s="72" t="n">
        <f aca="false">IF($H$23=0,0,(IF(AND($K$23&gt;0,MOD(D$41-1-$I$35,$H$35)=0),$K$23*$H$35+IF(OR($D$23="No",AND($E$23="Sí",$F$23&gt;=2)),0,$C$23),0)+IF(AND($L$23&gt;0,MOD(D$41-1-$I$36,$H$36)=0),$L$23*$H$36+IF(OR($D$23="No"),0,$C$23),0)+IF(AND($M$23&gt;0,MOD(D$41-1-$I$37,$H$37)=0),$M$23*$H$37+IF(OR($D$23="No"),0,$C$23),0)+IF(AND($N$23&gt;0,MOD(D$41-1-$I$38,$H$38)=0),$N$23*$H$38+IF(OR($D$23="No"),0,$C$23),0))/$H$23)</f>
        <v>0.734011442615625</v>
      </c>
      <c r="E61" s="72" t="n">
        <f aca="false">IF($H$23=0,0,(IF(AND($K$23&gt;0,MOD(E$41-1-$I$35,$H$35)=0),$K$23*$H$35+IF(OR($D$23="No",AND($E$23="Sí",$F$23&gt;=2)),0,$C$23),0)+IF(AND($L$23&gt;0,MOD(E$41-1-$I$36,$H$36)=0),$L$23*$H$36+IF(OR($D$23="No"),0,$C$23),0)+IF(AND($M$23&gt;0,MOD(E$41-1-$I$37,$H$37)=0),$M$23*$H$37+IF(OR($D$23="No"),0,$C$23),0)+IF(AND($N$23&gt;0,MOD(E$41-1-$I$38,$H$38)=0),$N$23*$H$38+IF(OR($D$23="No"),0,$C$23),0))/$H$23)</f>
        <v>0.684582575621042</v>
      </c>
      <c r="F61" s="72" t="n">
        <f aca="false">IF($H$23=0,0,(IF(AND($K$23&gt;0,MOD(F$41-1-$I$35,$H$35)=0),$K$23*$H$35+IF(OR($D$23="No",AND($E$23="Sí",$F$23&gt;=2)),0,$C$23),0)+IF(AND($L$23&gt;0,MOD(F$41-1-$I$36,$H$36)=0),$L$23*$H$36+IF(OR($D$23="No"),0,$C$23),0)+IF(AND($M$23&gt;0,MOD(F$41-1-$I$37,$H$37)=0),$M$23*$H$37+IF(OR($D$23="No"),0,$C$23),0)+IF(AND($N$23&gt;0,MOD(F$41-1-$I$38,$H$38)=0),$N$23*$H$38+IF(OR($D$23="No"),0,$C$23),0))/$H$23)</f>
        <v>0.734011442615625</v>
      </c>
      <c r="G61" s="72" t="n">
        <f aca="false">IF($H$23=0,0,(IF(AND($K$23&gt;0,MOD(G$41-1-$I$35,$H$35)=0),$K$23*$H$35+IF(OR($D$23="No",AND($E$23="Sí",$F$23&gt;=2)),0,$C$23),0)+IF(AND($L$23&gt;0,MOD(G$41-1-$I$36,$H$36)=0),$L$23*$H$36+IF(OR($D$23="No"),0,$C$23),0)+IF(AND($M$23&gt;0,MOD(G$41-1-$I$37,$H$37)=0),$M$23*$H$37+IF(OR($D$23="No"),0,$C$23),0)+IF(AND($N$23&gt;0,MOD(G$41-1-$I$38,$H$38)=0),$N$23*$H$38+IF(OR($D$23="No"),0,$C$23),0))/$H$23)</f>
        <v>0.684582575621042</v>
      </c>
      <c r="H61" s="72" t="n">
        <f aca="false">IF($H$23=0,0,(IF(AND($K$23&gt;0,MOD(H$41-1-$I$35,$H$35)=0),$K$23*$H$35+IF(OR($D$23="No",AND($E$23="Sí",$F$23&gt;=2)),0,$C$23),0)+IF(AND($L$23&gt;0,MOD(H$41-1-$I$36,$H$36)=0),$L$23*$H$36+IF(OR($D$23="No"),0,$C$23),0)+IF(AND($M$23&gt;0,MOD(H$41-1-$I$37,$H$37)=0),$M$23*$H$37+IF(OR($D$23="No"),0,$C$23),0)+IF(AND($N$23&gt;0,MOD(H$41-1-$I$38,$H$38)=0),$N$23*$H$38+IF(OR($D$23="No"),0,$C$23),0))/$H$23)</f>
        <v>0.734011442615625</v>
      </c>
      <c r="I61" s="72" t="n">
        <f aca="false">IF($H$23=0,0,(IF(AND($K$23&gt;0,MOD(I$41-1-$I$35,$H$35)=0),$K$23*$H$35+IF(OR($D$23="No",AND($E$23="Sí",$F$23&gt;=2)),0,$C$23),0)+IF(AND($L$23&gt;0,MOD(I$41-1-$I$36,$H$36)=0),$L$23*$H$36+IF(OR($D$23="No"),0,$C$23),0)+IF(AND($M$23&gt;0,MOD(I$41-1-$I$37,$H$37)=0),$M$23*$H$37+IF(OR($D$23="No"),0,$C$23),0)+IF(AND($N$23&gt;0,MOD(I$41-1-$I$38,$H$38)=0),$N$23*$H$38+IF(OR($D$23="No"),0,$C$23),0))/$H$23)</f>
        <v>0.684582575621042</v>
      </c>
      <c r="J61" s="72" t="n">
        <f aca="false">IF($H$23=0,0,(IF(AND($K$23&gt;0,MOD(J$41-1-$I$35,$H$35)=0),$K$23*$H$35+IF(OR($D$23="No",AND($E$23="Sí",$F$23&gt;=2)),0,$C$23),0)+IF(AND($L$23&gt;0,MOD(J$41-1-$I$36,$H$36)=0),$L$23*$H$36+IF(OR($D$23="No"),0,$C$23),0)+IF(AND($M$23&gt;0,MOD(J$41-1-$I$37,$H$37)=0),$M$23*$H$37+IF(OR($D$23="No"),0,$C$23),0)+IF(AND($N$23&gt;0,MOD(J$41-1-$I$38,$H$38)=0),$N$23*$H$38+IF(OR($D$23="No"),0,$C$23),0))/$H$23)</f>
        <v>0.734011442615625</v>
      </c>
      <c r="K61" s="72" t="n">
        <f aca="false">IF($H$23=0,0,(IF(AND($K$23&gt;0,MOD(K$41-1-$I$35,$H$35)=0),$K$23*$H$35+IF(OR($D$23="No",AND($E$23="Sí",$F$23&gt;=2)),0,$C$23),0)+IF(AND($L$23&gt;0,MOD(K$41-1-$I$36,$H$36)=0),$L$23*$H$36+IF(OR($D$23="No"),0,$C$23),0)+IF(AND($M$23&gt;0,MOD(K$41-1-$I$37,$H$37)=0),$M$23*$H$37+IF(OR($D$23="No"),0,$C$23),0)+IF(AND($N$23&gt;0,MOD(K$41-1-$I$38,$H$38)=0),$N$23*$H$38+IF(OR($D$23="No"),0,$C$23),0))/$H$23)</f>
        <v>0.684582575621042</v>
      </c>
      <c r="L61" s="72" t="n">
        <f aca="false">IF($H$23=0,0,(IF(AND($K$23&gt;0,MOD(L$41-1-$I$35,$H$35)=0),$K$23*$H$35+IF(OR($D$23="No",AND($E$23="Sí",$F$23&gt;=2)),0,$C$23),0)+IF(AND($L$23&gt;0,MOD(L$41-1-$I$36,$H$36)=0),$L$23*$H$36+IF(OR($D$23="No"),0,$C$23),0)+IF(AND($M$23&gt;0,MOD(L$41-1-$I$37,$H$37)=0),$M$23*$H$37+IF(OR($D$23="No"),0,$C$23),0)+IF(AND($N$23&gt;0,MOD(L$41-1-$I$38,$H$38)=0),$N$23*$H$38+IF(OR($D$23="No"),0,$C$23),0))/$H$23)</f>
        <v>0.734011442615625</v>
      </c>
      <c r="M61" s="72" t="n">
        <f aca="false">IF($H$23=0,0,(IF(AND($K$23&gt;0,MOD(M$41-1-$I$35,$H$35)=0),$K$23*$H$35+IF(OR($D$23="No",AND($E$23="Sí",$F$23&gt;=2)),0,$C$23),0)+IF(AND($L$23&gt;0,MOD(M$41-1-$I$36,$H$36)=0),$L$23*$H$36+IF(OR($D$23="No"),0,$C$23),0)+IF(AND($M$23&gt;0,MOD(M$41-1-$I$37,$H$37)=0),$M$23*$H$37+IF(OR($D$23="No"),0,$C$23),0)+IF(AND($N$23&gt;0,MOD(M$41-1-$I$38,$H$38)=0),$N$23*$H$38+IF(OR($D$23="No"),0,$C$23),0))/$H$23)</f>
        <v>0.684582575621042</v>
      </c>
      <c r="N61" s="72" t="n">
        <f aca="false">IF($H$23=0,0,(IF(AND($K$23&gt;0,MOD(N$41-1-$I$35,$H$35)=0),$K$23*$H$35+IF(OR($D$23="No",AND($E$23="Sí",$F$23&gt;=2)),0,$C$23),0)+IF(AND($L$23&gt;0,MOD(N$41-1-$I$36,$H$36)=0),$L$23*$H$36+IF(OR($D$23="No"),0,$C$23),0)+IF(AND($M$23&gt;0,MOD(N$41-1-$I$37,$H$37)=0),$M$23*$H$37+IF(OR($D$23="No"),0,$C$23),0)+IF(AND($N$23&gt;0,MOD(N$41-1-$I$38,$H$38)=0),$N$23*$H$38+IF(OR($D$23="No"),0,$C$23),0))/$H$23)</f>
        <v>0.734011442615625</v>
      </c>
      <c r="O61" s="72" t="n">
        <f aca="false">IF($H$23=0,0,(IF(AND($K$23&gt;0,MOD(O$41-1-$I$35,$H$35)=0),$K$23*$H$35+IF(OR($D$23="No",AND($E$23="Sí",$F$23&gt;=2)),0,$C$23),0)+IF(AND($L$23&gt;0,MOD(O$41-1-$I$36,$H$36)=0),$L$23*$H$36+IF(OR($D$23="No"),0,$C$23),0)+IF(AND($M$23&gt;0,MOD(O$41-1-$I$37,$H$37)=0),$M$23*$H$37+IF(OR($D$23="No"),0,$C$23),0)+IF(AND($N$23&gt;0,MOD(O$41-1-$I$38,$H$38)=0),$N$23*$H$38+IF(OR($D$23="No"),0,$C$23),0))/$H$23)</f>
        <v>0.684582575621042</v>
      </c>
      <c r="P61" s="72" t="n">
        <f aca="false">IF($H$23=0,0,(IF(AND($K$23&gt;0,MOD(P$41-1-$I$35,$H$35)=0),$K$23*$H$35+IF(OR($D$23="No",AND($E$23="Sí",$F$23&gt;=2)),0,$C$23),0)+IF(AND($L$23&gt;0,MOD(P$41-1-$I$36,$H$36)=0),$L$23*$H$36+IF(OR($D$23="No"),0,$C$23),0)+IF(AND($M$23&gt;0,MOD(P$41-1-$I$37,$H$37)=0),$M$23*$H$37+IF(OR($D$23="No"),0,$C$23),0)+IF(AND($N$23&gt;0,MOD(P$41-1-$I$38,$H$38)=0),$N$23*$H$38+IF(OR($D$23="No"),0,$C$23),0))/$H$23)</f>
        <v>0.734011442615625</v>
      </c>
      <c r="Q61" s="72" t="n">
        <f aca="false">IF($H$23=0,0,(IF(AND($K$23&gt;0,MOD(Q$41-1-$I$35,$H$35)=0),$K$23*$H$35+IF(OR($D$23="No",AND($E$23="Sí",$F$23&gt;=2)),0,$C$23),0)+IF(AND($L$23&gt;0,MOD(Q$41-1-$I$36,$H$36)=0),$L$23*$H$36+IF(OR($D$23="No"),0,$C$23),0)+IF(AND($M$23&gt;0,MOD(Q$41-1-$I$37,$H$37)=0),$M$23*$H$37+IF(OR($D$23="No"),0,$C$23),0)+IF(AND($N$23&gt;0,MOD(Q$41-1-$I$38,$H$38)=0),$N$23*$H$38+IF(OR($D$23="No"),0,$C$23),0))/$H$23)</f>
        <v>0.684582575621042</v>
      </c>
      <c r="R61" s="72" t="n">
        <f aca="false">IF($H$23=0,0,(IF(AND($K$23&gt;0,MOD(R$41-1-$I$35,$H$35)=0),$K$23*$H$35+IF(OR($D$23="No",AND($E$23="Sí",$F$23&gt;=2)),0,$C$23),0)+IF(AND($L$23&gt;0,MOD(R$41-1-$I$36,$H$36)=0),$L$23*$H$36+IF(OR($D$23="No"),0,$C$23),0)+IF(AND($M$23&gt;0,MOD(R$41-1-$I$37,$H$37)=0),$M$23*$H$37+IF(OR($D$23="No"),0,$C$23),0)+IF(AND($N$23&gt;0,MOD(R$41-1-$I$38,$H$38)=0),$N$23*$H$38+IF(OR($D$23="No"),0,$C$23),0))/$H$23)</f>
        <v>0.734011442615625</v>
      </c>
      <c r="S61" s="72" t="n">
        <f aca="false">IF($H$23=0,0,(IF(AND($K$23&gt;0,MOD(S$41-1-$I$35,$H$35)=0),$K$23*$H$35+IF(OR($D$23="No",AND($E$23="Sí",$F$23&gt;=2)),0,$C$23),0)+IF(AND($L$23&gt;0,MOD(S$41-1-$I$36,$H$36)=0),$L$23*$H$36+IF(OR($D$23="No"),0,$C$23),0)+IF(AND($M$23&gt;0,MOD(S$41-1-$I$37,$H$37)=0),$M$23*$H$37+IF(OR($D$23="No"),0,$C$23),0)+IF(AND($N$23&gt;0,MOD(S$41-1-$I$38,$H$38)=0),$N$23*$H$38+IF(OR($D$23="No"),0,$C$23),0))/$H$23)</f>
        <v>0.684582575621042</v>
      </c>
      <c r="T61" s="72" t="n">
        <f aca="false">IF($H$23=0,0,(IF(AND($K$23&gt;0,MOD(T$41-1-$I$35,$H$35)=0),$K$23*$H$35+IF(OR($D$23="No",AND($E$23="Sí",$F$23&gt;=2)),0,$C$23),0)+IF(AND($L$23&gt;0,MOD(T$41-1-$I$36,$H$36)=0),$L$23*$H$36+IF(OR($D$23="No"),0,$C$23),0)+IF(AND($M$23&gt;0,MOD(T$41-1-$I$37,$H$37)=0),$M$23*$H$37+IF(OR($D$23="No"),0,$C$23),0)+IF(AND($N$23&gt;0,MOD(T$41-1-$I$38,$H$38)=0),$N$23*$H$38+IF(OR($D$23="No"),0,$C$23),0))/$H$23)</f>
        <v>0.734011442615625</v>
      </c>
      <c r="U61" s="72" t="n">
        <f aca="false">IF($H$23=0,0,(IF(AND($K$23&gt;0,MOD(U$41-1-$I$35,$H$35)=0),$K$23*$H$35+IF(OR($D$23="No",AND($E$23="Sí",$F$23&gt;=2)),0,$C$23),0)+IF(AND($L$23&gt;0,MOD(U$41-1-$I$36,$H$36)=0),$L$23*$H$36+IF(OR($D$23="No"),0,$C$23),0)+IF(AND($M$23&gt;0,MOD(U$41-1-$I$37,$H$37)=0),$M$23*$H$37+IF(OR($D$23="No"),0,$C$23),0)+IF(AND($N$23&gt;0,MOD(U$41-1-$I$38,$H$38)=0),$N$23*$H$38+IF(OR($D$23="No"),0,$C$23),0))/$H$23)</f>
        <v>0.684582575621042</v>
      </c>
      <c r="V61" s="72" t="n">
        <f aca="false">IF($H$23=0,0,(IF(AND($K$23&gt;0,MOD(V$41-1-$I$35,$H$35)=0),$K$23*$H$35+IF(OR($D$23="No",AND($E$23="Sí",$F$23&gt;=2)),0,$C$23),0)+IF(AND($L$23&gt;0,MOD(V$41-1-$I$36,$H$36)=0),$L$23*$H$36+IF(OR($D$23="No"),0,$C$23),0)+IF(AND($M$23&gt;0,MOD(V$41-1-$I$37,$H$37)=0),$M$23*$H$37+IF(OR($D$23="No"),0,$C$23),0)+IF(AND($N$23&gt;0,MOD(V$41-1-$I$38,$H$38)=0),$N$23*$H$38+IF(OR($D$23="No"),0,$C$23),0))/$H$23)</f>
        <v>0.734011442615625</v>
      </c>
    </row>
    <row r="62" customFormat="false" ht="15.75" hidden="false" customHeight="true" outlineLevel="0" collapsed="false">
      <c r="B62" s="70" t="str">
        <f aca="false">Carga!B55</f>
        <v>Ensamblaje</v>
      </c>
      <c r="C62" s="71" t="str">
        <f aca="false">IF(AND($K$25&gt;0,MOD(C$41-1-$I$35,$H$35)=0),"1 ","")&amp;IF(AND($L$25&gt;0,MOD(C$41-1-$I$36,$H$36)=0),"2,5 ","")&amp;IF(AND($M$25&gt;0,MOD(C$41-1-$I$37,$H$37)=0),"5 ","")&amp;IF(AND($N$25&gt;0,MOD(C$41-1-$I$38,$H$38)=0),"10 ","")</f>
        <v>1 2,5 5 </v>
      </c>
      <c r="D62" s="71" t="str">
        <f aca="false">IF(AND($K$25&gt;0,MOD(D$41-1-$I$35,$H$35)=0),"1 ","")&amp;IF(AND($L$25&gt;0,MOD(D$41-1-$I$36,$H$36)=0),"2,5 ","")&amp;IF(AND($M$25&gt;0,MOD(D$41-1-$I$37,$H$37)=0),"5 ","")&amp;IF(AND($N$25&gt;0,MOD(D$41-1-$I$38,$H$38)=0),"10 ","")</f>
        <v>1 2,5 5 10 </v>
      </c>
      <c r="E62" s="71" t="str">
        <f aca="false">IF(AND($K$25&gt;0,MOD(E$41-1-$I$35,$H$35)=0),"1 ","")&amp;IF(AND($L$25&gt;0,MOD(E$41-1-$I$36,$H$36)=0),"2,5 ","")&amp;IF(AND($M$25&gt;0,MOD(E$41-1-$I$37,$H$37)=0),"5 ","")&amp;IF(AND($N$25&gt;0,MOD(E$41-1-$I$38,$H$38)=0),"10 ","")</f>
        <v>1 2,5 5 </v>
      </c>
      <c r="F62" s="71" t="str">
        <f aca="false">IF(AND($K$25&gt;0,MOD(F$41-1-$I$35,$H$35)=0),"1 ","")&amp;IF(AND($L$25&gt;0,MOD(F$41-1-$I$36,$H$36)=0),"2,5 ","")&amp;IF(AND($M$25&gt;0,MOD(F$41-1-$I$37,$H$37)=0),"5 ","")&amp;IF(AND($N$25&gt;0,MOD(F$41-1-$I$38,$H$38)=0),"10 ","")</f>
        <v>1 2,5 5 10 </v>
      </c>
      <c r="G62" s="71" t="str">
        <f aca="false">IF(AND($K$25&gt;0,MOD(G$41-1-$I$35,$H$35)=0),"1 ","")&amp;IF(AND($L$25&gt;0,MOD(G$41-1-$I$36,$H$36)=0),"2,5 ","")&amp;IF(AND($M$25&gt;0,MOD(G$41-1-$I$37,$H$37)=0),"5 ","")&amp;IF(AND($N$25&gt;0,MOD(G$41-1-$I$38,$H$38)=0),"10 ","")</f>
        <v>1 2,5 5 </v>
      </c>
      <c r="H62" s="71" t="str">
        <f aca="false">IF(AND($K$25&gt;0,MOD(H$41-1-$I$35,$H$35)=0),"1 ","")&amp;IF(AND($L$25&gt;0,MOD(H$41-1-$I$36,$H$36)=0),"2,5 ","")&amp;IF(AND($M$25&gt;0,MOD(H$41-1-$I$37,$H$37)=0),"5 ","")&amp;IF(AND($N$25&gt;0,MOD(H$41-1-$I$38,$H$38)=0),"10 ","")</f>
        <v>1 2,5 5 10 </v>
      </c>
      <c r="I62" s="71" t="str">
        <f aca="false">IF(AND($K$25&gt;0,MOD(I$41-1-$I$35,$H$35)=0),"1 ","")&amp;IF(AND($L$25&gt;0,MOD(I$41-1-$I$36,$H$36)=0),"2,5 ","")&amp;IF(AND($M$25&gt;0,MOD(I$41-1-$I$37,$H$37)=0),"5 ","")&amp;IF(AND($N$25&gt;0,MOD(I$41-1-$I$38,$H$38)=0),"10 ","")</f>
        <v>1 2,5 5 </v>
      </c>
      <c r="J62" s="71" t="str">
        <f aca="false">IF(AND($K$25&gt;0,MOD(J$41-1-$I$35,$H$35)=0),"1 ","")&amp;IF(AND($L$25&gt;0,MOD(J$41-1-$I$36,$H$36)=0),"2,5 ","")&amp;IF(AND($M$25&gt;0,MOD(J$41-1-$I$37,$H$37)=0),"5 ","")&amp;IF(AND($N$25&gt;0,MOD(J$41-1-$I$38,$H$38)=0),"10 ","")</f>
        <v>1 2,5 5 10 </v>
      </c>
      <c r="K62" s="71" t="str">
        <f aca="false">IF(AND($K$25&gt;0,MOD(K$41-1-$I$35,$H$35)=0),"1 ","")&amp;IF(AND($L$25&gt;0,MOD(K$41-1-$I$36,$H$36)=0),"2,5 ","")&amp;IF(AND($M$25&gt;0,MOD(K$41-1-$I$37,$H$37)=0),"5 ","")&amp;IF(AND($N$25&gt;0,MOD(K$41-1-$I$38,$H$38)=0),"10 ","")</f>
        <v>1 2,5 5 </v>
      </c>
      <c r="L62" s="71" t="str">
        <f aca="false">IF(AND($K$25&gt;0,MOD(L$41-1-$I$35,$H$35)=0),"1 ","")&amp;IF(AND($L$25&gt;0,MOD(L$41-1-$I$36,$H$36)=0),"2,5 ","")&amp;IF(AND($M$25&gt;0,MOD(L$41-1-$I$37,$H$37)=0),"5 ","")&amp;IF(AND($N$25&gt;0,MOD(L$41-1-$I$38,$H$38)=0),"10 ","")</f>
        <v>1 2,5 5 10 </v>
      </c>
      <c r="M62" s="71" t="str">
        <f aca="false">IF(AND($K$25&gt;0,MOD(M$41-1-$I$35,$H$35)=0),"1 ","")&amp;IF(AND($L$25&gt;0,MOD(M$41-1-$I$36,$H$36)=0),"2,5 ","")&amp;IF(AND($M$25&gt;0,MOD(M$41-1-$I$37,$H$37)=0),"5 ","")&amp;IF(AND($N$25&gt;0,MOD(M$41-1-$I$38,$H$38)=0),"10 ","")</f>
        <v>1 2,5 5 </v>
      </c>
      <c r="N62" s="71" t="str">
        <f aca="false">IF(AND($K$25&gt;0,MOD(N$41-1-$I$35,$H$35)=0),"1 ","")&amp;IF(AND($L$25&gt;0,MOD(N$41-1-$I$36,$H$36)=0),"2,5 ","")&amp;IF(AND($M$25&gt;0,MOD(N$41-1-$I$37,$H$37)=0),"5 ","")&amp;IF(AND($N$25&gt;0,MOD(N$41-1-$I$38,$H$38)=0),"10 ","")</f>
        <v>1 2,5 5 10 </v>
      </c>
      <c r="O62" s="71" t="str">
        <f aca="false">IF(AND($K$25&gt;0,MOD(O$41-1-$I$35,$H$35)=0),"1 ","")&amp;IF(AND($L$25&gt;0,MOD(O$41-1-$I$36,$H$36)=0),"2,5 ","")&amp;IF(AND($M$25&gt;0,MOD(O$41-1-$I$37,$H$37)=0),"5 ","")&amp;IF(AND($N$25&gt;0,MOD(O$41-1-$I$38,$H$38)=0),"10 ","")</f>
        <v>1 2,5 5 </v>
      </c>
      <c r="P62" s="71" t="str">
        <f aca="false">IF(AND($K$25&gt;0,MOD(P$41-1-$I$35,$H$35)=0),"1 ","")&amp;IF(AND($L$25&gt;0,MOD(P$41-1-$I$36,$H$36)=0),"2,5 ","")&amp;IF(AND($M$25&gt;0,MOD(P$41-1-$I$37,$H$37)=0),"5 ","")&amp;IF(AND($N$25&gt;0,MOD(P$41-1-$I$38,$H$38)=0),"10 ","")</f>
        <v>1 2,5 5 10 </v>
      </c>
      <c r="Q62" s="71" t="str">
        <f aca="false">IF(AND($K$25&gt;0,MOD(Q$41-1-$I$35,$H$35)=0),"1 ","")&amp;IF(AND($L$25&gt;0,MOD(Q$41-1-$I$36,$H$36)=0),"2,5 ","")&amp;IF(AND($M$25&gt;0,MOD(Q$41-1-$I$37,$H$37)=0),"5 ","")&amp;IF(AND($N$25&gt;0,MOD(Q$41-1-$I$38,$H$38)=0),"10 ","")</f>
        <v>1 2,5 5 </v>
      </c>
      <c r="R62" s="71" t="str">
        <f aca="false">IF(AND($K$25&gt;0,MOD(R$41-1-$I$35,$H$35)=0),"1 ","")&amp;IF(AND($L$25&gt;0,MOD(R$41-1-$I$36,$H$36)=0),"2,5 ","")&amp;IF(AND($M$25&gt;0,MOD(R$41-1-$I$37,$H$37)=0),"5 ","")&amp;IF(AND($N$25&gt;0,MOD(R$41-1-$I$38,$H$38)=0),"10 ","")</f>
        <v>1 2,5 5 10 </v>
      </c>
      <c r="S62" s="71" t="str">
        <f aca="false">IF(AND($K$25&gt;0,MOD(S$41-1-$I$35,$H$35)=0),"1 ","")&amp;IF(AND($L$25&gt;0,MOD(S$41-1-$I$36,$H$36)=0),"2,5 ","")&amp;IF(AND($M$25&gt;0,MOD(S$41-1-$I$37,$H$37)=0),"5 ","")&amp;IF(AND($N$25&gt;0,MOD(S$41-1-$I$38,$H$38)=0),"10 ","")</f>
        <v>1 2,5 5 </v>
      </c>
      <c r="T62" s="71" t="str">
        <f aca="false">IF(AND($K$25&gt;0,MOD(T$41-1-$I$35,$H$35)=0),"1 ","")&amp;IF(AND($L$25&gt;0,MOD(T$41-1-$I$36,$H$36)=0),"2,5 ","")&amp;IF(AND($M$25&gt;0,MOD(T$41-1-$I$37,$H$37)=0),"5 ","")&amp;IF(AND($N$25&gt;0,MOD(T$41-1-$I$38,$H$38)=0),"10 ","")</f>
        <v>1 2,5 5 10 </v>
      </c>
      <c r="U62" s="71" t="str">
        <f aca="false">IF(AND($K$25&gt;0,MOD(U$41-1-$I$35,$H$35)=0),"1 ","")&amp;IF(AND($L$25&gt;0,MOD(U$41-1-$I$36,$H$36)=0),"2,5 ","")&amp;IF(AND($M$25&gt;0,MOD(U$41-1-$I$37,$H$37)=0),"5 ","")&amp;IF(AND($N$25&gt;0,MOD(U$41-1-$I$38,$H$38)=0),"10 ","")</f>
        <v>1 2,5 5 </v>
      </c>
      <c r="V62" s="71" t="str">
        <f aca="false">IF(AND($K$25&gt;0,MOD(V$41-1-$I$35,$H$35)=0),"1 ","")&amp;IF(AND($L$25&gt;0,MOD(V$41-1-$I$36,$H$36)=0),"2,5 ","")&amp;IF(AND($M$25&gt;0,MOD(V$41-1-$I$37,$H$37)=0),"5 ","")&amp;IF(AND($N$25&gt;0,MOD(V$41-1-$I$38,$H$38)=0),"10 ","")</f>
        <v>1 2,5 5 10 </v>
      </c>
    </row>
    <row r="63" customFormat="false" ht="15.75" hidden="false" customHeight="true" outlineLevel="0" collapsed="false">
      <c r="B63" s="48" t="s">
        <v>640</v>
      </c>
      <c r="C63" s="72" t="n">
        <f aca="false">IF($H$25=0,0,(IF(AND($K$25&gt;0,MOD(C$41-1-$I$35,$H$35)=0),$K$25*$H$35+IF(OR($D$25="No",AND($E$25="Sí",$F$25&gt;=2)),0,$C$25),0)+IF(AND($L$25&gt;0,MOD(C$41-1-$I$36,$H$36)=0),$L$25*$H$36+IF(OR($D$25="No"),0,$C$25),0)+IF(AND($M$25&gt;0,MOD(C$41-1-$I$37,$H$37)=0),$M$25*$H$37+IF(OR($D$25="No"),0,$C$25),0)+IF(AND($N$25&gt;0,MOD(C$41-1-$I$38,$H$38)=0),$N$25*$H$38+IF(OR($D$25="No"),0,$C$25),0))/$H$25)</f>
        <v>0.619367302484167</v>
      </c>
      <c r="D63" s="72" t="n">
        <f aca="false">IF($H$25=0,0,(IF(AND($K$25&gt;0,MOD(D$41-1-$I$35,$H$35)=0),$K$25*$H$35+IF(OR($D$25="No",AND($E$25="Sí",$F$25&gt;=2)),0,$C$25),0)+IF(AND($L$25&gt;0,MOD(D$41-1-$I$36,$H$36)=0),$L$25*$H$36+IF(OR($D$25="No"),0,$C$25),0)+IF(AND($M$25&gt;0,MOD(D$41-1-$I$37,$H$37)=0),$M$25*$H$37+IF(OR($D$25="No"),0,$C$25),0)+IF(AND($N$25&gt;0,MOD(D$41-1-$I$38,$H$38)=0),$N$25*$H$38+IF(OR($D$25="No"),0,$C$25),0))/$H$25)</f>
        <v>0.661227214906945</v>
      </c>
      <c r="E63" s="72" t="n">
        <f aca="false">IF($H$25=0,0,(IF(AND($K$25&gt;0,MOD(E$41-1-$I$35,$H$35)=0),$K$25*$H$35+IF(OR($D$25="No",AND($E$25="Sí",$F$25&gt;=2)),0,$C$25),0)+IF(AND($L$25&gt;0,MOD(E$41-1-$I$36,$H$36)=0),$L$25*$H$36+IF(OR($D$25="No"),0,$C$25),0)+IF(AND($M$25&gt;0,MOD(E$41-1-$I$37,$H$37)=0),$M$25*$H$37+IF(OR($D$25="No"),0,$C$25),0)+IF(AND($N$25&gt;0,MOD(E$41-1-$I$38,$H$38)=0),$N$25*$H$38+IF(OR($D$25="No"),0,$C$25),0))/$H$25)</f>
        <v>0.619367302484167</v>
      </c>
      <c r="F63" s="72" t="n">
        <f aca="false">IF($H$25=0,0,(IF(AND($K$25&gt;0,MOD(F$41-1-$I$35,$H$35)=0),$K$25*$H$35+IF(OR($D$25="No",AND($E$25="Sí",$F$25&gt;=2)),0,$C$25),0)+IF(AND($L$25&gt;0,MOD(F$41-1-$I$36,$H$36)=0),$L$25*$H$36+IF(OR($D$25="No"),0,$C$25),0)+IF(AND($M$25&gt;0,MOD(F$41-1-$I$37,$H$37)=0),$M$25*$H$37+IF(OR($D$25="No"),0,$C$25),0)+IF(AND($N$25&gt;0,MOD(F$41-1-$I$38,$H$38)=0),$N$25*$H$38+IF(OR($D$25="No"),0,$C$25),0))/$H$25)</f>
        <v>0.661227214906945</v>
      </c>
      <c r="G63" s="72" t="n">
        <f aca="false">IF($H$25=0,0,(IF(AND($K$25&gt;0,MOD(G$41-1-$I$35,$H$35)=0),$K$25*$H$35+IF(OR($D$25="No",AND($E$25="Sí",$F$25&gt;=2)),0,$C$25),0)+IF(AND($L$25&gt;0,MOD(G$41-1-$I$36,$H$36)=0),$L$25*$H$36+IF(OR($D$25="No"),0,$C$25),0)+IF(AND($M$25&gt;0,MOD(G$41-1-$I$37,$H$37)=0),$M$25*$H$37+IF(OR($D$25="No"),0,$C$25),0)+IF(AND($N$25&gt;0,MOD(G$41-1-$I$38,$H$38)=0),$N$25*$H$38+IF(OR($D$25="No"),0,$C$25),0))/$H$25)</f>
        <v>0.619367302484167</v>
      </c>
      <c r="H63" s="72" t="n">
        <f aca="false">IF($H$25=0,0,(IF(AND($K$25&gt;0,MOD(H$41-1-$I$35,$H$35)=0),$K$25*$H$35+IF(OR($D$25="No",AND($E$25="Sí",$F$25&gt;=2)),0,$C$25),0)+IF(AND($L$25&gt;0,MOD(H$41-1-$I$36,$H$36)=0),$L$25*$H$36+IF(OR($D$25="No"),0,$C$25),0)+IF(AND($M$25&gt;0,MOD(H$41-1-$I$37,$H$37)=0),$M$25*$H$37+IF(OR($D$25="No"),0,$C$25),0)+IF(AND($N$25&gt;0,MOD(H$41-1-$I$38,$H$38)=0),$N$25*$H$38+IF(OR($D$25="No"),0,$C$25),0))/$H$25)</f>
        <v>0.661227214906945</v>
      </c>
      <c r="I63" s="72" t="n">
        <f aca="false">IF($H$25=0,0,(IF(AND($K$25&gt;0,MOD(I$41-1-$I$35,$H$35)=0),$K$25*$H$35+IF(OR($D$25="No",AND($E$25="Sí",$F$25&gt;=2)),0,$C$25),0)+IF(AND($L$25&gt;0,MOD(I$41-1-$I$36,$H$36)=0),$L$25*$H$36+IF(OR($D$25="No"),0,$C$25),0)+IF(AND($M$25&gt;0,MOD(I$41-1-$I$37,$H$37)=0),$M$25*$H$37+IF(OR($D$25="No"),0,$C$25),0)+IF(AND($N$25&gt;0,MOD(I$41-1-$I$38,$H$38)=0),$N$25*$H$38+IF(OR($D$25="No"),0,$C$25),0))/$H$25)</f>
        <v>0.619367302484167</v>
      </c>
      <c r="J63" s="72" t="n">
        <f aca="false">IF($H$25=0,0,(IF(AND($K$25&gt;0,MOD(J$41-1-$I$35,$H$35)=0),$K$25*$H$35+IF(OR($D$25="No",AND($E$25="Sí",$F$25&gt;=2)),0,$C$25),0)+IF(AND($L$25&gt;0,MOD(J$41-1-$I$36,$H$36)=0),$L$25*$H$36+IF(OR($D$25="No"),0,$C$25),0)+IF(AND($M$25&gt;0,MOD(J$41-1-$I$37,$H$37)=0),$M$25*$H$37+IF(OR($D$25="No"),0,$C$25),0)+IF(AND($N$25&gt;0,MOD(J$41-1-$I$38,$H$38)=0),$N$25*$H$38+IF(OR($D$25="No"),0,$C$25),0))/$H$25)</f>
        <v>0.661227214906945</v>
      </c>
      <c r="K63" s="72" t="n">
        <f aca="false">IF($H$25=0,0,(IF(AND($K$25&gt;0,MOD(K$41-1-$I$35,$H$35)=0),$K$25*$H$35+IF(OR($D$25="No",AND($E$25="Sí",$F$25&gt;=2)),0,$C$25),0)+IF(AND($L$25&gt;0,MOD(K$41-1-$I$36,$H$36)=0),$L$25*$H$36+IF(OR($D$25="No"),0,$C$25),0)+IF(AND($M$25&gt;0,MOD(K$41-1-$I$37,$H$37)=0),$M$25*$H$37+IF(OR($D$25="No"),0,$C$25),0)+IF(AND($N$25&gt;0,MOD(K$41-1-$I$38,$H$38)=0),$N$25*$H$38+IF(OR($D$25="No"),0,$C$25),0))/$H$25)</f>
        <v>0.619367302484167</v>
      </c>
      <c r="L63" s="72" t="n">
        <f aca="false">IF($H$25=0,0,(IF(AND($K$25&gt;0,MOD(L$41-1-$I$35,$H$35)=0),$K$25*$H$35+IF(OR($D$25="No",AND($E$25="Sí",$F$25&gt;=2)),0,$C$25),0)+IF(AND($L$25&gt;0,MOD(L$41-1-$I$36,$H$36)=0),$L$25*$H$36+IF(OR($D$25="No"),0,$C$25),0)+IF(AND($M$25&gt;0,MOD(L$41-1-$I$37,$H$37)=0),$M$25*$H$37+IF(OR($D$25="No"),0,$C$25),0)+IF(AND($N$25&gt;0,MOD(L$41-1-$I$38,$H$38)=0),$N$25*$H$38+IF(OR($D$25="No"),0,$C$25),0))/$H$25)</f>
        <v>0.661227214906945</v>
      </c>
      <c r="M63" s="72" t="n">
        <f aca="false">IF($H$25=0,0,(IF(AND($K$25&gt;0,MOD(M$41-1-$I$35,$H$35)=0),$K$25*$H$35+IF(OR($D$25="No",AND($E$25="Sí",$F$25&gt;=2)),0,$C$25),0)+IF(AND($L$25&gt;0,MOD(M$41-1-$I$36,$H$36)=0),$L$25*$H$36+IF(OR($D$25="No"),0,$C$25),0)+IF(AND($M$25&gt;0,MOD(M$41-1-$I$37,$H$37)=0),$M$25*$H$37+IF(OR($D$25="No"),0,$C$25),0)+IF(AND($N$25&gt;0,MOD(M$41-1-$I$38,$H$38)=0),$N$25*$H$38+IF(OR($D$25="No"),0,$C$25),0))/$H$25)</f>
        <v>0.619367302484167</v>
      </c>
      <c r="N63" s="72" t="n">
        <f aca="false">IF($H$25=0,0,(IF(AND($K$25&gt;0,MOD(N$41-1-$I$35,$H$35)=0),$K$25*$H$35+IF(OR($D$25="No",AND($E$25="Sí",$F$25&gt;=2)),0,$C$25),0)+IF(AND($L$25&gt;0,MOD(N$41-1-$I$36,$H$36)=0),$L$25*$H$36+IF(OR($D$25="No"),0,$C$25),0)+IF(AND($M$25&gt;0,MOD(N$41-1-$I$37,$H$37)=0),$M$25*$H$37+IF(OR($D$25="No"),0,$C$25),0)+IF(AND($N$25&gt;0,MOD(N$41-1-$I$38,$H$38)=0),$N$25*$H$38+IF(OR($D$25="No"),0,$C$25),0))/$H$25)</f>
        <v>0.661227214906945</v>
      </c>
      <c r="O63" s="72" t="n">
        <f aca="false">IF($H$25=0,0,(IF(AND($K$25&gt;0,MOD(O$41-1-$I$35,$H$35)=0),$K$25*$H$35+IF(OR($D$25="No",AND($E$25="Sí",$F$25&gt;=2)),0,$C$25),0)+IF(AND($L$25&gt;0,MOD(O$41-1-$I$36,$H$36)=0),$L$25*$H$36+IF(OR($D$25="No"),0,$C$25),0)+IF(AND($M$25&gt;0,MOD(O$41-1-$I$37,$H$37)=0),$M$25*$H$37+IF(OR($D$25="No"),0,$C$25),0)+IF(AND($N$25&gt;0,MOD(O$41-1-$I$38,$H$38)=0),$N$25*$H$38+IF(OR($D$25="No"),0,$C$25),0))/$H$25)</f>
        <v>0.619367302484167</v>
      </c>
      <c r="P63" s="72" t="n">
        <f aca="false">IF($H$25=0,0,(IF(AND($K$25&gt;0,MOD(P$41-1-$I$35,$H$35)=0),$K$25*$H$35+IF(OR($D$25="No",AND($E$25="Sí",$F$25&gt;=2)),0,$C$25),0)+IF(AND($L$25&gt;0,MOD(P$41-1-$I$36,$H$36)=0),$L$25*$H$36+IF(OR($D$25="No"),0,$C$25),0)+IF(AND($M$25&gt;0,MOD(P$41-1-$I$37,$H$37)=0),$M$25*$H$37+IF(OR($D$25="No"),0,$C$25),0)+IF(AND($N$25&gt;0,MOD(P$41-1-$I$38,$H$38)=0),$N$25*$H$38+IF(OR($D$25="No"),0,$C$25),0))/$H$25)</f>
        <v>0.661227214906945</v>
      </c>
      <c r="Q63" s="72" t="n">
        <f aca="false">IF($H$25=0,0,(IF(AND($K$25&gt;0,MOD(Q$41-1-$I$35,$H$35)=0),$K$25*$H$35+IF(OR($D$25="No",AND($E$25="Sí",$F$25&gt;=2)),0,$C$25),0)+IF(AND($L$25&gt;0,MOD(Q$41-1-$I$36,$H$36)=0),$L$25*$H$36+IF(OR($D$25="No"),0,$C$25),0)+IF(AND($M$25&gt;0,MOD(Q$41-1-$I$37,$H$37)=0),$M$25*$H$37+IF(OR($D$25="No"),0,$C$25),0)+IF(AND($N$25&gt;0,MOD(Q$41-1-$I$38,$H$38)=0),$N$25*$H$38+IF(OR($D$25="No"),0,$C$25),0))/$H$25)</f>
        <v>0.619367302484167</v>
      </c>
      <c r="R63" s="72" t="n">
        <f aca="false">IF($H$25=0,0,(IF(AND($K$25&gt;0,MOD(R$41-1-$I$35,$H$35)=0),$K$25*$H$35+IF(OR($D$25="No",AND($E$25="Sí",$F$25&gt;=2)),0,$C$25),0)+IF(AND($L$25&gt;0,MOD(R$41-1-$I$36,$H$36)=0),$L$25*$H$36+IF(OR($D$25="No"),0,$C$25),0)+IF(AND($M$25&gt;0,MOD(R$41-1-$I$37,$H$37)=0),$M$25*$H$37+IF(OR($D$25="No"),0,$C$25),0)+IF(AND($N$25&gt;0,MOD(R$41-1-$I$38,$H$38)=0),$N$25*$H$38+IF(OR($D$25="No"),0,$C$25),0))/$H$25)</f>
        <v>0.661227214906945</v>
      </c>
      <c r="S63" s="72" t="n">
        <f aca="false">IF($H$25=0,0,(IF(AND($K$25&gt;0,MOD(S$41-1-$I$35,$H$35)=0),$K$25*$H$35+IF(OR($D$25="No",AND($E$25="Sí",$F$25&gt;=2)),0,$C$25),0)+IF(AND($L$25&gt;0,MOD(S$41-1-$I$36,$H$36)=0),$L$25*$H$36+IF(OR($D$25="No"),0,$C$25),0)+IF(AND($M$25&gt;0,MOD(S$41-1-$I$37,$H$37)=0),$M$25*$H$37+IF(OR($D$25="No"),0,$C$25),0)+IF(AND($N$25&gt;0,MOD(S$41-1-$I$38,$H$38)=0),$N$25*$H$38+IF(OR($D$25="No"),0,$C$25),0))/$H$25)</f>
        <v>0.619367302484167</v>
      </c>
      <c r="T63" s="72" t="n">
        <f aca="false">IF($H$25=0,0,(IF(AND($K$25&gt;0,MOD(T$41-1-$I$35,$H$35)=0),$K$25*$H$35+IF(OR($D$25="No",AND($E$25="Sí",$F$25&gt;=2)),0,$C$25),0)+IF(AND($L$25&gt;0,MOD(T$41-1-$I$36,$H$36)=0),$L$25*$H$36+IF(OR($D$25="No"),0,$C$25),0)+IF(AND($M$25&gt;0,MOD(T$41-1-$I$37,$H$37)=0),$M$25*$H$37+IF(OR($D$25="No"),0,$C$25),0)+IF(AND($N$25&gt;0,MOD(T$41-1-$I$38,$H$38)=0),$N$25*$H$38+IF(OR($D$25="No"),0,$C$25),0))/$H$25)</f>
        <v>0.661227214906945</v>
      </c>
      <c r="U63" s="72" t="n">
        <f aca="false">IF($H$25=0,0,(IF(AND($K$25&gt;0,MOD(U$41-1-$I$35,$H$35)=0),$K$25*$H$35+IF(OR($D$25="No",AND($E$25="Sí",$F$25&gt;=2)),0,$C$25),0)+IF(AND($L$25&gt;0,MOD(U$41-1-$I$36,$H$36)=0),$L$25*$H$36+IF(OR($D$25="No"),0,$C$25),0)+IF(AND($M$25&gt;0,MOD(U$41-1-$I$37,$H$37)=0),$M$25*$H$37+IF(OR($D$25="No"),0,$C$25),0)+IF(AND($N$25&gt;0,MOD(U$41-1-$I$38,$H$38)=0),$N$25*$H$38+IF(OR($D$25="No"),0,$C$25),0))/$H$25)</f>
        <v>0.619367302484167</v>
      </c>
      <c r="V63" s="72" t="n">
        <f aca="false">IF($H$25=0,0,(IF(AND($K$25&gt;0,MOD(V$41-1-$I$35,$H$35)=0),$K$25*$H$35+IF(OR($D$25="No",AND($E$25="Sí",$F$25&gt;=2)),0,$C$25),0)+IF(AND($L$25&gt;0,MOD(V$41-1-$I$36,$H$36)=0),$L$25*$H$36+IF(OR($D$25="No"),0,$C$25),0)+IF(AND($M$25&gt;0,MOD(V$41-1-$I$37,$H$37)=0),$M$25*$H$37+IF(OR($D$25="No"),0,$C$25),0)+IF(AND($N$25&gt;0,MOD(V$41-1-$I$38,$H$38)=0),$N$25*$H$38+IF(OR($D$25="No"),0,$C$25),0))/$H$25)</f>
        <v>0.661227214906945</v>
      </c>
    </row>
    <row r="64" customFormat="false" ht="15.75" hidden="false" customHeight="true" outlineLevel="0" collapsed="false">
      <c r="B64" s="70" t="str">
        <f aca="false">Carga!B59</f>
        <v>Embalaje y paletizado</v>
      </c>
      <c r="C64" s="71" t="str">
        <f aca="false">IF(AND($K$29&gt;0,MOD(C$41-1-$I$35,$H$35)=0),"1 ","")&amp;IF(AND($L$29&gt;0,MOD(C$41-1-$I$36,$H$36)=0),"2,5 ","")&amp;IF(AND($M$29&gt;0,MOD(C$41-1-$I$37,$H$37)=0),"5 ","")&amp;IF(AND($N$29&gt;0,MOD(C$41-1-$I$38,$H$38)=0),"10 ","")</f>
        <v>1 2,5 5 </v>
      </c>
      <c r="D64" s="71" t="str">
        <f aca="false">IF(AND($K$29&gt;0,MOD(D$41-1-$I$35,$H$35)=0),"1 ","")&amp;IF(AND($L$29&gt;0,MOD(D$41-1-$I$36,$H$36)=0),"2,5 ","")&amp;IF(AND($M$29&gt;0,MOD(D$41-1-$I$37,$H$37)=0),"5 ","")&amp;IF(AND($N$29&gt;0,MOD(D$41-1-$I$38,$H$38)=0),"10 ","")</f>
        <v>1 2,5 5 10 </v>
      </c>
      <c r="E64" s="71" t="str">
        <f aca="false">IF(AND($K$29&gt;0,MOD(E$41-1-$I$35,$H$35)=0),"1 ","")&amp;IF(AND($L$29&gt;0,MOD(E$41-1-$I$36,$H$36)=0),"2,5 ","")&amp;IF(AND($M$29&gt;0,MOD(E$41-1-$I$37,$H$37)=0),"5 ","")&amp;IF(AND($N$29&gt;0,MOD(E$41-1-$I$38,$H$38)=0),"10 ","")</f>
        <v>1 2,5 5 </v>
      </c>
      <c r="F64" s="71" t="str">
        <f aca="false">IF(AND($K$29&gt;0,MOD(F$41-1-$I$35,$H$35)=0),"1 ","")&amp;IF(AND($L$29&gt;0,MOD(F$41-1-$I$36,$H$36)=0),"2,5 ","")&amp;IF(AND($M$29&gt;0,MOD(F$41-1-$I$37,$H$37)=0),"5 ","")&amp;IF(AND($N$29&gt;0,MOD(F$41-1-$I$38,$H$38)=0),"10 ","")</f>
        <v>1 2,5 5 10 </v>
      </c>
      <c r="G64" s="71" t="str">
        <f aca="false">IF(AND($K$29&gt;0,MOD(G$41-1-$I$35,$H$35)=0),"1 ","")&amp;IF(AND($L$29&gt;0,MOD(G$41-1-$I$36,$H$36)=0),"2,5 ","")&amp;IF(AND($M$29&gt;0,MOD(G$41-1-$I$37,$H$37)=0),"5 ","")&amp;IF(AND($N$29&gt;0,MOD(G$41-1-$I$38,$H$38)=0),"10 ","")</f>
        <v>1 2,5 5 </v>
      </c>
      <c r="H64" s="71" t="str">
        <f aca="false">IF(AND($K$29&gt;0,MOD(H$41-1-$I$35,$H$35)=0),"1 ","")&amp;IF(AND($L$29&gt;0,MOD(H$41-1-$I$36,$H$36)=0),"2,5 ","")&amp;IF(AND($M$29&gt;0,MOD(H$41-1-$I$37,$H$37)=0),"5 ","")&amp;IF(AND($N$29&gt;0,MOD(H$41-1-$I$38,$H$38)=0),"10 ","")</f>
        <v>1 2,5 5 10 </v>
      </c>
      <c r="I64" s="71" t="str">
        <f aca="false">IF(AND($K$29&gt;0,MOD(I$41-1-$I$35,$H$35)=0),"1 ","")&amp;IF(AND($L$29&gt;0,MOD(I$41-1-$I$36,$H$36)=0),"2,5 ","")&amp;IF(AND($M$29&gt;0,MOD(I$41-1-$I$37,$H$37)=0),"5 ","")&amp;IF(AND($N$29&gt;0,MOD(I$41-1-$I$38,$H$38)=0),"10 ","")</f>
        <v>1 2,5 5 </v>
      </c>
      <c r="J64" s="71" t="str">
        <f aca="false">IF(AND($K$29&gt;0,MOD(J$41-1-$I$35,$H$35)=0),"1 ","")&amp;IF(AND($L$29&gt;0,MOD(J$41-1-$I$36,$H$36)=0),"2,5 ","")&amp;IF(AND($M$29&gt;0,MOD(J$41-1-$I$37,$H$37)=0),"5 ","")&amp;IF(AND($N$29&gt;0,MOD(J$41-1-$I$38,$H$38)=0),"10 ","")</f>
        <v>1 2,5 5 10 </v>
      </c>
      <c r="K64" s="71" t="str">
        <f aca="false">IF(AND($K$29&gt;0,MOD(K$41-1-$I$35,$H$35)=0),"1 ","")&amp;IF(AND($L$29&gt;0,MOD(K$41-1-$I$36,$H$36)=0),"2,5 ","")&amp;IF(AND($M$29&gt;0,MOD(K$41-1-$I$37,$H$37)=0),"5 ","")&amp;IF(AND($N$29&gt;0,MOD(K$41-1-$I$38,$H$38)=0),"10 ","")</f>
        <v>1 2,5 5 </v>
      </c>
      <c r="L64" s="71" t="str">
        <f aca="false">IF(AND($K$29&gt;0,MOD(L$41-1-$I$35,$H$35)=0),"1 ","")&amp;IF(AND($L$29&gt;0,MOD(L$41-1-$I$36,$H$36)=0),"2,5 ","")&amp;IF(AND($M$29&gt;0,MOD(L$41-1-$I$37,$H$37)=0),"5 ","")&amp;IF(AND($N$29&gt;0,MOD(L$41-1-$I$38,$H$38)=0),"10 ","")</f>
        <v>1 2,5 5 10 </v>
      </c>
      <c r="M64" s="71" t="str">
        <f aca="false">IF(AND($K$29&gt;0,MOD(M$41-1-$I$35,$H$35)=0),"1 ","")&amp;IF(AND($L$29&gt;0,MOD(M$41-1-$I$36,$H$36)=0),"2,5 ","")&amp;IF(AND($M$29&gt;0,MOD(M$41-1-$I$37,$H$37)=0),"5 ","")&amp;IF(AND($N$29&gt;0,MOD(M$41-1-$I$38,$H$38)=0),"10 ","")</f>
        <v>1 2,5 5 </v>
      </c>
      <c r="N64" s="71" t="str">
        <f aca="false">IF(AND($K$29&gt;0,MOD(N$41-1-$I$35,$H$35)=0),"1 ","")&amp;IF(AND($L$29&gt;0,MOD(N$41-1-$I$36,$H$36)=0),"2,5 ","")&amp;IF(AND($M$29&gt;0,MOD(N$41-1-$I$37,$H$37)=0),"5 ","")&amp;IF(AND($N$29&gt;0,MOD(N$41-1-$I$38,$H$38)=0),"10 ","")</f>
        <v>1 2,5 5 10 </v>
      </c>
      <c r="O64" s="71" t="str">
        <f aca="false">IF(AND($K$29&gt;0,MOD(O$41-1-$I$35,$H$35)=0),"1 ","")&amp;IF(AND($L$29&gt;0,MOD(O$41-1-$I$36,$H$36)=0),"2,5 ","")&amp;IF(AND($M$29&gt;0,MOD(O$41-1-$I$37,$H$37)=0),"5 ","")&amp;IF(AND($N$29&gt;0,MOD(O$41-1-$I$38,$H$38)=0),"10 ","")</f>
        <v>1 2,5 5 </v>
      </c>
      <c r="P64" s="71" t="str">
        <f aca="false">IF(AND($K$29&gt;0,MOD(P$41-1-$I$35,$H$35)=0),"1 ","")&amp;IF(AND($L$29&gt;0,MOD(P$41-1-$I$36,$H$36)=0),"2,5 ","")&amp;IF(AND($M$29&gt;0,MOD(P$41-1-$I$37,$H$37)=0),"5 ","")&amp;IF(AND($N$29&gt;0,MOD(P$41-1-$I$38,$H$38)=0),"10 ","")</f>
        <v>1 2,5 5 10 </v>
      </c>
      <c r="Q64" s="71" t="str">
        <f aca="false">IF(AND($K$29&gt;0,MOD(Q$41-1-$I$35,$H$35)=0),"1 ","")&amp;IF(AND($L$29&gt;0,MOD(Q$41-1-$I$36,$H$36)=0),"2,5 ","")&amp;IF(AND($M$29&gt;0,MOD(Q$41-1-$I$37,$H$37)=0),"5 ","")&amp;IF(AND($N$29&gt;0,MOD(Q$41-1-$I$38,$H$38)=0),"10 ","")</f>
        <v>1 2,5 5 </v>
      </c>
      <c r="R64" s="71" t="str">
        <f aca="false">IF(AND($K$29&gt;0,MOD(R$41-1-$I$35,$H$35)=0),"1 ","")&amp;IF(AND($L$29&gt;0,MOD(R$41-1-$I$36,$H$36)=0),"2,5 ","")&amp;IF(AND($M$29&gt;0,MOD(R$41-1-$I$37,$H$37)=0),"5 ","")&amp;IF(AND($N$29&gt;0,MOD(R$41-1-$I$38,$H$38)=0),"10 ","")</f>
        <v>1 2,5 5 10 </v>
      </c>
      <c r="S64" s="71" t="str">
        <f aca="false">IF(AND($K$29&gt;0,MOD(S$41-1-$I$35,$H$35)=0),"1 ","")&amp;IF(AND($L$29&gt;0,MOD(S$41-1-$I$36,$H$36)=0),"2,5 ","")&amp;IF(AND($M$29&gt;0,MOD(S$41-1-$I$37,$H$37)=0),"5 ","")&amp;IF(AND($N$29&gt;0,MOD(S$41-1-$I$38,$H$38)=0),"10 ","")</f>
        <v>1 2,5 5 </v>
      </c>
      <c r="T64" s="71" t="str">
        <f aca="false">IF(AND($K$29&gt;0,MOD(T$41-1-$I$35,$H$35)=0),"1 ","")&amp;IF(AND($L$29&gt;0,MOD(T$41-1-$I$36,$H$36)=0),"2,5 ","")&amp;IF(AND($M$29&gt;0,MOD(T$41-1-$I$37,$H$37)=0),"5 ","")&amp;IF(AND($N$29&gt;0,MOD(T$41-1-$I$38,$H$38)=0),"10 ","")</f>
        <v>1 2,5 5 10 </v>
      </c>
      <c r="U64" s="71" t="str">
        <f aca="false">IF(AND($K$29&gt;0,MOD(U$41-1-$I$35,$H$35)=0),"1 ","")&amp;IF(AND($L$29&gt;0,MOD(U$41-1-$I$36,$H$36)=0),"2,5 ","")&amp;IF(AND($M$29&gt;0,MOD(U$41-1-$I$37,$H$37)=0),"5 ","")&amp;IF(AND($N$29&gt;0,MOD(U$41-1-$I$38,$H$38)=0),"10 ","")</f>
        <v>1 2,5 5 </v>
      </c>
      <c r="V64" s="71" t="str">
        <f aca="false">IF(AND($K$29&gt;0,MOD(V$41-1-$I$35,$H$35)=0),"1 ","")&amp;IF(AND($L$29&gt;0,MOD(V$41-1-$I$36,$H$36)=0),"2,5 ","")&amp;IF(AND($M$29&gt;0,MOD(V$41-1-$I$37,$H$37)=0),"5 ","")&amp;IF(AND($N$29&gt;0,MOD(V$41-1-$I$38,$H$38)=0),"10 ","")</f>
        <v>1 2,5 5 10 </v>
      </c>
    </row>
    <row r="65" customFormat="false" ht="15.75" hidden="false" customHeight="true" outlineLevel="0" collapsed="false">
      <c r="B65" s="48" t="s">
        <v>640</v>
      </c>
      <c r="C65" s="72" t="n">
        <f aca="false">IF($H$29=0,0,(IF(AND($K$29&gt;0,MOD(C$41-1-$I$35,$H$35)=0),$K$29*$H$35+IF(OR($D$29="No",AND($E$29="Sí",$F$29&gt;=2)),0,$C$29),0)+IF(AND($L$29&gt;0,MOD(C$41-1-$I$36,$H$36)=0),$L$29*$H$36+IF(OR($D$29="No"),0,$C$29),0)+IF(AND($M$29&gt;0,MOD(C$41-1-$I$37,$H$37)=0),$M$29*$H$37+IF(OR($D$29="No"),0,$C$29),0)+IF(AND($N$29&gt;0,MOD(C$41-1-$I$38,$H$38)=0),$N$29*$H$38+IF(OR($D$29="No"),0,$C$29),0))/$H$29)</f>
        <v>0.531679873614493</v>
      </c>
      <c r="D65" s="72" t="n">
        <f aca="false">IF($H$29=0,0,(IF(AND($K$29&gt;0,MOD(D$41-1-$I$35,$H$35)=0),$K$29*$H$35+IF(OR($D$29="No",AND($E$29="Sí",$F$29&gt;=2)),0,$C$29),0)+IF(AND($L$29&gt;0,MOD(D$41-1-$I$36,$H$36)=0),$L$29*$H$36+IF(OR($D$29="No"),0,$C$29),0)+IF(AND($M$29&gt;0,MOD(D$41-1-$I$37,$H$37)=0),$M$29*$H$37+IF(OR($D$29="No"),0,$C$29),0)+IF(AND($N$29&gt;0,MOD(D$41-1-$I$38,$H$38)=0),$N$29*$H$38+IF(OR($D$29="No"),0,$C$29),0))/$H$29)</f>
        <v>0.548943631687396</v>
      </c>
      <c r="E65" s="72" t="n">
        <f aca="false">IF($H$29=0,0,(IF(AND($K$29&gt;0,MOD(E$41-1-$I$35,$H$35)=0),$K$29*$H$35+IF(OR($D$29="No",AND($E$29="Sí",$F$29&gt;=2)),0,$C$29),0)+IF(AND($L$29&gt;0,MOD(E$41-1-$I$36,$H$36)=0),$L$29*$H$36+IF(OR($D$29="No"),0,$C$29),0)+IF(AND($M$29&gt;0,MOD(E$41-1-$I$37,$H$37)=0),$M$29*$H$37+IF(OR($D$29="No"),0,$C$29),0)+IF(AND($N$29&gt;0,MOD(E$41-1-$I$38,$H$38)=0),$N$29*$H$38+IF(OR($D$29="No"),0,$C$29),0))/$H$29)</f>
        <v>0.531679873614493</v>
      </c>
      <c r="F65" s="72" t="n">
        <f aca="false">IF($H$29=0,0,(IF(AND($K$29&gt;0,MOD(F$41-1-$I$35,$H$35)=0),$K$29*$H$35+IF(OR($D$29="No",AND($E$29="Sí",$F$29&gt;=2)),0,$C$29),0)+IF(AND($L$29&gt;0,MOD(F$41-1-$I$36,$H$36)=0),$L$29*$H$36+IF(OR($D$29="No"),0,$C$29),0)+IF(AND($M$29&gt;0,MOD(F$41-1-$I$37,$H$37)=0),$M$29*$H$37+IF(OR($D$29="No"),0,$C$29),0)+IF(AND($N$29&gt;0,MOD(F$41-1-$I$38,$H$38)=0),$N$29*$H$38+IF(OR($D$29="No"),0,$C$29),0))/$H$29)</f>
        <v>0.548943631687396</v>
      </c>
      <c r="G65" s="72" t="n">
        <f aca="false">IF($H$29=0,0,(IF(AND($K$29&gt;0,MOD(G$41-1-$I$35,$H$35)=0),$K$29*$H$35+IF(OR($D$29="No",AND($E$29="Sí",$F$29&gt;=2)),0,$C$29),0)+IF(AND($L$29&gt;0,MOD(G$41-1-$I$36,$H$36)=0),$L$29*$H$36+IF(OR($D$29="No"),0,$C$29),0)+IF(AND($M$29&gt;0,MOD(G$41-1-$I$37,$H$37)=0),$M$29*$H$37+IF(OR($D$29="No"),0,$C$29),0)+IF(AND($N$29&gt;0,MOD(G$41-1-$I$38,$H$38)=0),$N$29*$H$38+IF(OR($D$29="No"),0,$C$29),0))/$H$29)</f>
        <v>0.531679873614493</v>
      </c>
      <c r="H65" s="72" t="n">
        <f aca="false">IF($H$29=0,0,(IF(AND($K$29&gt;0,MOD(H$41-1-$I$35,$H$35)=0),$K$29*$H$35+IF(OR($D$29="No",AND($E$29="Sí",$F$29&gt;=2)),0,$C$29),0)+IF(AND($L$29&gt;0,MOD(H$41-1-$I$36,$H$36)=0),$L$29*$H$36+IF(OR($D$29="No"),0,$C$29),0)+IF(AND($M$29&gt;0,MOD(H$41-1-$I$37,$H$37)=0),$M$29*$H$37+IF(OR($D$29="No"),0,$C$29),0)+IF(AND($N$29&gt;0,MOD(H$41-1-$I$38,$H$38)=0),$N$29*$H$38+IF(OR($D$29="No"),0,$C$29),0))/$H$29)</f>
        <v>0.548943631687396</v>
      </c>
      <c r="I65" s="72" t="n">
        <f aca="false">IF($H$29=0,0,(IF(AND($K$29&gt;0,MOD(I$41-1-$I$35,$H$35)=0),$K$29*$H$35+IF(OR($D$29="No",AND($E$29="Sí",$F$29&gt;=2)),0,$C$29),0)+IF(AND($L$29&gt;0,MOD(I$41-1-$I$36,$H$36)=0),$L$29*$H$36+IF(OR($D$29="No"),0,$C$29),0)+IF(AND($M$29&gt;0,MOD(I$41-1-$I$37,$H$37)=0),$M$29*$H$37+IF(OR($D$29="No"),0,$C$29),0)+IF(AND($N$29&gt;0,MOD(I$41-1-$I$38,$H$38)=0),$N$29*$H$38+IF(OR($D$29="No"),0,$C$29),0))/$H$29)</f>
        <v>0.531679873614493</v>
      </c>
      <c r="J65" s="72" t="n">
        <f aca="false">IF($H$29=0,0,(IF(AND($K$29&gt;0,MOD(J$41-1-$I$35,$H$35)=0),$K$29*$H$35+IF(OR($D$29="No",AND($E$29="Sí",$F$29&gt;=2)),0,$C$29),0)+IF(AND($L$29&gt;0,MOD(J$41-1-$I$36,$H$36)=0),$L$29*$H$36+IF(OR($D$29="No"),0,$C$29),0)+IF(AND($M$29&gt;0,MOD(J$41-1-$I$37,$H$37)=0),$M$29*$H$37+IF(OR($D$29="No"),0,$C$29),0)+IF(AND($N$29&gt;0,MOD(J$41-1-$I$38,$H$38)=0),$N$29*$H$38+IF(OR($D$29="No"),0,$C$29),0))/$H$29)</f>
        <v>0.548943631687396</v>
      </c>
      <c r="K65" s="72" t="n">
        <f aca="false">IF($H$29=0,0,(IF(AND($K$29&gt;0,MOD(K$41-1-$I$35,$H$35)=0),$K$29*$H$35+IF(OR($D$29="No",AND($E$29="Sí",$F$29&gt;=2)),0,$C$29),0)+IF(AND($L$29&gt;0,MOD(K$41-1-$I$36,$H$36)=0),$L$29*$H$36+IF(OR($D$29="No"),0,$C$29),0)+IF(AND($M$29&gt;0,MOD(K$41-1-$I$37,$H$37)=0),$M$29*$H$37+IF(OR($D$29="No"),0,$C$29),0)+IF(AND($N$29&gt;0,MOD(K$41-1-$I$38,$H$38)=0),$N$29*$H$38+IF(OR($D$29="No"),0,$C$29),0))/$H$29)</f>
        <v>0.531679873614493</v>
      </c>
      <c r="L65" s="72" t="n">
        <f aca="false">IF($H$29=0,0,(IF(AND($K$29&gt;0,MOD(L$41-1-$I$35,$H$35)=0),$K$29*$H$35+IF(OR($D$29="No",AND($E$29="Sí",$F$29&gt;=2)),0,$C$29),0)+IF(AND($L$29&gt;0,MOD(L$41-1-$I$36,$H$36)=0),$L$29*$H$36+IF(OR($D$29="No"),0,$C$29),0)+IF(AND($M$29&gt;0,MOD(L$41-1-$I$37,$H$37)=0),$M$29*$H$37+IF(OR($D$29="No"),0,$C$29),0)+IF(AND($N$29&gt;0,MOD(L$41-1-$I$38,$H$38)=0),$N$29*$H$38+IF(OR($D$29="No"),0,$C$29),0))/$H$29)</f>
        <v>0.548943631687396</v>
      </c>
      <c r="M65" s="72" t="n">
        <f aca="false">IF($H$29=0,0,(IF(AND($K$29&gt;0,MOD(M$41-1-$I$35,$H$35)=0),$K$29*$H$35+IF(OR($D$29="No",AND($E$29="Sí",$F$29&gt;=2)),0,$C$29),0)+IF(AND($L$29&gt;0,MOD(M$41-1-$I$36,$H$36)=0),$L$29*$H$36+IF(OR($D$29="No"),0,$C$29),0)+IF(AND($M$29&gt;0,MOD(M$41-1-$I$37,$H$37)=0),$M$29*$H$37+IF(OR($D$29="No"),0,$C$29),0)+IF(AND($N$29&gt;0,MOD(M$41-1-$I$38,$H$38)=0),$N$29*$H$38+IF(OR($D$29="No"),0,$C$29),0))/$H$29)</f>
        <v>0.531679873614493</v>
      </c>
      <c r="N65" s="72" t="n">
        <f aca="false">IF($H$29=0,0,(IF(AND($K$29&gt;0,MOD(N$41-1-$I$35,$H$35)=0),$K$29*$H$35+IF(OR($D$29="No",AND($E$29="Sí",$F$29&gt;=2)),0,$C$29),0)+IF(AND($L$29&gt;0,MOD(N$41-1-$I$36,$H$36)=0),$L$29*$H$36+IF(OR($D$29="No"),0,$C$29),0)+IF(AND($M$29&gt;0,MOD(N$41-1-$I$37,$H$37)=0),$M$29*$H$37+IF(OR($D$29="No"),0,$C$29),0)+IF(AND($N$29&gt;0,MOD(N$41-1-$I$38,$H$38)=0),$N$29*$H$38+IF(OR($D$29="No"),0,$C$29),0))/$H$29)</f>
        <v>0.548943631687396</v>
      </c>
      <c r="O65" s="72" t="n">
        <f aca="false">IF($H$29=0,0,(IF(AND($K$29&gt;0,MOD(O$41-1-$I$35,$H$35)=0),$K$29*$H$35+IF(OR($D$29="No",AND($E$29="Sí",$F$29&gt;=2)),0,$C$29),0)+IF(AND($L$29&gt;0,MOD(O$41-1-$I$36,$H$36)=0),$L$29*$H$36+IF(OR($D$29="No"),0,$C$29),0)+IF(AND($M$29&gt;0,MOD(O$41-1-$I$37,$H$37)=0),$M$29*$H$37+IF(OR($D$29="No"),0,$C$29),0)+IF(AND($N$29&gt;0,MOD(O$41-1-$I$38,$H$38)=0),$N$29*$H$38+IF(OR($D$29="No"),0,$C$29),0))/$H$29)</f>
        <v>0.531679873614493</v>
      </c>
      <c r="P65" s="72" t="n">
        <f aca="false">IF($H$29=0,0,(IF(AND($K$29&gt;0,MOD(P$41-1-$I$35,$H$35)=0),$K$29*$H$35+IF(OR($D$29="No",AND($E$29="Sí",$F$29&gt;=2)),0,$C$29),0)+IF(AND($L$29&gt;0,MOD(P$41-1-$I$36,$H$36)=0),$L$29*$H$36+IF(OR($D$29="No"),0,$C$29),0)+IF(AND($M$29&gt;0,MOD(P$41-1-$I$37,$H$37)=0),$M$29*$H$37+IF(OR($D$29="No"),0,$C$29),0)+IF(AND($N$29&gt;0,MOD(P$41-1-$I$38,$H$38)=0),$N$29*$H$38+IF(OR($D$29="No"),0,$C$29),0))/$H$29)</f>
        <v>0.548943631687396</v>
      </c>
      <c r="Q65" s="72" t="n">
        <f aca="false">IF($H$29=0,0,(IF(AND($K$29&gt;0,MOD(Q$41-1-$I$35,$H$35)=0),$K$29*$H$35+IF(OR($D$29="No",AND($E$29="Sí",$F$29&gt;=2)),0,$C$29),0)+IF(AND($L$29&gt;0,MOD(Q$41-1-$I$36,$H$36)=0),$L$29*$H$36+IF(OR($D$29="No"),0,$C$29),0)+IF(AND($M$29&gt;0,MOD(Q$41-1-$I$37,$H$37)=0),$M$29*$H$37+IF(OR($D$29="No"),0,$C$29),0)+IF(AND($N$29&gt;0,MOD(Q$41-1-$I$38,$H$38)=0),$N$29*$H$38+IF(OR($D$29="No"),0,$C$29),0))/$H$29)</f>
        <v>0.531679873614493</v>
      </c>
      <c r="R65" s="72" t="n">
        <f aca="false">IF($H$29=0,0,(IF(AND($K$29&gt;0,MOD(R$41-1-$I$35,$H$35)=0),$K$29*$H$35+IF(OR($D$29="No",AND($E$29="Sí",$F$29&gt;=2)),0,$C$29),0)+IF(AND($L$29&gt;0,MOD(R$41-1-$I$36,$H$36)=0),$L$29*$H$36+IF(OR($D$29="No"),0,$C$29),0)+IF(AND($M$29&gt;0,MOD(R$41-1-$I$37,$H$37)=0),$M$29*$H$37+IF(OR($D$29="No"),0,$C$29),0)+IF(AND($N$29&gt;0,MOD(R$41-1-$I$38,$H$38)=0),$N$29*$H$38+IF(OR($D$29="No"),0,$C$29),0))/$H$29)</f>
        <v>0.548943631687396</v>
      </c>
      <c r="S65" s="72" t="n">
        <f aca="false">IF($H$29=0,0,(IF(AND($K$29&gt;0,MOD(S$41-1-$I$35,$H$35)=0),$K$29*$H$35+IF(OR($D$29="No",AND($E$29="Sí",$F$29&gt;=2)),0,$C$29),0)+IF(AND($L$29&gt;0,MOD(S$41-1-$I$36,$H$36)=0),$L$29*$H$36+IF(OR($D$29="No"),0,$C$29),0)+IF(AND($M$29&gt;0,MOD(S$41-1-$I$37,$H$37)=0),$M$29*$H$37+IF(OR($D$29="No"),0,$C$29),0)+IF(AND($N$29&gt;0,MOD(S$41-1-$I$38,$H$38)=0),$N$29*$H$38+IF(OR($D$29="No"),0,$C$29),0))/$H$29)</f>
        <v>0.531679873614493</v>
      </c>
      <c r="T65" s="72" t="n">
        <f aca="false">IF($H$29=0,0,(IF(AND($K$29&gt;0,MOD(T$41-1-$I$35,$H$35)=0),$K$29*$H$35+IF(OR($D$29="No",AND($E$29="Sí",$F$29&gt;=2)),0,$C$29),0)+IF(AND($L$29&gt;0,MOD(T$41-1-$I$36,$H$36)=0),$L$29*$H$36+IF(OR($D$29="No"),0,$C$29),0)+IF(AND($M$29&gt;0,MOD(T$41-1-$I$37,$H$37)=0),$M$29*$H$37+IF(OR($D$29="No"),0,$C$29),0)+IF(AND($N$29&gt;0,MOD(T$41-1-$I$38,$H$38)=0),$N$29*$H$38+IF(OR($D$29="No"),0,$C$29),0))/$H$29)</f>
        <v>0.548943631687396</v>
      </c>
      <c r="U65" s="72" t="n">
        <f aca="false">IF($H$29=0,0,(IF(AND($K$29&gt;0,MOD(U$41-1-$I$35,$H$35)=0),$K$29*$H$35+IF(OR($D$29="No",AND($E$29="Sí",$F$29&gt;=2)),0,$C$29),0)+IF(AND($L$29&gt;0,MOD(U$41-1-$I$36,$H$36)=0),$L$29*$H$36+IF(OR($D$29="No"),0,$C$29),0)+IF(AND($M$29&gt;0,MOD(U$41-1-$I$37,$H$37)=0),$M$29*$H$37+IF(OR($D$29="No"),0,$C$29),0)+IF(AND($N$29&gt;0,MOD(U$41-1-$I$38,$H$38)=0),$N$29*$H$38+IF(OR($D$29="No"),0,$C$29),0))/$H$29)</f>
        <v>0.531679873614493</v>
      </c>
      <c r="V65" s="72" t="n">
        <f aca="false">IF($H$29=0,0,(IF(AND($K$29&gt;0,MOD(V$41-1-$I$35,$H$35)=0),$K$29*$H$35+IF(OR($D$29="No",AND($E$29="Sí",$F$29&gt;=2)),0,$C$29),0)+IF(AND($L$29&gt;0,MOD(V$41-1-$I$36,$H$36)=0),$L$29*$H$36+IF(OR($D$29="No"),0,$C$29),0)+IF(AND($M$29&gt;0,MOD(V$41-1-$I$37,$H$37)=0),$M$29*$H$37+IF(OR($D$29="No"),0,$C$29),0)+IF(AND($N$29&gt;0,MOD(V$41-1-$I$38,$H$38)=0),$N$29*$H$38+IF(OR($D$29="No"),0,$C$29),0))/$H$29)</f>
        <v>0.548943631687396</v>
      </c>
    </row>
    <row r="66" customFormat="false" ht="15.75" hidden="false" customHeight="true" outlineLevel="0" collapsed="false">
      <c r="A66" s="25" t="s">
        <v>642</v>
      </c>
    </row>
    <row r="67" customFormat="false" ht="15.75" hidden="false" customHeight="true" outlineLevel="0" collapsed="false">
      <c r="A67" s="25" t="s">
        <v>643</v>
      </c>
    </row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L35:O35"/>
    <mergeCell ref="L36:O36"/>
    <mergeCell ref="L37:O37"/>
    <mergeCell ref="L38:O38"/>
  </mergeCells>
  <conditionalFormatting sqref="C43:V43">
    <cfRule type="colorScale" priority="2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3" operator="greaterThan" aboveAverage="0" equalAverage="0" bottom="0" percent="0" rank="0" text="" dxfId="1">
      <formula>1</formula>
    </cfRule>
  </conditionalFormatting>
  <conditionalFormatting sqref="C45:V45">
    <cfRule type="colorScale" priority="4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5" operator="greaterThan" aboveAverage="0" equalAverage="0" bottom="0" percent="0" rank="0" text="" dxfId="1">
      <formula>1</formula>
    </cfRule>
  </conditionalFormatting>
  <conditionalFormatting sqref="C47:V47">
    <cfRule type="colorScale" priority="6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7" operator="greaterThan" aboveAverage="0" equalAverage="0" bottom="0" percent="0" rank="0" text="" dxfId="1">
      <formula>1</formula>
    </cfRule>
  </conditionalFormatting>
  <conditionalFormatting sqref="C49:V49">
    <cfRule type="colorScale" priority="8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9" operator="greaterThan" aboveAverage="0" equalAverage="0" bottom="0" percent="0" rank="0" text="" dxfId="1">
      <formula>1</formula>
    </cfRule>
  </conditionalFormatting>
  <conditionalFormatting sqref="C51:V51">
    <cfRule type="colorScale" priority="10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11" operator="greaterThan" aboveAverage="0" equalAverage="0" bottom="0" percent="0" rank="0" text="" dxfId="1">
      <formula>1</formula>
    </cfRule>
  </conditionalFormatting>
  <conditionalFormatting sqref="C53:V53">
    <cfRule type="colorScale" priority="12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13" operator="greaterThan" aboveAverage="0" equalAverage="0" bottom="0" percent="0" rank="0" text="" dxfId="1">
      <formula>1</formula>
    </cfRule>
  </conditionalFormatting>
  <conditionalFormatting sqref="C55:V55">
    <cfRule type="colorScale" priority="14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15" operator="greaterThan" aboveAverage="0" equalAverage="0" bottom="0" percent="0" rank="0" text="" dxfId="1">
      <formula>1</formula>
    </cfRule>
  </conditionalFormatting>
  <conditionalFormatting sqref="C57:V57">
    <cfRule type="colorScale" priority="16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17" operator="greaterThan" aboveAverage="0" equalAverage="0" bottom="0" percent="0" rank="0" text="" dxfId="1">
      <formula>1</formula>
    </cfRule>
  </conditionalFormatting>
  <conditionalFormatting sqref="C59:V59">
    <cfRule type="colorScale" priority="18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19" operator="greaterThan" aboveAverage="0" equalAverage="0" bottom="0" percent="0" rank="0" text="" dxfId="1">
      <formula>1</formula>
    </cfRule>
  </conditionalFormatting>
  <conditionalFormatting sqref="C61:V61">
    <cfRule type="colorScale" priority="20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21" operator="greaterThan" aboveAverage="0" equalAverage="0" bottom="0" percent="0" rank="0" text="" dxfId="1">
      <formula>1</formula>
    </cfRule>
  </conditionalFormatting>
  <conditionalFormatting sqref="C63:V63">
    <cfRule type="colorScale" priority="22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23" operator="greaterThan" aboveAverage="0" equalAverage="0" bottom="0" percent="0" rank="0" text="" dxfId="1">
      <formula>1</formula>
    </cfRule>
  </conditionalFormatting>
  <conditionalFormatting sqref="C65:V65">
    <cfRule type="colorScale" priority="24">
      <colorScale>
        <cfvo type="formula" val="0"/>
        <cfvo type="formula" val="0.75"/>
        <cfvo type="formula" val="1"/>
        <color rgb="FFFFFFFF"/>
        <color rgb="FFFFE699"/>
        <color rgb="FFF4B183"/>
      </colorScale>
    </cfRule>
    <cfRule type="cellIs" priority="25" operator="greater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4" min="3" style="1" width="24"/>
    <col collapsed="false" customWidth="true" hidden="false" outlineLevel="0" max="5" min="5" style="1" width="26"/>
    <col collapsed="false" customWidth="true" hidden="false" outlineLevel="0" max="6" min="6" style="1" width="13"/>
    <col collapsed="false" customWidth="true" hidden="false" outlineLevel="0" max="7" min="7" style="1" width="26"/>
    <col collapsed="false" customWidth="true" hidden="false" outlineLevel="0" max="11" min="8" style="1" width="10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26" min="15" style="1" width="12"/>
  </cols>
  <sheetData>
    <row r="1" customFormat="false" ht="15" hidden="false" customHeight="true" outlineLevel="0" collapsed="false">
      <c r="A1" s="2" t="s">
        <v>644</v>
      </c>
    </row>
    <row r="2" customFormat="false" ht="15" hidden="false" customHeight="true" outlineLevel="0" collapsed="false">
      <c r="A2" s="3" t="s">
        <v>645</v>
      </c>
    </row>
    <row r="3" customFormat="false" ht="15" hidden="false" customHeight="true" outlineLevel="0" collapsed="false">
      <c r="A3" s="32" t="s">
        <v>646</v>
      </c>
    </row>
    <row r="4" customFormat="false" ht="15" hidden="false" customHeight="true" outlineLevel="0" collapsed="false">
      <c r="A4" s="4" t="s">
        <v>339</v>
      </c>
      <c r="B4" s="8" t="str">
        <f aca="false">Carga!B4</f>
        <v>Ene 2035</v>
      </c>
    </row>
    <row r="5" customFormat="false" ht="15" hidden="false" customHeight="true" outlineLevel="0" collapsed="false"/>
    <row r="6" customFormat="false" ht="15" hidden="false" customHeight="true" outlineLevel="0" collapsed="false">
      <c r="A6" s="9" t="s">
        <v>647</v>
      </c>
      <c r="B6" s="9"/>
      <c r="C6" s="9"/>
      <c r="D6" s="9"/>
      <c r="E6" s="9"/>
      <c r="F6" s="9"/>
    </row>
    <row r="7" customFormat="false" ht="34.5" hidden="false" customHeight="true" outlineLevel="0" collapsed="false">
      <c r="A7" s="10" t="s">
        <v>80</v>
      </c>
      <c r="B7" s="10" t="s">
        <v>81</v>
      </c>
      <c r="C7" s="10" t="s">
        <v>82</v>
      </c>
      <c r="D7" s="10" t="s">
        <v>83</v>
      </c>
      <c r="E7" s="10" t="s">
        <v>648</v>
      </c>
      <c r="F7" s="10"/>
    </row>
    <row r="8" customFormat="false" ht="23.25" hidden="false" customHeight="true" outlineLevel="0" collapsed="false">
      <c r="A8" s="11" t="s">
        <v>649</v>
      </c>
      <c r="B8" s="28" t="n">
        <f aca="false">M39</f>
        <v>44</v>
      </c>
      <c r="C8" s="28" t="n">
        <f aca="false">L39</f>
        <v>20801</v>
      </c>
      <c r="D8" s="29" t="n">
        <f aca="false">N39</f>
        <v>108.29</v>
      </c>
      <c r="E8" s="41" t="s">
        <v>650</v>
      </c>
      <c r="F8" s="5"/>
    </row>
    <row r="9" customFormat="false" ht="23.25" hidden="false" customHeight="true" outlineLevel="0" collapsed="false">
      <c r="A9" s="11" t="s">
        <v>651</v>
      </c>
      <c r="B9" s="28" t="s">
        <v>37</v>
      </c>
      <c r="C9" s="28" t="n">
        <f aca="false">L52</f>
        <v>178</v>
      </c>
      <c r="D9" s="29" t="n">
        <f aca="false">N52</f>
        <v>47.2502641719272</v>
      </c>
      <c r="E9" s="41" t="s">
        <v>652</v>
      </c>
      <c r="F9" s="5"/>
    </row>
    <row r="10" customFormat="false" ht="15" hidden="false" customHeight="true" outlineLevel="0" collapsed="false">
      <c r="A10" s="11" t="s">
        <v>653</v>
      </c>
      <c r="B10" s="28" t="n">
        <f aca="false">Carga!M130</f>
        <v>45</v>
      </c>
      <c r="C10" s="28" t="n">
        <f aca="false">Carga!L130</f>
        <v>778.622057161015</v>
      </c>
      <c r="D10" s="29" t="n">
        <f aca="false">Carga!N130</f>
        <v>108</v>
      </c>
      <c r="E10" s="41" t="s">
        <v>654</v>
      </c>
      <c r="F10" s="5"/>
    </row>
    <row r="11" customFormat="false" ht="15" hidden="false" customHeight="true" outlineLevel="0" collapsed="false">
      <c r="A11" s="11" t="s">
        <v>655</v>
      </c>
      <c r="B11" s="28" t="n">
        <f aca="false">B79</f>
        <v>85</v>
      </c>
      <c r="C11" s="28" t="s">
        <v>37</v>
      </c>
      <c r="D11" s="29" t="n">
        <f aca="false">D85</f>
        <v>272.552</v>
      </c>
      <c r="E11" s="41" t="s">
        <v>656</v>
      </c>
      <c r="F11" s="5"/>
    </row>
    <row r="12" customFormat="false" ht="15" hidden="false" customHeight="true" outlineLevel="0" collapsed="false">
      <c r="A12" s="11" t="s">
        <v>657</v>
      </c>
      <c r="B12" s="28" t="n">
        <f aca="false">B101</f>
        <v>119</v>
      </c>
      <c r="C12" s="28" t="s">
        <v>37</v>
      </c>
      <c r="D12" s="29" t="n">
        <f aca="false">D101</f>
        <v>221.76</v>
      </c>
      <c r="E12" s="41" t="s">
        <v>658</v>
      </c>
      <c r="F12" s="5"/>
    </row>
    <row r="13" customFormat="false" ht="15" hidden="false" customHeight="true" outlineLevel="0" collapsed="false">
      <c r="A13" s="11" t="s">
        <v>659</v>
      </c>
      <c r="B13" s="28" t="s">
        <v>37</v>
      </c>
      <c r="C13" s="28" t="s">
        <v>37</v>
      </c>
      <c r="D13" s="29" t="n">
        <f aca="false">D105</f>
        <v>35.45</v>
      </c>
      <c r="E13" s="41" t="s">
        <v>658</v>
      </c>
      <c r="F13" s="5"/>
    </row>
    <row r="14" customFormat="false" ht="15" hidden="false" customHeight="true" outlineLevel="0" collapsed="false">
      <c r="A14" s="4" t="s">
        <v>85</v>
      </c>
      <c r="D14" s="15" t="n">
        <f aca="false">SUM(D8:D13)</f>
        <v>793.302264171927</v>
      </c>
    </row>
    <row r="15" customFormat="false" ht="15" hidden="false" customHeight="true" outlineLevel="0" collapsed="false"/>
    <row r="16" customFormat="false" ht="15" hidden="false" customHeight="true" outlineLevel="0" collapsed="false">
      <c r="A16" s="9" t="s">
        <v>660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45" hidden="false" customHeight="true" outlineLevel="0" collapsed="false">
      <c r="A17" s="10" t="s">
        <v>661</v>
      </c>
      <c r="B17" s="10" t="s">
        <v>373</v>
      </c>
      <c r="C17" s="10" t="s">
        <v>662</v>
      </c>
      <c r="D17" s="10" t="s">
        <v>663</v>
      </c>
      <c r="E17" s="10" t="s">
        <v>664</v>
      </c>
      <c r="F17" s="10" t="s">
        <v>665</v>
      </c>
      <c r="G17" s="10" t="s">
        <v>666</v>
      </c>
      <c r="H17" s="10" t="s">
        <v>667</v>
      </c>
      <c r="I17" s="10" t="s">
        <v>668</v>
      </c>
      <c r="J17" s="10" t="s">
        <v>669</v>
      </c>
      <c r="K17" s="10" t="s">
        <v>670</v>
      </c>
      <c r="L17" s="10" t="s">
        <v>671</v>
      </c>
      <c r="M17" s="10" t="s">
        <v>672</v>
      </c>
      <c r="N17" s="10" t="s">
        <v>83</v>
      </c>
      <c r="O17" s="10" t="s">
        <v>673</v>
      </c>
      <c r="P17" s="10" t="s">
        <v>674</v>
      </c>
      <c r="Q17" s="10" t="s">
        <v>675</v>
      </c>
      <c r="R17" s="10" t="s">
        <v>676</v>
      </c>
      <c r="S17" s="10" t="s">
        <v>677</v>
      </c>
    </row>
    <row r="18" customFormat="false" ht="30" hidden="false" customHeight="true" outlineLevel="0" collapsed="false">
      <c r="A18" s="73" t="s">
        <v>678</v>
      </c>
      <c r="B18" s="41" t="s">
        <v>396</v>
      </c>
      <c r="C18" s="12" t="str">
        <f aca="false">Carga!B35</f>
        <v>Corte de chapa — 1.er corte en franjas (guillotina 1, manuales + carros)</v>
      </c>
      <c r="D18" s="12" t="str">
        <f aca="false">Carga!B36</f>
        <v>Corte de chapa — 2.º corte en piezas (guillotina 2, manuales + carros)</v>
      </c>
      <c r="E18" s="12" t="str">
        <f aca="false">Datos!K547</f>
        <v>La G2 corta la franja apenas la G1 la deja: en la mesa hay un solo formato a la vez (2 hojas). El máximo es el del 1 kg, no la suma de los cuatro.</v>
      </c>
      <c r="F18" s="16" t="s">
        <v>679</v>
      </c>
      <c r="G18" s="41" t="str">
        <f aca="false">Datos!J547</f>
        <v>Sobre la mesa elevadora 2 (fija), en la guillotina 2</v>
      </c>
      <c r="H18" s="14" t="n">
        <f aca="false">IF(Lotes!$E$8=0,0,Lotes!$D$8*N_HOJAS_FRANJA)</f>
        <v>90</v>
      </c>
      <c r="I18" s="14" t="n">
        <f aca="false">IF(Lotes!$E$9=0,0,Lotes!$D$9*N_HOJAS_FRANJA)</f>
        <v>54</v>
      </c>
      <c r="J18" s="14" t="n">
        <f aca="false">IF(Lotes!$E$10=0,0,Lotes!$D$10*N_HOJAS_FRANJA)</f>
        <v>24</v>
      </c>
      <c r="K18" s="14" t="n">
        <f aca="false">IF(Lotes!$E$11=0,0,Lotes!$D$11*N_HOJAS_FRANJA)</f>
        <v>30</v>
      </c>
      <c r="L18" s="43" t="n">
        <f aca="false">MAX(H18:K18)</f>
        <v>90</v>
      </c>
      <c r="M18" s="43" t="n">
        <v>0</v>
      </c>
      <c r="N18" s="22" t="n">
        <f aca="false">IF(M18&gt;0,M18*M2_MOD+M2_CARRO,P18*M2_CARRO)</f>
        <v>0</v>
      </c>
      <c r="O18" s="43" t="n">
        <v>0</v>
      </c>
      <c r="P18" s="43" t="n">
        <f aca="false">IF(O18=0,0,IF(M18&gt;0,IF(LEFT(S18,2)="No",CARROS_CRIT,CARROS_TRAMO),MAX(CARROS_TRAMO,ROUNDUP(O18/CARRO_BAND,0)+1)))</f>
        <v>0</v>
      </c>
      <c r="Q18" s="16" t="str">
        <f aca="false">Datos!C547</f>
        <v>No (tanda)</v>
      </c>
      <c r="R18" s="43" t="n">
        <f aca="false">Datos!I547</f>
        <v>90</v>
      </c>
      <c r="S18" s="16" t="s">
        <v>37</v>
      </c>
    </row>
    <row r="19" customFormat="false" ht="30" hidden="false" customHeight="true" outlineLevel="0" collapsed="false">
      <c r="A19" s="73" t="s">
        <v>680</v>
      </c>
      <c r="B19" s="41" t="s">
        <v>396</v>
      </c>
      <c r="C19" s="12" t="str">
        <f aca="false">Carga!B36</f>
        <v>Corte de chapa — 2.º corte en piezas (guillotina 2, manuales + carros)</v>
      </c>
      <c r="D19" s="12" t="str">
        <f aca="false">Carga!B39</f>
        <v>Marcado del cuerpo (manuales + carros)</v>
      </c>
      <c r="E19" s="12" t="str">
        <f aca="false">Datos!K548</f>
        <v>La G2 corta cada tanda en minutos y el marcado la usa durante días (2,5 kg cada 8 días, 10 kg cada 16). Como cada formato se corta un día distinto, nunca están todas las tandas llenas a la vez.</v>
      </c>
      <c r="F19" s="16" t="s">
        <v>679</v>
      </c>
      <c r="G19" s="41" t="str">
        <f aca="false">Datos!J548</f>
        <v>Estante: pilas por modelo sobre bandejas</v>
      </c>
      <c r="H19" s="14" t="n">
        <f aca="false">ROUNDUP(MAX(0,Datos!D548-0.000001),0)</f>
        <v>742</v>
      </c>
      <c r="I19" s="14" t="n">
        <f aca="false">ROUNDUP(MAX(0,Datos!E548-0.000001),0)</f>
        <v>445</v>
      </c>
      <c r="J19" s="14" t="n">
        <f aca="false">ROUNDUP(MAX(0,Datos!F548-0.000001),0)</f>
        <v>144</v>
      </c>
      <c r="K19" s="14" t="n">
        <f aca="false">ROUNDUP(MAX(0,Datos!G548-0.000001),0)</f>
        <v>174</v>
      </c>
      <c r="L19" s="43" t="n">
        <f aca="false">SUM(H19:K19)</f>
        <v>1505</v>
      </c>
      <c r="M19" s="43" t="n">
        <f aca="false">IF(LEFT(Q19,2)&lt;&gt;"Sí",0,ROUNDUP(IF(H19=0,0,ROUNDUP(H19/Parametros!$B$60,0)/Parametros!$B$61)+IF(I19=0,0,ROUNDUP(I19/Parametros!$C$60,0)/Parametros!$C$61)+IF(J19=0,0,ROUNDUP(J19/Parametros!$D$60,0)/Parametros!$D$61)+IF(K19=0,0,ROUNDUP(K19/Parametros!$E$60,0)/Parametros!$E$61),0))</f>
        <v>3</v>
      </c>
      <c r="N19" s="22" t="n">
        <f aca="false">IF(M19&gt;0,M19*M2_MOD+M2_CARRO,P19*M2_CARRO)</f>
        <v>5.32</v>
      </c>
      <c r="O19" s="43" t="n">
        <f aca="false">IF(H19=0,0,ROUNDUP(H19/Parametros!$B$60,0))+IF(I19=0,0,ROUNDUP(I19/Parametros!$C$60,0))+IF(J19=0,0,ROUNDUP(J19/Parametros!$D$60,0))+IF(K19=0,0,ROUNDUP(K19/Parametros!$E$60,0))</f>
        <v>15</v>
      </c>
      <c r="P19" s="43" t="n">
        <f aca="false">IF(O19=0,0,IF(M19&gt;0,IF(LEFT(S19,2)="No",CARROS_CRIT,CARROS_TRAMO),MAX(CARROS_TRAMO,ROUNDUP(O19/CARRO_BAND,0)+1)))</f>
        <v>1</v>
      </c>
      <c r="Q19" s="16" t="str">
        <f aca="false">Datos!C548</f>
        <v>Sí (tanda)</v>
      </c>
      <c r="R19" s="43" t="n">
        <f aca="false">Datos!I548</f>
        <v>1998.02743512742</v>
      </c>
      <c r="S19" s="16" t="s">
        <v>623</v>
      </c>
    </row>
    <row r="20" customFormat="false" ht="30" hidden="false" customHeight="true" outlineLevel="0" collapsed="false">
      <c r="A20" s="73" t="s">
        <v>681</v>
      </c>
      <c r="B20" s="41" t="s">
        <v>396</v>
      </c>
      <c r="C20" s="12" t="str">
        <f aca="false">Carga!B41</f>
        <v>Cilindrado</v>
      </c>
      <c r="D20" s="12" t="str">
        <f aca="false">Carga!B42</f>
        <v>Soldadura longitudinal — 2,5 a 10 kg</v>
      </c>
      <c r="E20" s="12" t="str">
        <f aca="false">Datos!K549</f>
        <v>La soldadura longitudinal (115 s) y la TIG (30 s) son más lentas que el cilindrado (20 s, al paso del marcado), que hace todo el día en el 1.er turno. Más 1 h de protección del cuello (solo 2,5 a 10 kg).</v>
      </c>
      <c r="F20" s="16" t="s">
        <v>682</v>
      </c>
      <c r="G20" s="41" t="str">
        <f aca="false">Datos!J549</f>
        <v>Estante: parados en bandejas, un modelo por bandeja</v>
      </c>
      <c r="H20" s="14" t="n">
        <f aca="false">ROUNDUP(MAX(0,Datos!D549-0.000001),0)</f>
        <v>323</v>
      </c>
      <c r="I20" s="14" t="n">
        <f aca="false">ROUNDUP(MAX(0,Datos!E549+Carga!$L$41*H_PROT*60/(Carga!$S$42*MIN_TURNO)-0.000001),0)</f>
        <v>5</v>
      </c>
      <c r="J20" s="14" t="n">
        <f aca="false">ROUNDUP(MAX(0,Datos!F549+Carga!$M$41*H_PROT*60/(Carga!$S$42*MIN_TURNO)-0.000001),0)</f>
        <v>259</v>
      </c>
      <c r="K20" s="14" t="n">
        <f aca="false">ROUNDUP(MAX(0,Datos!G549+Carga!$N$41*H_PROT*60/(Carga!$S$42*MIN_TURNO)-0.000001),0)</f>
        <v>20</v>
      </c>
      <c r="L20" s="43" t="n">
        <f aca="false">SUM(H20:K20)</f>
        <v>607</v>
      </c>
      <c r="M20" s="43" t="n">
        <f aca="false">IF(LEFT(Q20,2)&lt;&gt;"Sí",0,ROUNDUP(IF(H20=0,0,ROUNDUP(H20/Parametros!$B$62,0)/Parametros!$B$63)+IF(I20=0,0,ROUNDUP(I20/Parametros!$C$62,0)/Parametros!$C$63)+IF(J20=0,0,ROUNDUP(J20/Parametros!$D$62,0)/Parametros!$D$63)+IF(K20=0,0,ROUNDUP(K20/Parametros!$E$62,0)/Parametros!$E$63),0))</f>
        <v>7</v>
      </c>
      <c r="N20" s="22" t="n">
        <f aca="false">IF(M20&gt;0,M20*M2_MOD+M2_CARRO,P20*M2_CARRO)</f>
        <v>11.08</v>
      </c>
      <c r="O20" s="43" t="n">
        <f aca="false">IF(H20=0,0,ROUNDUP(H20/Parametros!$B$62,0))+IF(I20=0,0,ROUNDUP(I20/Parametros!$C$62,0))+IF(J20=0,0,ROUNDUP(J20/Parametros!$D$62,0))+IF(K20=0,0,ROUNDUP(K20/Parametros!$E$62,0))</f>
        <v>20</v>
      </c>
      <c r="P20" s="43" t="n">
        <f aca="false">IF(O20=0,0,IF(M20&gt;0,IF(LEFT(S20,2)="No",CARROS_CRIT,CARROS_TRAMO),MAX(CARROS_TRAMO,ROUNDUP(O20/CARRO_BAND,0)+1)))</f>
        <v>1</v>
      </c>
      <c r="Q20" s="16" t="str">
        <f aca="false">Datos!C549</f>
        <v>Sí</v>
      </c>
      <c r="R20" s="43" t="n">
        <f aca="false">Datos!I549</f>
        <v>1170.71830847388</v>
      </c>
      <c r="S20" s="16" t="s">
        <v>623</v>
      </c>
    </row>
    <row r="21" customFormat="false" ht="30" hidden="false" customHeight="true" outlineLevel="0" collapsed="false">
      <c r="A21" s="73" t="s">
        <v>683</v>
      </c>
      <c r="B21" s="41" t="s">
        <v>396</v>
      </c>
      <c r="C21" s="12" t="str">
        <f aca="false">Carga!B42</f>
        <v>Soldadura longitudinal — 2,5 a 10 kg</v>
      </c>
      <c r="D21" s="12" t="str">
        <f aca="false">Carga!B44</f>
        <v>Encastre de fondo</v>
      </c>
      <c r="E21" s="12" t="str">
        <f aca="false">Datos!K550</f>
        <v>Al encastre (30 s, unos 120 por hora) le entregan a la vez la TIG con el 1 kg y la longitudinal con el resto: juntas mandan más por hora de lo que el encastre hace.</v>
      </c>
      <c r="F21" s="16" t="s">
        <v>684</v>
      </c>
      <c r="G21" s="41" t="str">
        <f aca="false">Datos!J550</f>
        <v>Estante: parados en bandejas, un modelo por bandeja</v>
      </c>
      <c r="H21" s="14" t="n">
        <f aca="false">ROUNDUP(MAX(0,Datos!D550-0.000001),0)</f>
        <v>258</v>
      </c>
      <c r="I21" s="14" t="n">
        <f aca="false">ROUNDUP(MAX(0,Datos!E550-0.000001),0)</f>
        <v>0</v>
      </c>
      <c r="J21" s="14" t="n">
        <f aca="false">ROUNDUP(MAX(0,Datos!F550-0.000001),0)</f>
        <v>147</v>
      </c>
      <c r="K21" s="14" t="n">
        <f aca="false">ROUNDUP(MAX(0,Datos!G550-0.000001),0)</f>
        <v>0</v>
      </c>
      <c r="L21" s="43" t="n">
        <f aca="false">SUM(H21:K21)</f>
        <v>405</v>
      </c>
      <c r="M21" s="43" t="n">
        <f aca="false">IF(LEFT(Q21,2)&lt;&gt;"Sí",0,ROUNDUP(IF(H21=0,0,ROUNDUP(H21/Parametros!$B$62,0)/Parametros!$B$63)+IF(I21=0,0,ROUNDUP(I21/Parametros!$C$62,0)/Parametros!$C$63)+IF(J21=0,0,ROUNDUP(J21/Parametros!$D$62,0)/Parametros!$D$63)+IF(K21=0,0,ROUNDUP(K21/Parametros!$E$62,0)/Parametros!$E$63),0))</f>
        <v>4</v>
      </c>
      <c r="N21" s="22" t="n">
        <f aca="false">IF(M21&gt;0,M21*M2_MOD+M2_CARRO,P21*M2_CARRO)</f>
        <v>6.76</v>
      </c>
      <c r="O21" s="43" t="n">
        <f aca="false">IF(H21=0,0,ROUNDUP(H21/Parametros!$B$62,0))+IF(I21=0,0,ROUNDUP(I21/Parametros!$C$62,0))+IF(J21=0,0,ROUNDUP(J21/Parametros!$D$62,0))+IF(K21=0,0,ROUNDUP(K21/Parametros!$E$62,0))</f>
        <v>10</v>
      </c>
      <c r="P21" s="43" t="n">
        <f aca="false">IF(O21=0,0,IF(M21&gt;0,IF(LEFT(S21,2)="No",CARROS_CRIT,CARROS_TRAMO),MAX(CARROS_TRAMO,ROUNDUP(O21/CARRO_BAND,0)+1)))</f>
        <v>2</v>
      </c>
      <c r="Q21" s="16" t="str">
        <f aca="false">Datos!C550</f>
        <v>Sí (le entregan dos)</v>
      </c>
      <c r="R21" s="43" t="n">
        <f aca="false">Datos!I550</f>
        <v>760.33876931304</v>
      </c>
      <c r="S21" s="16" t="s">
        <v>685</v>
      </c>
    </row>
    <row r="22" customFormat="false" ht="30" hidden="false" customHeight="true" outlineLevel="0" collapsed="false">
      <c r="A22" s="73" t="s">
        <v>686</v>
      </c>
      <c r="B22" s="41" t="s">
        <v>266</v>
      </c>
      <c r="C22" s="12" t="str">
        <f aca="false">Carga!B37</f>
        <v>Corte de disco y embutido (cúpula y fondo)</v>
      </c>
      <c r="D22" s="12" t="str">
        <f aca="false">Carga!B44</f>
        <v>Encastre de fondo</v>
      </c>
      <c r="E22" s="12" t="str">
        <f aca="false">Datos!K551</f>
        <v>La prensa hace una matriz por día (cada 4 a 16 días cada una). Incluye 1 día de seguridad por modelo. Como cada fondo se prensa un día distinto, nunca están todas las tandas llenas a la vez.</v>
      </c>
      <c r="F22" s="16" t="s">
        <v>687</v>
      </c>
      <c r="G22" s="41" t="str">
        <f aca="false">Datos!J551</f>
        <v>Rack de pallets al lado de la prensa (la tanda) + estante en el puesto con la ola de mañana</v>
      </c>
      <c r="H22" s="14" t="n">
        <f aca="false">ROUNDUP(MAX(0,Datos!D551-0.000001),0)</f>
        <v>3929</v>
      </c>
      <c r="I22" s="14" t="n">
        <f aca="false">ROUNDUP(MAX(0,Datos!E551-0.000001),0)</f>
        <v>660</v>
      </c>
      <c r="J22" s="14" t="n">
        <f aca="false">ROUNDUP(MAX(0,Datos!F551-0.000001),0)</f>
        <v>1967</v>
      </c>
      <c r="K22" s="14" t="n">
        <f aca="false">ROUNDUP(MAX(0,Datos!G551-0.000001),0)</f>
        <v>53</v>
      </c>
      <c r="L22" s="43" t="n">
        <f aca="false">SUM(H22:K22)</f>
        <v>6609</v>
      </c>
      <c r="M22" s="43" t="n">
        <f aca="false">IF(LEFT(Q22,2)&lt;&gt;"Sí",0,ROUNDUP((IF(Carga!$F$14=0,0,ROUNDUP(Carga!$F$14*Rueda!$H$35/Parametros!$B$66,0))+IF(Carga!$F$15=0,0,ROUNDUP(Carga!$F$15*Rueda!$H$36/Parametros!$C$66,0))+IF(Carga!$F$16=0,0,ROUNDUP(Carga!$F$16*Rueda!$H$37/Parametros!$D$66,0))+IF(Carga!$F$17=0,0,ROUNDUP(Carga!$F$17*Rueda!$H$38/Parametros!$E$66,0)))/CAJ_MOD,0))</f>
        <v>2</v>
      </c>
      <c r="N22" s="22" t="n">
        <f aca="false">IF(M22&gt;0,M22*M2_MOD+M2_CARRO,P22*M2_CARRO)+IF($L$40=0,0,$N$40*(Lotes!$Q$31+Lotes!$Q$33+Lotes!$Q$35+Lotes!$Q$37)/$L$40)</f>
        <v>11.3764705882353</v>
      </c>
      <c r="O22" s="43" t="n">
        <f aca="false">IF(H22=0,0,ROUNDUP(H22/Parametros!$B$66,0))+IF(I22=0,0,ROUNDUP(I22/Parametros!$C$66,0))+IF(J22=0,0,ROUNDUP(J22/Parametros!$D$66,0))+IF(K22=0,0,ROUNDUP(K22/Parametros!$E$66,0))</f>
        <v>65</v>
      </c>
      <c r="P22" s="43" t="n">
        <f aca="false">IF(O22=0,0,IF(M22&gt;0,IF(LEFT(S22,2)="No",CARROS_CRIT,CARROS_TRAMO),MAX(CARROS_TRAMO,ROUNDUP(O22/CARRO_BAND,0)+1)))</f>
        <v>1</v>
      </c>
      <c r="Q22" s="16" t="str">
        <f aca="false">Datos!C551</f>
        <v>Sí (tanda)</v>
      </c>
      <c r="R22" s="43" t="n">
        <f aca="false">Datos!I551</f>
        <v>7920.36774698088</v>
      </c>
      <c r="S22" s="16" t="s">
        <v>623</v>
      </c>
    </row>
    <row r="23" customFormat="false" ht="30" hidden="false" customHeight="true" outlineLevel="0" collapsed="false">
      <c r="A23" s="73" t="s">
        <v>688</v>
      </c>
      <c r="B23" s="41" t="s">
        <v>264</v>
      </c>
      <c r="C23" s="12" t="str">
        <f aca="false">Carga!B37</f>
        <v>Corte de disco y embutido (cúpula y fondo)</v>
      </c>
      <c r="D23" s="12" t="str">
        <f aca="false">Carga!B40</f>
        <v>Soldadura del cuello a la cúpula</v>
      </c>
      <c r="E23" s="12" t="str">
        <f aca="false">Datos!K552</f>
        <v>Igual que los fondos, con las cúpulas.</v>
      </c>
      <c r="F23" s="16" t="s">
        <v>687</v>
      </c>
      <c r="G23" s="41" t="str">
        <f aca="false">Datos!J552</f>
        <v>Rack de pallets al lado de la prensa (la tanda) + estante en el puesto con la ola de mañana</v>
      </c>
      <c r="H23" s="14" t="n">
        <f aca="false">ROUNDUP(MAX(0,Datos!D552-0.000001),0)</f>
        <v>4129</v>
      </c>
      <c r="I23" s="14" t="n">
        <f aca="false">ROUNDUP(MAX(0,Datos!E552-0.000001),0)</f>
        <v>636</v>
      </c>
      <c r="J23" s="14" t="n">
        <f aca="false">ROUNDUP(MAX(0,Datos!F552-0.000001),0)</f>
        <v>1977</v>
      </c>
      <c r="K23" s="14" t="n">
        <f aca="false">ROUNDUP(MAX(0,Datos!G552-0.000001),0)</f>
        <v>23</v>
      </c>
      <c r="L23" s="43" t="n">
        <f aca="false">SUM(H23:K23)</f>
        <v>6765</v>
      </c>
      <c r="M23" s="43" t="n">
        <f aca="false">IF(LEFT(Q23,2)&lt;&gt;"Sí",0,ROUNDUP((IF(Carga!$F$14=0,0,ROUNDUP(Carga!$F$14*Rueda!$H$35/Parametros!$B$67,0))+IF(Carga!$F$15=0,0,ROUNDUP(Carga!$F$15*Rueda!$H$36/Parametros!$C$67,0))+IF(Carga!$F$16=0,0,ROUNDUP(Carga!$F$16*Rueda!$H$37/Parametros!$D$67,0))+IF(Carga!$F$17=0,0,ROUNDUP(Carga!$F$17*Rueda!$H$38/Parametros!$E$67,0)))/CAJ_MOD,0))</f>
        <v>2</v>
      </c>
      <c r="N23" s="22" t="n">
        <f aca="false">IF(M23&gt;0,M23*M2_MOD+M2_CARRO,P23*M2_CARRO)+IF($L$40=0,0,$N$40*(Lotes!$Q$30+Lotes!$Q$32+Lotes!$Q$34+Lotes!$Q$36)/$L$40)</f>
        <v>12.3135294117647</v>
      </c>
      <c r="O23" s="43" t="n">
        <f aca="false">IF(H23=0,0,ROUNDUP(H23/Parametros!$B$67,0))+IF(I23=0,0,ROUNDUP(I23/Parametros!$C$67,0))+IF(J23=0,0,ROUNDUP(J23/Parametros!$D$67,0))+IF(K23=0,0,ROUNDUP(K23/Parametros!$E$67,0))</f>
        <v>80</v>
      </c>
      <c r="P23" s="43" t="n">
        <f aca="false">IF(O23=0,0,IF(M23&gt;0,IF(LEFT(S23,2)="No",CARROS_CRIT,CARROS_TRAMO),MAX(CARROS_TRAMO,ROUNDUP(O23/CARRO_BAND,0)+1)))</f>
        <v>1</v>
      </c>
      <c r="Q23" s="16" t="str">
        <f aca="false">Datos!C552</f>
        <v>Sí (tanda)</v>
      </c>
      <c r="R23" s="43" t="n">
        <f aca="false">Datos!I552</f>
        <v>7920.36774698088</v>
      </c>
      <c r="S23" s="16" t="s">
        <v>623</v>
      </c>
    </row>
    <row r="24" customFormat="false" ht="30" hidden="false" customHeight="true" outlineLevel="0" collapsed="false">
      <c r="A24" s="73" t="s">
        <v>689</v>
      </c>
      <c r="B24" s="41" t="s">
        <v>396</v>
      </c>
      <c r="C24" s="12" t="str">
        <f aca="false">Carga!B39</f>
        <v>Marcado del cuerpo (manuales + carros)</v>
      </c>
      <c r="D24" s="12" t="str">
        <f aca="false">Carga!B41</f>
        <v>Cilindrado</v>
      </c>
      <c r="E24" s="12" t="str">
        <f aca="false">Datos!K553</f>
        <v>Marcado y cilindradora están pegados y tienen un puesto fijo para el 1 kg y otro para el resto: hay como mucho 2 pilas a la vez (1 kg y otro formato).</v>
      </c>
      <c r="F24" s="16" t="s">
        <v>690</v>
      </c>
      <c r="G24" s="41" t="str">
        <f aca="false">Datos!J553</f>
        <v>Pila al alcance entre el marcado y la cilindradora (pegados)</v>
      </c>
      <c r="H24" s="14" t="n">
        <f aca="false">ROUNDUP(MAX(0,Datos!D553-0.000001),0)</f>
        <v>127</v>
      </c>
      <c r="I24" s="14" t="n">
        <f aca="false">ROUNDUP(MAX(0,Datos!E553-0.000001),0)</f>
        <v>74</v>
      </c>
      <c r="J24" s="14" t="n">
        <f aca="false">ROUNDUP(MAX(0,Datos!F553-0.000001),0)</f>
        <v>0</v>
      </c>
      <c r="K24" s="14" t="n">
        <f aca="false">ROUNDUP(MAX(0,Datos!G553-0.000001),0)</f>
        <v>0</v>
      </c>
      <c r="L24" s="43" t="n">
        <f aca="false">SUM(H24:K24)</f>
        <v>201</v>
      </c>
      <c r="M24" s="43" t="n">
        <v>0</v>
      </c>
      <c r="N24" s="22" t="n">
        <f aca="false">IF(M24&gt;0,M24*M2_MOD+M2_CARRO,P24*M2_CARRO)</f>
        <v>0</v>
      </c>
      <c r="O24" s="43" t="n">
        <v>0</v>
      </c>
      <c r="P24" s="43" t="n">
        <f aca="false">IF(O24=0,0,IF(M24&gt;0,IF(LEFT(S24,2)="No",CARROS_CRIT,CARROS_TRAMO),MAX(CARROS_TRAMO,ROUNDUP(O24/CARRO_BAND,0)+1)))</f>
        <v>0</v>
      </c>
      <c r="Q24" s="16" t="str">
        <f aca="false">Datos!C553</f>
        <v>Pegados</v>
      </c>
      <c r="R24" s="43" t="n">
        <f aca="false">Datos!I553</f>
        <v>256</v>
      </c>
      <c r="S24" s="16" t="s">
        <v>37</v>
      </c>
    </row>
    <row r="25" customFormat="false" ht="30" hidden="false" customHeight="true" outlineLevel="0" collapsed="false">
      <c r="A25" s="73" t="s">
        <v>691</v>
      </c>
      <c r="B25" s="41" t="s">
        <v>264</v>
      </c>
      <c r="C25" s="12" t="str">
        <f aca="false">Carga!B40</f>
        <v>Soldadura del cuello a la cúpula</v>
      </c>
      <c r="D25" s="12" t="str">
        <f aca="false">Carga!B46</f>
        <v>Soldadura circunferencial de cúpula y fondo</v>
      </c>
      <c r="E25" s="12" t="str">
        <f aca="false">Datos!K554</f>
        <v>La circunferencial (2 soldadoras, 30 s por pieza) es más lenta que la soldadura del cuello (25 s). Se guarda la protección del marcapasos (3,75 h) más el carro que llega cada hora.</v>
      </c>
      <c r="F25" s="16" t="s">
        <v>692</v>
      </c>
      <c r="G25" s="41" t="str">
        <f aca="false">Datos!J554</f>
        <v>Estante de cajones al pie de la soldadura circunferencial</v>
      </c>
      <c r="H25" s="14" t="n">
        <f aca="false">ROUNDUP(MAX(0,Datos!D554+Carga!$K$40*(H_PROT_MARC+H_VIAJE_CUP)*60/(Carga!$S$46*MIN_TURNO)-0.000001),0)</f>
        <v>289</v>
      </c>
      <c r="I25" s="14" t="n">
        <f aca="false">ROUNDUP(MAX(0,Datos!E554+Carga!$L$40*(H_PROT_MARC+H_VIAJE_CUP)*60/(Carga!$S$46*MIN_TURNO)-0.000001),0)</f>
        <v>21</v>
      </c>
      <c r="J25" s="14" t="n">
        <f aca="false">ROUNDUP(MAX(0,Datos!F554+Carga!$M$40*(H_PROT_MARC+H_VIAJE_CUP)*60/(Carga!$S$46*MIN_TURNO)-0.000001),0)</f>
        <v>91</v>
      </c>
      <c r="K25" s="14" t="n">
        <f aca="false">ROUNDUP(MAX(0,Datos!G554+Carga!$N$40*(H_PROT_MARC+H_VIAJE_CUP)*60/(Carga!$S$46*MIN_TURNO)-0.000001),0)</f>
        <v>6</v>
      </c>
      <c r="L25" s="43" t="n">
        <f aca="false">SUM(H25:K25)</f>
        <v>407</v>
      </c>
      <c r="M25" s="43" t="n">
        <f aca="false">IF(LEFT(Q25,2)&lt;&gt;"Sí",0,ROUNDUP(O25/CAJ_MOD,0))</f>
        <v>1</v>
      </c>
      <c r="N25" s="22" t="n">
        <f aca="false">IF(M25&gt;0,M25*M2_MOD+M2_CARRO,P25*M2_CARRO)</f>
        <v>2.44</v>
      </c>
      <c r="O25" s="43" t="n">
        <f aca="false">IF(H25=0,0,ROUNDUP(H25/Parametros!$B$68,0))+IF(I25=0,0,ROUNDUP(I25/Parametros!$C$68,0))+IF(J25=0,0,ROUNDUP(J25/Parametros!$D$68,0))+IF(K25=0,0,ROUNDUP(K25/Parametros!$E$68,0))</f>
        <v>9</v>
      </c>
      <c r="P25" s="43" t="n">
        <f aca="false">IF(O25=0,0,IF(M25&gt;0,IF(LEFT(S25,2)="No",CARROS_CRIT,CARROS_TRAMO),MAX(CARROS_TRAMO,ROUNDUP(O25/CARRO_BAND,0)+1)))</f>
        <v>1</v>
      </c>
      <c r="Q25" s="16" t="str">
        <f aca="false">Datos!C554</f>
        <v>Sí</v>
      </c>
      <c r="R25" s="43" t="n">
        <f aca="false">Datos!I554</f>
        <v>2600.0203849239</v>
      </c>
      <c r="S25" s="16" t="s">
        <v>623</v>
      </c>
    </row>
    <row r="26" customFormat="false" ht="30" hidden="false" customHeight="true" outlineLevel="0" collapsed="false">
      <c r="A26" s="73" t="s">
        <v>693</v>
      </c>
      <c r="B26" s="41" t="s">
        <v>694</v>
      </c>
      <c r="C26" s="12" t="str">
        <f aca="false">Carga!B44</f>
        <v>Encastre de fondo</v>
      </c>
      <c r="D26" s="12" t="str">
        <f aca="false">Carga!B45</f>
        <v>Bordoneado</v>
      </c>
      <c r="E26" s="12" t="str">
        <f aca="false">Datos!K555</f>
        <v>El bordoneado (20 s) es más rápido que el encastre (30 s): no se junta. Lo que llega espera en el carro hasta que el bordoneado lo toma.</v>
      </c>
      <c r="F26" s="16" t="s">
        <v>695</v>
      </c>
      <c r="G26" s="41" t="str">
        <f aca="false">Datos!J555</f>
        <v>Sin estante: el que consume no es más lento; lo que llega espera en los carros del tramo</v>
      </c>
      <c r="H26" s="14" t="n">
        <f aca="false">ROUNDUP(MAX(0,Datos!D555-0.000001),0)</f>
        <v>315</v>
      </c>
      <c r="I26" s="14" t="n">
        <f aca="false">ROUNDUP(MAX(0,Datos!E555-0.000001),0)</f>
        <v>0</v>
      </c>
      <c r="J26" s="14" t="n">
        <f aca="false">ROUNDUP(MAX(0,Datos!F555-0.000001),0)</f>
        <v>0</v>
      </c>
      <c r="K26" s="14" t="n">
        <f aca="false">ROUNDUP(MAX(0,Datos!G555-0.000001),0)</f>
        <v>0</v>
      </c>
      <c r="L26" s="43" t="n">
        <f aca="false">SUM(H26:K26)</f>
        <v>315</v>
      </c>
      <c r="M26" s="43" t="n">
        <f aca="false">IF(LEFT(Q26,2)&lt;&gt;"Sí",0,ROUNDUP(IF(H26=0,0,ROUNDUP(H26/Parametros!$B$62,0)/Parametros!$B$63)+IF(I26=0,0,ROUNDUP(I26/Parametros!$C$62,0)/Parametros!$C$63)+IF(J26=0,0,ROUNDUP(J26/Parametros!$D$62,0)/Parametros!$D$63)+IF(K26=0,0,ROUNDUP(K26/Parametros!$E$62,0)/Parametros!$E$63),0))</f>
        <v>0</v>
      </c>
      <c r="N26" s="22" t="n">
        <f aca="false">IF(M26&gt;0,M26*M2_MOD+M2_CARRO,P26*M2_CARRO)</f>
        <v>2</v>
      </c>
      <c r="O26" s="43" t="n">
        <f aca="false">IF(H26=0,0,ROUNDUP(H26/Parametros!$B$62,0))+IF(I26=0,0,ROUNDUP(I26/Parametros!$C$62,0))+IF(J26=0,0,ROUNDUP(J26/Parametros!$D$62,0))+IF(K26=0,0,ROUNDUP(K26/Parametros!$E$62,0))</f>
        <v>3</v>
      </c>
      <c r="P26" s="43" t="n">
        <f aca="false">IF(O26=0,0,IF(M26&gt;0,IF(LEFT(S26,2)="No",CARROS_CRIT,CARROS_TRAMO),MAX(CARROS_TRAMO,ROUNDUP(O26/CARRO_BAND,0)+1)))</f>
        <v>2</v>
      </c>
      <c r="Q26" s="16" t="str">
        <f aca="false">Datos!C555</f>
        <v>No</v>
      </c>
      <c r="R26" s="43" t="n">
        <f aca="false">Datos!I555</f>
        <v>509.33876931304</v>
      </c>
      <c r="S26" s="16" t="s">
        <v>623</v>
      </c>
    </row>
    <row r="27" customFormat="false" ht="30" hidden="false" customHeight="true" outlineLevel="0" collapsed="false">
      <c r="A27" s="73" t="s">
        <v>696</v>
      </c>
      <c r="B27" s="41" t="s">
        <v>694</v>
      </c>
      <c r="C27" s="12" t="str">
        <f aca="false">Carga!B45</f>
        <v>Bordoneado</v>
      </c>
      <c r="D27" s="12" t="str">
        <f aca="false">Carga!B46</f>
        <v>Soldadura circunferencial de cúpula y fondo</v>
      </c>
      <c r="E27" s="12" t="str">
        <f aca="false">Datos!K556</f>
        <v>La circunferencial (30 s) es más lenta que el bordoneado (20 s). Más 3,75 h de protección del marcapasos.</v>
      </c>
      <c r="F27" s="16" t="s">
        <v>692</v>
      </c>
      <c r="G27" s="41" t="str">
        <f aca="false">Datos!J556</f>
        <v>Estante: parados en bandejas, un modelo por bandeja</v>
      </c>
      <c r="H27" s="14" t="n">
        <f aca="false">ROUNDUP(MAX(0,Datos!D556+Carga!$K$45*H_PROT_MARC*60/(Carga!$S$46*MIN_TURNO)-0.000001),0)</f>
        <v>367</v>
      </c>
      <c r="I27" s="14" t="n">
        <f aca="false">ROUNDUP(MAX(0,Datos!E556+Carga!$L$45*H_PROT_MARC*60/(Carga!$S$46*MIN_TURNO)-0.000001),0)</f>
        <v>16</v>
      </c>
      <c r="J27" s="14" t="n">
        <f aca="false">ROUNDUP(MAX(0,Datos!F556+Carga!$M$45*H_PROT_MARC*60/(Carga!$S$46*MIN_TURNO)-0.000001),0)</f>
        <v>303</v>
      </c>
      <c r="K27" s="14" t="n">
        <f aca="false">ROUNDUP(MAX(0,Datos!G556+Carga!$N$45*H_PROT_MARC*60/(Carga!$S$46*MIN_TURNO)-0.000001),0)</f>
        <v>5</v>
      </c>
      <c r="L27" s="43" t="n">
        <f aca="false">SUM(H27:K27)</f>
        <v>691</v>
      </c>
      <c r="M27" s="43" t="n">
        <f aca="false">IF(LEFT(Q27,2)&lt;&gt;"Sí",0,ROUNDUP(IF(H27=0,0,ROUNDUP(H27/Parametros!$B$62,0)/Parametros!$B$63)+IF(I27=0,0,ROUNDUP(I27/Parametros!$C$62,0)/Parametros!$C$63)+IF(J27=0,0,ROUNDUP(J27/Parametros!$D$62,0)/Parametros!$D$63)+IF(K27=0,0,ROUNDUP(K27/Parametros!$E$62,0)/Parametros!$E$63),0))</f>
        <v>7</v>
      </c>
      <c r="N27" s="22" t="n">
        <f aca="false">IF(M27&gt;0,M27*M2_MOD+M2_CARRO,P27*M2_CARRO)</f>
        <v>11.08</v>
      </c>
      <c r="O27" s="43" t="n">
        <f aca="false">IF(H27=0,0,ROUNDUP(H27/Parametros!$B$62,0))+IF(I27=0,0,ROUNDUP(I27/Parametros!$C$62,0))+IF(J27=0,0,ROUNDUP(J27/Parametros!$D$62,0))+IF(K27=0,0,ROUNDUP(K27/Parametros!$E$62,0))</f>
        <v>21</v>
      </c>
      <c r="P27" s="43" t="n">
        <f aca="false">IF(O27=0,0,IF(M27&gt;0,IF(LEFT(S27,2)="No",CARROS_CRIT,CARROS_TRAMO),MAX(CARROS_TRAMO,ROUNDUP(O27/CARRO_BAND,0)+1)))</f>
        <v>1</v>
      </c>
      <c r="Q27" s="16" t="str">
        <f aca="false">Datos!C556</f>
        <v>Sí</v>
      </c>
      <c r="R27" s="43" t="n">
        <f aca="false">Datos!I556</f>
        <v>744.0203849239</v>
      </c>
      <c r="S27" s="16" t="s">
        <v>623</v>
      </c>
    </row>
    <row r="28" customFormat="false" ht="30" hidden="false" customHeight="true" outlineLevel="0" collapsed="false">
      <c r="A28" s="73" t="s">
        <v>697</v>
      </c>
      <c r="B28" s="41" t="s">
        <v>421</v>
      </c>
      <c r="C28" s="12" t="str">
        <f aca="false">Carga!B46</f>
        <v>Soldadura circunferencial de cúpula y fondo</v>
      </c>
      <c r="D28" s="12" t="str">
        <f aca="false">Carga!B48</f>
        <v>Prueba hidráulica</v>
      </c>
      <c r="E28" s="12" t="str">
        <f aca="false">Datos!K557</f>
        <v>Circunferencial y prueba hidráulica van al mismo ritmo (2 máquinas de 60 s). El control de espesor es una muestra del 2 % que se mide al costado: no retiene el lote. Lo que queda al cerrar el turno espera en los carros.</v>
      </c>
      <c r="F28" s="16" t="s">
        <v>695</v>
      </c>
      <c r="G28" s="41" t="str">
        <f aca="false">Datos!J557</f>
        <v>Sin estante: el que consume no es más lento; lo que llega espera en los carros del tramo</v>
      </c>
      <c r="H28" s="14" t="n">
        <f aca="false">ROUNDUP(MAX(0,Datos!D557-0.000001),0)</f>
        <v>215</v>
      </c>
      <c r="I28" s="14" t="n">
        <f aca="false">ROUNDUP(MAX(0,Datos!E557-0.000001),0)</f>
        <v>28</v>
      </c>
      <c r="J28" s="14" t="n">
        <f aca="false">ROUNDUP(MAX(0,Datos!F557-0.000001),0)</f>
        <v>111</v>
      </c>
      <c r="K28" s="14" t="n">
        <f aca="false">ROUNDUP(MAX(0,Datos!G557-0.000001),0)</f>
        <v>17</v>
      </c>
      <c r="L28" s="43" t="n">
        <f aca="false">SUM(H28:K28)</f>
        <v>371</v>
      </c>
      <c r="M28" s="43" t="n">
        <f aca="false">IF(LEFT(Q28,2)&lt;&gt;"Sí",0,ROUNDUP(IF(H28=0,0,ROUNDUP(H28/Parametros!$B$62,0)/Parametros!$B$63)+IF(I28=0,0,ROUNDUP(I28/Parametros!$C$62,0)/Parametros!$C$63)+IF(J28=0,0,ROUNDUP(J28/Parametros!$D$62,0)/Parametros!$D$63)+IF(K28=0,0,ROUNDUP(K28/Parametros!$E$62,0)/Parametros!$E$63),0))</f>
        <v>0</v>
      </c>
      <c r="N28" s="22" t="n">
        <f aca="false">IF(M28&gt;0,M28*M2_MOD+M2_CARRO,P28*M2_CARRO)</f>
        <v>5</v>
      </c>
      <c r="O28" s="43" t="n">
        <f aca="false">IF(H28=0,0,ROUNDUP(H28/Parametros!$B$62,0))+IF(I28=0,0,ROUNDUP(I28/Parametros!$C$62,0))+IF(J28=0,0,ROUNDUP(J28/Parametros!$D$62,0))+IF(K28=0,0,ROUNDUP(K28/Parametros!$E$62,0))</f>
        <v>11</v>
      </c>
      <c r="P28" s="43" t="n">
        <f aca="false">IF(O28=0,0,IF(M28&gt;0,IF(LEFT(S28,2)="No",CARROS_CRIT,CARROS_TRAMO),MAX(CARROS_TRAMO,ROUNDUP(O28/CARRO_BAND,0)+1)))</f>
        <v>5</v>
      </c>
      <c r="Q28" s="16" t="str">
        <f aca="false">Datos!C557</f>
        <v>Igual</v>
      </c>
      <c r="R28" s="43" t="n">
        <f aca="false">Datos!I557</f>
        <v>1140.0407698478</v>
      </c>
      <c r="S28" s="16" t="s">
        <v>623</v>
      </c>
    </row>
    <row r="29" customFormat="false" ht="30" hidden="false" customHeight="true" outlineLevel="0" collapsed="false">
      <c r="A29" s="73" t="s">
        <v>698</v>
      </c>
      <c r="B29" s="41" t="s">
        <v>421</v>
      </c>
      <c r="C29" s="12" t="str">
        <f aca="false">Carga!B48</f>
        <v>Prueba hidráulica</v>
      </c>
      <c r="D29" s="12" t="str">
        <f aca="false">Carga!B49</f>
        <v>Secado</v>
      </c>
      <c r="E29" s="12" t="str">
        <f aca="false">Datos!K558</f>
        <v>Prueba hidráulica y secado van al mismo ritmo (2 por minuto): lo que queda al cerrar el turno espera en los carros.</v>
      </c>
      <c r="F29" s="16" t="s">
        <v>695</v>
      </c>
      <c r="G29" s="41" t="str">
        <f aca="false">Datos!J558</f>
        <v>Sin estante: el que consume no es más lento; lo que llega espera en los carros del tramo</v>
      </c>
      <c r="H29" s="14" t="n">
        <f aca="false">ROUNDUP(MAX(0,Datos!D558-0.000001),0)</f>
        <v>312</v>
      </c>
      <c r="I29" s="14" t="n">
        <f aca="false">ROUNDUP(MAX(0,Datos!E558-0.000001),0)</f>
        <v>28</v>
      </c>
      <c r="J29" s="14" t="n">
        <f aca="false">ROUNDUP(MAX(0,Datos!F558-0.000001),0)</f>
        <v>6</v>
      </c>
      <c r="K29" s="14" t="n">
        <f aca="false">ROUNDUP(MAX(0,Datos!G558-0.000001),0)</f>
        <v>0</v>
      </c>
      <c r="L29" s="43" t="n">
        <f aca="false">SUM(H29:K29)</f>
        <v>346</v>
      </c>
      <c r="M29" s="43" t="n">
        <f aca="false">IF(LEFT(Q29,2)&lt;&gt;"Sí",0,ROUNDUP(IF(H29=0,0,ROUNDUP(H29/Parametros!$B$62,0)/Parametros!$B$63)+IF(I29=0,0,ROUNDUP(I29/Parametros!$C$62,0)/Parametros!$C$63)+IF(J29=0,0,ROUNDUP(J29/Parametros!$D$62,0)/Parametros!$D$63)+IF(K29=0,0,ROUNDUP(K29/Parametros!$E$62,0)/Parametros!$E$63),0))</f>
        <v>0</v>
      </c>
      <c r="N29" s="22" t="n">
        <f aca="false">IF(M29&gt;0,M29*M2_MOD+M2_CARRO,P29*M2_CARRO)</f>
        <v>3</v>
      </c>
      <c r="O29" s="43" t="n">
        <f aca="false">IF(H29=0,0,ROUNDUP(H29/Parametros!$B$62,0))+IF(I29=0,0,ROUNDUP(I29/Parametros!$C$62,0))+IF(J29=0,0,ROUNDUP(J29/Parametros!$D$62,0))+IF(K29=0,0,ROUNDUP(K29/Parametros!$E$62,0))</f>
        <v>5</v>
      </c>
      <c r="P29" s="43" t="n">
        <f aca="false">IF(O29=0,0,IF(M29&gt;0,IF(LEFT(S29,2)="No",CARROS_CRIT,CARROS_TRAMO),MAX(CARROS_TRAMO,ROUNDUP(O29/CARRO_BAND,0)+1)))</f>
        <v>3</v>
      </c>
      <c r="Q29" s="16" t="str">
        <f aca="false">Datos!C558</f>
        <v>Igual</v>
      </c>
      <c r="R29" s="43" t="n">
        <f aca="false">Datos!I558</f>
        <v>585.33876931304</v>
      </c>
      <c r="S29" s="16" t="s">
        <v>623</v>
      </c>
    </row>
    <row r="30" customFormat="false" ht="30" hidden="false" customHeight="true" outlineLevel="0" collapsed="false">
      <c r="A30" s="73" t="s">
        <v>699</v>
      </c>
      <c r="B30" s="41" t="s">
        <v>421</v>
      </c>
      <c r="C30" s="12" t="str">
        <f aca="false">Carga!B49</f>
        <v>Secado</v>
      </c>
      <c r="D30" s="12" t="str">
        <f aca="false">Carga!B50</f>
        <v>Granallado</v>
      </c>
      <c r="E30" s="12" t="str">
        <f aca="false">Datos!K559</f>
        <v>Secado y granallado van al mismo ritmo (2 por minuto): lo que queda al cerrar el turno espera en los carros.</v>
      </c>
      <c r="F30" s="16" t="s">
        <v>695</v>
      </c>
      <c r="G30" s="41" t="str">
        <f aca="false">Datos!J559</f>
        <v>Sin estante: el que consume no es más lento; lo que llega espera en los carros del tramo</v>
      </c>
      <c r="H30" s="14" t="n">
        <f aca="false">ROUNDUP(MAX(0,Datos!D559-0.000001),0)</f>
        <v>288</v>
      </c>
      <c r="I30" s="14" t="n">
        <f aca="false">ROUNDUP(MAX(0,Datos!E559-0.000001),0)</f>
        <v>28</v>
      </c>
      <c r="J30" s="14" t="n">
        <f aca="false">ROUNDUP(MAX(0,Datos!F559-0.000001),0)</f>
        <v>3</v>
      </c>
      <c r="K30" s="14" t="n">
        <f aca="false">ROUNDUP(MAX(0,Datos!G559-0.000001),0)</f>
        <v>17</v>
      </c>
      <c r="L30" s="43" t="n">
        <f aca="false">SUM(H30:K30)</f>
        <v>336</v>
      </c>
      <c r="M30" s="43" t="n">
        <f aca="false">IF(LEFT(Q30,2)&lt;&gt;"Sí",0,ROUNDUP(IF(H30=0,0,ROUNDUP(H30/Parametros!$B$62,0)/Parametros!$B$63)+IF(I30=0,0,ROUNDUP(I30/Parametros!$C$62,0)/Parametros!$C$63)+IF(J30=0,0,ROUNDUP(J30/Parametros!$D$62,0)/Parametros!$D$63)+IF(K30=0,0,ROUNDUP(K30/Parametros!$E$62,0)/Parametros!$E$63),0))</f>
        <v>0</v>
      </c>
      <c r="N30" s="22" t="n">
        <f aca="false">IF(M30&gt;0,M30*M2_MOD+M2_CARRO,P30*M2_CARRO)</f>
        <v>3</v>
      </c>
      <c r="O30" s="43" t="n">
        <f aca="false">IF(H30=0,0,ROUNDUP(H30/Parametros!$B$62,0))+IF(I30=0,0,ROUNDUP(I30/Parametros!$C$62,0))+IF(J30=0,0,ROUNDUP(J30/Parametros!$D$62,0))+IF(K30=0,0,ROUNDUP(K30/Parametros!$E$62,0))</f>
        <v>6</v>
      </c>
      <c r="P30" s="43" t="n">
        <f aca="false">IF(O30=0,0,IF(M30&gt;0,IF(LEFT(S30,2)="No",CARROS_CRIT,CARROS_TRAMO),MAX(CARROS_TRAMO,ROUNDUP(O30/CARRO_BAND,0)+1)))</f>
        <v>3</v>
      </c>
      <c r="Q30" s="16" t="str">
        <f aca="false">Datos!C559</f>
        <v>Igual</v>
      </c>
      <c r="R30" s="43" t="n">
        <f aca="false">Datos!I559</f>
        <v>585.33876931304</v>
      </c>
      <c r="S30" s="16" t="s">
        <v>623</v>
      </c>
    </row>
    <row r="31" customFormat="false" ht="30" hidden="false" customHeight="true" outlineLevel="0" collapsed="false">
      <c r="A31" s="73" t="s">
        <v>700</v>
      </c>
      <c r="B31" s="41" t="s">
        <v>421</v>
      </c>
      <c r="C31" s="12" t="str">
        <f aca="false">Carga!B50</f>
        <v>Granallado</v>
      </c>
      <c r="D31" s="12" t="str">
        <f aca="false">Carga!B53</f>
        <v>Pintura en polvo + horno</v>
      </c>
      <c r="E31" s="12" t="str">
        <f aca="false">Datos!K560</f>
        <v>La pintura (25 s) cambia ganchos 30 min en cada formato: con los cambios hace 1,9 por minuto y el granallado entrega 2.</v>
      </c>
      <c r="F31" s="16" t="s">
        <v>684</v>
      </c>
      <c r="G31" s="41" t="str">
        <f aca="false">Datos!J560</f>
        <v>Estante: parados en bandejas, un modelo por bandeja</v>
      </c>
      <c r="H31" s="14" t="n">
        <f aca="false">ROUNDUP(MAX(0,Datos!D560-0.000001),0)</f>
        <v>446</v>
      </c>
      <c r="I31" s="14" t="n">
        <f aca="false">ROUNDUP(MAX(0,Datos!E560-0.000001),0)</f>
        <v>0</v>
      </c>
      <c r="J31" s="14" t="n">
        <f aca="false">ROUNDUP(MAX(0,Datos!F560-0.000001),0)</f>
        <v>42</v>
      </c>
      <c r="K31" s="14" t="n">
        <f aca="false">ROUNDUP(MAX(0,Datos!G560-0.000001),0)</f>
        <v>0</v>
      </c>
      <c r="L31" s="43" t="n">
        <f aca="false">SUM(H31:K31)</f>
        <v>488</v>
      </c>
      <c r="M31" s="43" t="n">
        <f aca="false">IF(LEFT(Q31,2)&lt;&gt;"Sí",0,ROUNDUP(IF(H31=0,0,ROUNDUP(H31/Parametros!$B$62,0)/Parametros!$B$63)+IF(I31=0,0,ROUNDUP(I31/Parametros!$C$62,0)/Parametros!$C$63)+IF(J31=0,0,ROUNDUP(J31/Parametros!$D$62,0)/Parametros!$D$63)+IF(K31=0,0,ROUNDUP(K31/Parametros!$E$62,0)/Parametros!$E$63),0))</f>
        <v>2</v>
      </c>
      <c r="N31" s="22" t="n">
        <f aca="false">IF(M31&gt;0,M31*M2_MOD+M2_CARRO,P31*M2_CARRO)</f>
        <v>3.88</v>
      </c>
      <c r="O31" s="43" t="n">
        <f aca="false">IF(H31=0,0,ROUNDUP(H31/Parametros!$B$62,0))+IF(I31=0,0,ROUNDUP(I31/Parametros!$C$62,0))+IF(J31=0,0,ROUNDUP(J31/Parametros!$D$62,0))+IF(K31=0,0,ROUNDUP(K31/Parametros!$E$62,0))</f>
        <v>7</v>
      </c>
      <c r="P31" s="43" t="n">
        <f aca="false">IF(O31=0,0,IF(M31&gt;0,IF(LEFT(S31,2)="No",CARROS_CRIT,CARROS_TRAMO),MAX(CARROS_TRAMO,ROUNDUP(O31/CARRO_BAND,0)+1)))</f>
        <v>1</v>
      </c>
      <c r="Q31" s="16" t="str">
        <f aca="false">Datos!C560</f>
        <v>Sí (cambios de ganchos)</v>
      </c>
      <c r="R31" s="43" t="n">
        <f aca="false">Datos!I560</f>
        <v>585.33876931304</v>
      </c>
      <c r="S31" s="16" t="s">
        <v>623</v>
      </c>
    </row>
    <row r="32" customFormat="false" ht="30" hidden="false" customHeight="true" outlineLevel="0" collapsed="false">
      <c r="A32" s="73" t="s">
        <v>701</v>
      </c>
      <c r="B32" s="41" t="s">
        <v>702</v>
      </c>
      <c r="C32" s="12" t="str">
        <f aca="false">Carga!B53</f>
        <v>Pintura en polvo + horno</v>
      </c>
      <c r="D32" s="12" t="str">
        <f aca="false">Carga!B59</f>
        <v>Embalaje y paletizado</v>
      </c>
      <c r="E32" s="12" t="str">
        <f aca="false">Datos!K561</f>
        <v>El embalaje del 1 kg tiene su propia máquina de 45 s y la pintura entrega el 1 kg a 25 s.</v>
      </c>
      <c r="F32" s="16" t="s">
        <v>684</v>
      </c>
      <c r="G32" s="41" t="str">
        <f aca="false">Datos!J561</f>
        <v>Estante: parados en bandejas, un modelo por bandeja</v>
      </c>
      <c r="H32" s="14" t="n">
        <f aca="false">ROUNDUP(MAX(0,Datos!D561-0.000001),0)</f>
        <v>421</v>
      </c>
      <c r="I32" s="14" t="n">
        <f aca="false">ROUNDUP(MAX(0,Datos!E561-0.000001),0)</f>
        <v>0</v>
      </c>
      <c r="J32" s="14" t="n">
        <f aca="false">ROUNDUP(MAX(0,Datos!F561-0.000001),0)</f>
        <v>0</v>
      </c>
      <c r="K32" s="14" t="n">
        <f aca="false">ROUNDUP(MAX(0,Datos!G561-0.000001),0)</f>
        <v>0</v>
      </c>
      <c r="L32" s="43" t="n">
        <f aca="false">SUM(H32:K32)</f>
        <v>421</v>
      </c>
      <c r="M32" s="43" t="n">
        <f aca="false">IF(LEFT(Q32,2)&lt;&gt;"Sí",0,ROUNDUP(IF(H32=0,0,ROUNDUP(H32/Parametros!$B$62,0)/Parametros!$B$63)+IF(I32=0,0,ROUNDUP(I32/Parametros!$C$62,0)/Parametros!$C$63)+IF(J32=0,0,ROUNDUP(J32/Parametros!$D$62,0)/Parametros!$D$63)+IF(K32=0,0,ROUNDUP(K32/Parametros!$E$62,0)/Parametros!$E$63),0))</f>
        <v>2</v>
      </c>
      <c r="N32" s="22" t="n">
        <f aca="false">IF(M32&gt;0,M32*M2_MOD+M2_CARRO,P32*M2_CARRO)</f>
        <v>3.88</v>
      </c>
      <c r="O32" s="43" t="n">
        <f aca="false">IF(H32=0,0,ROUNDUP(H32/Parametros!$B$62,0))+IF(I32=0,0,ROUNDUP(I32/Parametros!$C$62,0))+IF(J32=0,0,ROUNDUP(J32/Parametros!$D$62,0))+IF(K32=0,0,ROUNDUP(K32/Parametros!$E$62,0))</f>
        <v>5</v>
      </c>
      <c r="P32" s="43" t="n">
        <f aca="false">IF(O32=0,0,IF(M32&gt;0,IF(LEFT(S32,2)="No",CARROS_CRIT,CARROS_TRAMO),MAX(CARROS_TRAMO,ROUNDUP(O32/CARRO_BAND,0)+1)))</f>
        <v>2</v>
      </c>
      <c r="Q32" s="16" t="str">
        <f aca="false">Datos!C561</f>
        <v>Sí</v>
      </c>
      <c r="R32" s="43" t="n">
        <f aca="false">Datos!I561</f>
        <v>563.688068</v>
      </c>
      <c r="S32" s="16" t="s">
        <v>703</v>
      </c>
    </row>
    <row r="33" customFormat="false" ht="30" hidden="false" customHeight="true" outlineLevel="0" collapsed="false">
      <c r="A33" s="73" t="s">
        <v>704</v>
      </c>
      <c r="B33" s="41" t="s">
        <v>431</v>
      </c>
      <c r="C33" s="12" t="str">
        <f aca="false">Carga!B53</f>
        <v>Pintura en polvo + horno</v>
      </c>
      <c r="D33" s="12" t="str">
        <f aca="false">Carga!B54</f>
        <v>Carga de polvo</v>
      </c>
      <c r="E33" s="12" t="str">
        <f aca="false">Datos!K562</f>
        <v>La carga de polvo trabaja 1 turno y la pintura 2: lo que se pinta a la tarde espera a la mañana.</v>
      </c>
      <c r="F33" s="16" t="s">
        <v>684</v>
      </c>
      <c r="G33" s="41" t="str">
        <f aca="false">Datos!J562</f>
        <v>Estante: parados en bandejas, un modelo por bandeja</v>
      </c>
      <c r="H33" s="14" t="n">
        <f aca="false">ROUNDUP(MAX(0,Datos!D562-0.000001),0)</f>
        <v>144</v>
      </c>
      <c r="I33" s="14" t="n">
        <f aca="false">ROUNDUP(MAX(0,Datos!E562-0.000001),0)</f>
        <v>41</v>
      </c>
      <c r="J33" s="14" t="n">
        <f aca="false">ROUNDUP(MAX(0,Datos!F562-0.000001),0)</f>
        <v>145</v>
      </c>
      <c r="K33" s="14" t="n">
        <f aca="false">ROUNDUP(MAX(0,Datos!G562-0.000001),0)</f>
        <v>0</v>
      </c>
      <c r="L33" s="43" t="n">
        <f aca="false">SUM(H33:K33)</f>
        <v>330</v>
      </c>
      <c r="M33" s="43" t="n">
        <f aca="false">IF(LEFT(Q33,2)&lt;&gt;"Sí",0,ROUNDUP(IF(H33=0,0,ROUNDUP(H33/Parametros!$B$62,0)/Parametros!$B$63)+IF(I33=0,0,ROUNDUP(I33/Parametros!$C$62,0)/Parametros!$C$63)+IF(J33=0,0,ROUNDUP(J33/Parametros!$D$62,0)/Parametros!$D$63)+IF(K33=0,0,ROUNDUP(K33/Parametros!$E$62,0)/Parametros!$E$63),0))</f>
        <v>4</v>
      </c>
      <c r="N33" s="22" t="n">
        <f aca="false">IF(M33&gt;0,M33*M2_MOD+M2_CARRO,P33*M2_CARRO)</f>
        <v>6.76</v>
      </c>
      <c r="O33" s="43" t="n">
        <f aca="false">IF(H33=0,0,ROUNDUP(H33/Parametros!$B$62,0))+IF(I33=0,0,ROUNDUP(I33/Parametros!$C$62,0))+IF(J33=0,0,ROUNDUP(J33/Parametros!$D$62,0))+IF(K33=0,0,ROUNDUP(K33/Parametros!$E$62,0))</f>
        <v>11</v>
      </c>
      <c r="P33" s="43" t="n">
        <f aca="false">IF(O33=0,0,IF(M33&gt;0,IF(LEFT(S33,2)="No",CARROS_CRIT,CARROS_TRAMO),MAX(CARROS_TRAMO,ROUNDUP(O33/CARRO_BAND,0)+1)))</f>
        <v>2</v>
      </c>
      <c r="Q33" s="16" t="str">
        <f aca="false">Datos!C562</f>
        <v>Sí (turnos)</v>
      </c>
      <c r="R33" s="43" t="n">
        <f aca="false">Datos!I562</f>
        <v>684.03096116084</v>
      </c>
      <c r="S33" s="16" t="s">
        <v>703</v>
      </c>
    </row>
    <row r="34" customFormat="false" ht="30" hidden="false" customHeight="true" outlineLevel="0" collapsed="false">
      <c r="A34" s="73" t="s">
        <v>705</v>
      </c>
      <c r="B34" s="41" t="s">
        <v>431</v>
      </c>
      <c r="C34" s="12" t="str">
        <f aca="false">Carga!B54</f>
        <v>Carga de polvo</v>
      </c>
      <c r="D34" s="12" t="str">
        <f aca="false">Carga!B55</f>
        <v>Ensamblaje</v>
      </c>
      <c r="E34" s="12" t="str">
        <f aca="false">Datos!K563</f>
        <v>El ensamblaje (100 s) es más lento que la carga (45 s), que hace todo en el 1.er turno.</v>
      </c>
      <c r="F34" s="16" t="s">
        <v>684</v>
      </c>
      <c r="G34" s="41" t="str">
        <f aca="false">Datos!J563</f>
        <v>Estante: parados en bandejas, un modelo por bandeja</v>
      </c>
      <c r="H34" s="14" t="n">
        <f aca="false">ROUNDUP(MAX(0,Datos!D563-0.000001),0)</f>
        <v>23</v>
      </c>
      <c r="I34" s="14" t="n">
        <f aca="false">ROUNDUP(MAX(0,Datos!E563-0.000001),0)</f>
        <v>34</v>
      </c>
      <c r="J34" s="14" t="n">
        <f aca="false">ROUNDUP(MAX(0,Datos!F563-0.000001),0)</f>
        <v>126</v>
      </c>
      <c r="K34" s="14" t="n">
        <f aca="false">ROUNDUP(MAX(0,Datos!G563-0.000001),0)</f>
        <v>0</v>
      </c>
      <c r="L34" s="43" t="n">
        <f aca="false">SUM(H34:K34)</f>
        <v>183</v>
      </c>
      <c r="M34" s="43" t="n">
        <f aca="false">IF(LEFT(Q34,2)&lt;&gt;"Sí",0,ROUNDUP(IF(H34=0,0,ROUNDUP(H34/Parametros!$B$64,0)/Parametros!$B$65)+IF(I34=0,0,ROUNDUP(I34/Parametros!$C$64,0)/Parametros!$C$65)+IF(J34=0,0,ROUNDUP(J34/Parametros!$D$64,0)/Parametros!$D$65)+IF(K34=0,0,ROUNDUP(K34/Parametros!$E$64,0)/Parametros!$E$65),0))</f>
        <v>3</v>
      </c>
      <c r="N34" s="22" t="n">
        <f aca="false">IF(M34&gt;0,M34*M2_MOD+M2_CARRO,P34*M2_CARRO)</f>
        <v>5.32</v>
      </c>
      <c r="O34" s="43" t="n">
        <f aca="false">IF(H34=0,0,ROUNDUP(H34/Parametros!$B$64,0))+IF(I34=0,0,ROUNDUP(I34/Parametros!$C$64,0))+IF(J34=0,0,ROUNDUP(J34/Parametros!$D$64,0))+IF(K34=0,0,ROUNDUP(K34/Parametros!$E$64,0))</f>
        <v>9</v>
      </c>
      <c r="P34" s="43" t="n">
        <f aca="false">IF(O34=0,0,IF(M34&gt;0,IF(LEFT(S34,2)="No",CARROS_CRIT,CARROS_TRAMO),MAX(CARROS_TRAMO,ROUNDUP(O34/CARRO_BAND,0)+1)))</f>
        <v>1</v>
      </c>
      <c r="Q34" s="16" t="str">
        <f aca="false">Datos!C563</f>
        <v>Sí</v>
      </c>
      <c r="R34" s="43" t="n">
        <f aca="false">Datos!I563</f>
        <v>357.68166247388</v>
      </c>
      <c r="S34" s="16" t="s">
        <v>623</v>
      </c>
    </row>
    <row r="35" customFormat="false" ht="30" hidden="false" customHeight="true" outlineLevel="0" collapsed="false">
      <c r="A35" s="73" t="s">
        <v>706</v>
      </c>
      <c r="B35" s="41" t="s">
        <v>431</v>
      </c>
      <c r="C35" s="12" t="str">
        <f aca="false">Carga!B55</f>
        <v>Ensamblaje</v>
      </c>
      <c r="D35" s="12" t="str">
        <f aca="false">Carga!B56</f>
        <v>Presurización</v>
      </c>
      <c r="E35" s="12" t="str">
        <f aca="false">Datos!K564</f>
        <v>La presurización trabaja 1 turno y el ensamblaje 2: lo del 2.º turno espera a la mañana.</v>
      </c>
      <c r="F35" s="16" t="s">
        <v>684</v>
      </c>
      <c r="G35" s="41" t="str">
        <f aca="false">Datos!J564</f>
        <v>Estante: parados en bandejas, un modelo por bandeja</v>
      </c>
      <c r="H35" s="14" t="n">
        <f aca="false">ROUNDUP(MAX(0,Datos!D564-0.000001),0)</f>
        <v>72</v>
      </c>
      <c r="I35" s="14" t="n">
        <f aca="false">ROUNDUP(MAX(0,Datos!E564-0.000001),0)</f>
        <v>41</v>
      </c>
      <c r="J35" s="14" t="n">
        <f aca="false">ROUNDUP(MAX(0,Datos!F564-0.000001),0)</f>
        <v>55</v>
      </c>
      <c r="K35" s="14" t="n">
        <f aca="false">ROUNDUP(MAX(0,Datos!G564-0.000001),0)</f>
        <v>0</v>
      </c>
      <c r="L35" s="43" t="n">
        <f aca="false">SUM(H35:K35)</f>
        <v>168</v>
      </c>
      <c r="M35" s="43" t="n">
        <f aca="false">IF(LEFT(Q35,2)&lt;&gt;"Sí",0,ROUNDUP(IF(H35=0,0,ROUNDUP(H35/Parametros!$B$64,0)/Parametros!$B$65)+IF(I35=0,0,ROUNDUP(I35/Parametros!$C$64,0)/Parametros!$C$65)+IF(J35=0,0,ROUNDUP(J35/Parametros!$D$64,0)/Parametros!$D$65)+IF(K35=0,0,ROUNDUP(K35/Parametros!$E$64,0)/Parametros!$E$65),0))</f>
        <v>3</v>
      </c>
      <c r="N35" s="22" t="n">
        <f aca="false">IF(M35&gt;0,M35*M2_MOD+M2_CARRO,P35*M2_CARRO)</f>
        <v>5.32</v>
      </c>
      <c r="O35" s="43" t="n">
        <f aca="false">IF(H35=0,0,ROUNDUP(H35/Parametros!$B$64,0))+IF(I35=0,0,ROUNDUP(I35/Parametros!$C$64,0))+IF(J35=0,0,ROUNDUP(J35/Parametros!$D$64,0))+IF(K35=0,0,ROUNDUP(K35/Parametros!$E$64,0))</f>
        <v>7</v>
      </c>
      <c r="P35" s="43" t="n">
        <f aca="false">IF(O35=0,0,IF(M35&gt;0,IF(LEFT(S35,2)="No",CARROS_CRIT,CARROS_TRAMO),MAX(CARROS_TRAMO,ROUNDUP(O35/CARRO_BAND,0)+1)))</f>
        <v>1</v>
      </c>
      <c r="Q35" s="16" t="str">
        <f aca="false">Datos!C564</f>
        <v>Sí (turnos)</v>
      </c>
      <c r="R35" s="43" t="n">
        <f aca="false">Datos!I564</f>
        <v>336.03096116084</v>
      </c>
      <c r="S35" s="16" t="s">
        <v>623</v>
      </c>
    </row>
    <row r="36" customFormat="false" ht="30" hidden="false" customHeight="true" outlineLevel="0" collapsed="false">
      <c r="A36" s="73" t="s">
        <v>707</v>
      </c>
      <c r="B36" s="41" t="s">
        <v>431</v>
      </c>
      <c r="C36" s="12" t="str">
        <f aca="false">Carga!B56</f>
        <v>Presurización</v>
      </c>
      <c r="D36" s="12" t="str">
        <f aca="false">Carga!B57</f>
        <v>Control de calidad — Ensayo de pérdidas</v>
      </c>
      <c r="E36" s="12" t="str">
        <f aca="false">Datos!K565</f>
        <v>El ensayo (40 s) es más lento que la presurización (30 s).</v>
      </c>
      <c r="F36" s="16" t="s">
        <v>684</v>
      </c>
      <c r="G36" s="41" t="str">
        <f aca="false">Datos!J565</f>
        <v>Estante: parados en bandejas, un modelo por bandeja</v>
      </c>
      <c r="H36" s="14" t="n">
        <f aca="false">ROUNDUP(MAX(0,Datos!D565-0.000001),0)</f>
        <v>143</v>
      </c>
      <c r="I36" s="14" t="n">
        <f aca="false">ROUNDUP(MAX(0,Datos!E565-0.000001),0)</f>
        <v>0</v>
      </c>
      <c r="J36" s="14" t="n">
        <f aca="false">ROUNDUP(MAX(0,Datos!F565-0.000001),0)</f>
        <v>18</v>
      </c>
      <c r="K36" s="14" t="n">
        <f aca="false">ROUNDUP(MAX(0,Datos!G565-0.000001),0)</f>
        <v>0</v>
      </c>
      <c r="L36" s="43" t="n">
        <f aca="false">SUM(H36:K36)</f>
        <v>161</v>
      </c>
      <c r="M36" s="43" t="n">
        <f aca="false">IF(LEFT(Q36,2)&lt;&gt;"Sí",0,ROUNDUP(IF(H36=0,0,ROUNDUP(H36/Parametros!$B$64,0)/Parametros!$B$65)+IF(I36=0,0,ROUNDUP(I36/Parametros!$C$64,0)/Parametros!$C$65)+IF(J36=0,0,ROUNDUP(J36/Parametros!$D$64,0)/Parametros!$D$65)+IF(K36=0,0,ROUNDUP(K36/Parametros!$E$64,0)/Parametros!$E$65),0))</f>
        <v>1</v>
      </c>
      <c r="N36" s="22" t="n">
        <f aca="false">IF(M36&gt;0,M36*M2_MOD+M2_CARRO,P36*M2_CARRO)</f>
        <v>2.44</v>
      </c>
      <c r="O36" s="43" t="n">
        <f aca="false">IF(H36=0,0,ROUNDUP(H36/Parametros!$B$64,0))+IF(I36=0,0,ROUNDUP(I36/Parametros!$C$64,0))+IF(J36=0,0,ROUNDUP(J36/Parametros!$D$64,0))+IF(K36=0,0,ROUNDUP(K36/Parametros!$E$64,0))</f>
        <v>3</v>
      </c>
      <c r="P36" s="43" t="n">
        <f aca="false">IF(O36=0,0,IF(M36&gt;0,IF(LEFT(S36,2)="No",CARROS_CRIT,CARROS_TRAMO),MAX(CARROS_TRAMO,ROUNDUP(O36/CARRO_BAND,0)+1)))</f>
        <v>1</v>
      </c>
      <c r="Q36" s="16" t="str">
        <f aca="false">Datos!C565</f>
        <v>Sí</v>
      </c>
      <c r="R36" s="43" t="n">
        <f aca="false">Datos!I565</f>
        <v>195.30140262608</v>
      </c>
      <c r="S36" s="16" t="s">
        <v>623</v>
      </c>
    </row>
    <row r="37" customFormat="false" ht="30" hidden="false" customHeight="true" outlineLevel="0" collapsed="false">
      <c r="A37" s="73" t="s">
        <v>708</v>
      </c>
      <c r="B37" s="41" t="s">
        <v>431</v>
      </c>
      <c r="C37" s="12" t="str">
        <f aca="false">Carga!B57</f>
        <v>Control de calidad — Ensayo de pérdidas</v>
      </c>
      <c r="D37" s="12" t="str">
        <f aca="false">Carga!B58</f>
        <v>Etiquetado</v>
      </c>
      <c r="E37" s="12" t="str">
        <f aca="false">Datos!K566</f>
        <v>El etiquetado (60 s) es más lento que el ensayo (40 s), y los dos trabajan 1 turno.</v>
      </c>
      <c r="F37" s="16" t="s">
        <v>684</v>
      </c>
      <c r="G37" s="41" t="str">
        <f aca="false">Datos!J566</f>
        <v>Estante: parados en bandejas, un modelo por bandeja</v>
      </c>
      <c r="H37" s="14" t="n">
        <f aca="false">ROUNDUP(MAX(0,Datos!D566-0.000001),0)</f>
        <v>134</v>
      </c>
      <c r="I37" s="14" t="n">
        <f aca="false">ROUNDUP(MAX(0,Datos!E566-0.000001),0)</f>
        <v>34</v>
      </c>
      <c r="J37" s="14" t="n">
        <f aca="false">ROUNDUP(MAX(0,Datos!F566-0.000001),0)</f>
        <v>73</v>
      </c>
      <c r="K37" s="14" t="n">
        <f aca="false">ROUNDUP(MAX(0,Datos!G566-0.000001),0)</f>
        <v>0</v>
      </c>
      <c r="L37" s="43" t="n">
        <f aca="false">SUM(H37:K37)</f>
        <v>241</v>
      </c>
      <c r="M37" s="43" t="n">
        <f aca="false">IF(LEFT(Q37,2)&lt;&gt;"Sí",0,ROUNDUP(IF(H37=0,0,ROUNDUP(H37/Parametros!$B$64,0)/Parametros!$B$65)+IF(I37=0,0,ROUNDUP(I37/Parametros!$C$64,0)/Parametros!$C$65)+IF(J37=0,0,ROUNDUP(J37/Parametros!$D$64,0)/Parametros!$D$65)+IF(K37=0,0,ROUNDUP(K37/Parametros!$E$64,0)/Parametros!$E$65),0))</f>
        <v>3</v>
      </c>
      <c r="N37" s="22" t="n">
        <f aca="false">IF(M37&gt;0,M37*M2_MOD+M2_CARRO,P37*M2_CARRO)</f>
        <v>5.32</v>
      </c>
      <c r="O37" s="43" t="n">
        <f aca="false">IF(H37=0,0,ROUNDUP(H37/Parametros!$B$64,0))+IF(I37=0,0,ROUNDUP(I37/Parametros!$C$64,0))+IF(J37=0,0,ROUNDUP(J37/Parametros!$D$64,0))+IF(K37=0,0,ROUNDUP(K37/Parametros!$E$64,0))</f>
        <v>8</v>
      </c>
      <c r="P37" s="43" t="n">
        <f aca="false">IF(O37=0,0,IF(M37&gt;0,IF(LEFT(S37,2)="No",CARROS_CRIT,CARROS_TRAMO),MAX(CARROS_TRAMO,ROUNDUP(O37/CARRO_BAND,0)+1)))</f>
        <v>1</v>
      </c>
      <c r="Q37" s="16" t="str">
        <f aca="false">Datos!C566</f>
        <v>Sí</v>
      </c>
      <c r="R37" s="43" t="n">
        <f aca="false">Datos!I566</f>
        <v>195.30140262608</v>
      </c>
      <c r="S37" s="16" t="s">
        <v>623</v>
      </c>
    </row>
    <row r="38" customFormat="false" ht="30" hidden="false" customHeight="true" outlineLevel="0" collapsed="false">
      <c r="A38" s="73" t="s">
        <v>709</v>
      </c>
      <c r="B38" s="41" t="s">
        <v>431</v>
      </c>
      <c r="C38" s="12" t="str">
        <f aca="false">Carga!B58</f>
        <v>Etiquetado</v>
      </c>
      <c r="D38" s="12" t="str">
        <f aca="false">Carga!B59</f>
        <v>Embalaje y paletizado</v>
      </c>
      <c r="E38" s="12" t="str">
        <f aca="false">Datos!K567</f>
        <v>El embalaje (2 máquinas de 45 s) es más rápido que el etiquetado (60 s): no se junta; lo que llega espera en el carro.</v>
      </c>
      <c r="F38" s="16" t="s">
        <v>695</v>
      </c>
      <c r="G38" s="41" t="str">
        <f aca="false">Datos!J567</f>
        <v>Sin estante: el que consume no es más lento; lo que llega espera en los carros del tramo</v>
      </c>
      <c r="H38" s="14" t="n">
        <f aca="false">ROUNDUP(MAX(0,Datos!D567-0.000001),0)</f>
        <v>143</v>
      </c>
      <c r="I38" s="14" t="n">
        <f aca="false">ROUNDUP(MAX(0,Datos!E567-0.000001),0)</f>
        <v>0</v>
      </c>
      <c r="J38" s="14" t="n">
        <f aca="false">ROUNDUP(MAX(0,Datos!F567-0.000001),0)</f>
        <v>18</v>
      </c>
      <c r="K38" s="14" t="n">
        <f aca="false">ROUNDUP(MAX(0,Datos!G567-0.000001),0)</f>
        <v>0</v>
      </c>
      <c r="L38" s="43" t="n">
        <f aca="false">SUM(H38:K38)</f>
        <v>161</v>
      </c>
      <c r="M38" s="43" t="n">
        <f aca="false">IF(LEFT(Q38,2)&lt;&gt;"Sí",0,ROUNDUP(IF(H38=0,0,ROUNDUP(H38/Parametros!$B$64,0)/Parametros!$B$65)+IF(I38=0,0,ROUNDUP(I38/Parametros!$C$64,0)/Parametros!$C$65)+IF(J38=0,0,ROUNDUP(J38/Parametros!$D$64,0)/Parametros!$D$65)+IF(K38=0,0,ROUNDUP(K38/Parametros!$E$64,0)/Parametros!$E$65),0))</f>
        <v>0</v>
      </c>
      <c r="N38" s="22" t="n">
        <f aca="false">IF(M38&gt;0,M38*M2_MOD+M2_CARRO,P38*M2_CARRO)</f>
        <v>2</v>
      </c>
      <c r="O38" s="43" t="n">
        <f aca="false">IF(H38=0,0,ROUNDUP(H38/Parametros!$B$64,0))+IF(I38=0,0,ROUNDUP(I38/Parametros!$C$64,0))+IF(J38=0,0,ROUNDUP(J38/Parametros!$D$64,0))+IF(K38=0,0,ROUNDUP(K38/Parametros!$E$64,0))</f>
        <v>3</v>
      </c>
      <c r="P38" s="43" t="n">
        <f aca="false">IF(O38=0,0,IF(M38&gt;0,IF(LEFT(S38,2)="No",CARROS_CRIT,CARROS_TRAMO),MAX(CARROS_TRAMO,ROUNDUP(O38/CARRO_BAND,0)+1)))</f>
        <v>2</v>
      </c>
      <c r="Q38" s="16" t="str">
        <f aca="false">Datos!C567</f>
        <v>No</v>
      </c>
      <c r="R38" s="43" t="n">
        <f aca="false">Datos!I567</f>
        <v>357.68166247388</v>
      </c>
      <c r="S38" s="16" t="s">
        <v>623</v>
      </c>
    </row>
    <row r="39" customFormat="false" ht="15.75" hidden="false" customHeight="true" outlineLevel="0" collapsed="false">
      <c r="A39" s="4" t="s">
        <v>710</v>
      </c>
      <c r="L39" s="43" t="n">
        <f aca="false">SUM(L18:L38)</f>
        <v>20801</v>
      </c>
      <c r="M39" s="43" t="n">
        <f aca="false">SUM(M18:M38)</f>
        <v>44</v>
      </c>
      <c r="N39" s="45" t="n">
        <f aca="false">SUM(N18:N38)</f>
        <v>108.29</v>
      </c>
      <c r="O39" s="43" t="n">
        <f aca="false">SUM(O18:O38)</f>
        <v>298</v>
      </c>
      <c r="P39" s="43" t="n">
        <f aca="false">SUM(P18:P38)</f>
        <v>32</v>
      </c>
      <c r="R39" s="43" t="n">
        <f aca="false">SUM(R18:R38)</f>
        <v>29554.9727443455</v>
      </c>
    </row>
    <row r="40" customFormat="false" ht="15.75" hidden="false" customHeight="true" outlineLevel="0" collapsed="false">
      <c r="A40" s="25" t="s">
        <v>711</v>
      </c>
      <c r="L40" s="43" t="n">
        <f aca="false">Lotes!Q38</f>
        <v>17</v>
      </c>
      <c r="M40" s="43" t="n">
        <f aca="false">ROUNDUP(L40/(RACK_NIV*RACK_PPV),0)</f>
        <v>2</v>
      </c>
      <c r="N40" s="22" t="n">
        <f aca="false">M40*RACK_VANO*(RACK_FONDO+PASILLO_AE/2)</f>
        <v>15.93</v>
      </c>
    </row>
    <row r="41" customFormat="false" ht="15.75" hidden="false" customHeight="true" outlineLevel="0" collapsed="false">
      <c r="A41" s="9" t="s">
        <v>712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customFormat="false" ht="45" hidden="false" customHeight="true" outlineLevel="0" collapsed="false">
      <c r="A42" s="10" t="s">
        <v>661</v>
      </c>
      <c r="B42" s="10" t="s">
        <v>713</v>
      </c>
      <c r="C42" s="10" t="s">
        <v>662</v>
      </c>
      <c r="D42" s="10" t="s">
        <v>663</v>
      </c>
      <c r="E42" s="10" t="s">
        <v>714</v>
      </c>
      <c r="F42" s="10" t="s">
        <v>715</v>
      </c>
      <c r="G42" s="10" t="s">
        <v>666</v>
      </c>
      <c r="H42" s="10" t="s">
        <v>716</v>
      </c>
      <c r="I42" s="10" t="s">
        <v>717</v>
      </c>
      <c r="J42" s="10" t="s">
        <v>718</v>
      </c>
      <c r="K42" s="10" t="s">
        <v>719</v>
      </c>
      <c r="L42" s="10" t="s">
        <v>720</v>
      </c>
      <c r="M42" s="10" t="s">
        <v>721</v>
      </c>
      <c r="N42" s="10" t="s">
        <v>83</v>
      </c>
      <c r="O42" s="10"/>
    </row>
    <row r="43" customFormat="false" ht="15.75" hidden="false" customHeight="true" outlineLevel="0" collapsed="false">
      <c r="A43" s="73" t="s">
        <v>722</v>
      </c>
      <c r="B43" s="41" t="s">
        <v>396</v>
      </c>
      <c r="C43" s="41" t="s">
        <v>723</v>
      </c>
      <c r="D43" s="41" t="s">
        <v>724</v>
      </c>
      <c r="E43" s="12" t="str">
        <f aca="false">Datos!K571</f>
        <v>Cada hoja se corta un día distinto (25 kg el día 2, 50 kg el 3, 70 + 100 kg el 4): cuando se corta una, las otras ya se gastaron en parte.</v>
      </c>
      <c r="F43" s="22" t="s">
        <v>725</v>
      </c>
      <c r="G43" s="41" t="str">
        <f aca="false">Datos!J571</f>
        <v>Sobre la mesa móvil de la guillotina, apilados (tanda de corte)</v>
      </c>
      <c r="H43" s="14" t="n">
        <f aca="false">ROUNDUP(MAX(0,Datos!D571-0.000001),0)</f>
        <v>16</v>
      </c>
      <c r="I43" s="14" t="n">
        <f aca="false">ROUNDUP(MAX(0,Datos!E571-0.000001),0)</f>
        <v>31</v>
      </c>
      <c r="J43" s="14" t="n">
        <f aca="false">ROUNDUP(MAX(0,Datos!F571-0.000001),0)</f>
        <v>3</v>
      </c>
      <c r="K43" s="14" t="n">
        <f aca="false">ROUNDUP(MAX(0,Datos!G571-0.000001),0)</f>
        <v>2</v>
      </c>
      <c r="L43" s="43" t="n">
        <f aca="false">SUM(H43:K43)</f>
        <v>52</v>
      </c>
      <c r="M43" s="39" t="n">
        <v>0.12</v>
      </c>
      <c r="N43" s="22" t="n">
        <f aca="false">SUM(Lotes!$W$12:$W$14)*M43</f>
        <v>7.35579821865223</v>
      </c>
      <c r="O43" s="5"/>
    </row>
    <row r="44" customFormat="false" ht="15.75" hidden="false" customHeight="true" outlineLevel="0" collapsed="false">
      <c r="A44" s="73" t="s">
        <v>681</v>
      </c>
      <c r="B44" s="41" t="s">
        <v>396</v>
      </c>
      <c r="C44" s="41" t="s">
        <v>407</v>
      </c>
      <c r="D44" s="41" t="s">
        <v>726</v>
      </c>
      <c r="E44" s="12" t="str">
        <f aca="false">Datos!K572</f>
        <v>El punteo (3 a 12 min) es apenas más lento que el cilindrado (2,6 a 6 min).</v>
      </c>
      <c r="F44" s="74" t="s">
        <v>727</v>
      </c>
      <c r="G44" s="41" t="str">
        <f aca="false">Datos!J572</f>
        <v>Piso demarcado de 1,8 × 1,2 m al pie del punteo, paradas</v>
      </c>
      <c r="H44" s="14" t="n">
        <f aca="false">ROUNDUP(MAX(0,Datos!D572-0.000001),0)</f>
        <v>0</v>
      </c>
      <c r="I44" s="14" t="n">
        <f aca="false">ROUNDUP(MAX(0,Datos!E572-0.000001),0)</f>
        <v>2</v>
      </c>
      <c r="J44" s="14" t="n">
        <f aca="false">ROUNDUP(MAX(0,Datos!F572-0.000001),0)</f>
        <v>0</v>
      </c>
      <c r="K44" s="14" t="n">
        <f aca="false">ROUNDUP(MAX(0,Datos!G572-0.000001),0)</f>
        <v>0</v>
      </c>
      <c r="L44" s="43" t="n">
        <f aca="false">SUM(H44:K44)</f>
        <v>2</v>
      </c>
      <c r="M44" s="39" t="n">
        <f aca="false">IF(L44=0,0,N44/L44)</f>
        <v>0.24696</v>
      </c>
      <c r="N44" s="22" t="n">
        <f aca="false">SUMPRODUCT(H44:K44,(Parametros!$B$102:$E$102+100)^2/1000000)*F_CIRC</f>
        <v>0.49392</v>
      </c>
      <c r="O44" s="5"/>
    </row>
    <row r="45" customFormat="false" ht="15.75" hidden="false" customHeight="true" outlineLevel="0" collapsed="false">
      <c r="A45" s="73" t="s">
        <v>683</v>
      </c>
      <c r="B45" s="41" t="s">
        <v>396</v>
      </c>
      <c r="C45" s="41" t="s">
        <v>466</v>
      </c>
      <c r="D45" s="41" t="s">
        <v>728</v>
      </c>
      <c r="E45" s="12" t="str">
        <f aca="false">Datos!K573</f>
        <v>El armado (15 a 19 min por carro) es mucho más lento que la soldadura (3 a 5 min).</v>
      </c>
      <c r="F45" s="74" t="s">
        <v>727</v>
      </c>
      <c r="G45" s="41" t="str">
        <f aca="false">Datos!J573</f>
        <v>Piso demarcado al pie del armado (7), parados</v>
      </c>
      <c r="H45" s="14" t="n">
        <f aca="false">ROUNDUP(MAX(0,Datos!D573-0.000001),0)</f>
        <v>0</v>
      </c>
      <c r="I45" s="14" t="n">
        <f aca="false">ROUNDUP(MAX(0,Datos!E573-0.000001),0)</f>
        <v>7</v>
      </c>
      <c r="J45" s="14" t="n">
        <f aca="false">ROUNDUP(MAX(0,Datos!F573-0.000001),0)</f>
        <v>2</v>
      </c>
      <c r="K45" s="14" t="n">
        <f aca="false">ROUNDUP(MAX(0,Datos!G573-0.000001),0)</f>
        <v>2</v>
      </c>
      <c r="L45" s="43" t="n">
        <f aca="false">SUM(H45:K45)</f>
        <v>11</v>
      </c>
      <c r="M45" s="39" t="n">
        <f aca="false">IF(L45=0,0,N45/L45)</f>
        <v>0.279389090909091</v>
      </c>
      <c r="N45" s="22" t="n">
        <f aca="false">SUMPRODUCT(H45:K45,(Parametros!$B$102:$E$102+100)^2/1000000)*F_CIRC</f>
        <v>3.07328</v>
      </c>
      <c r="O45" s="5"/>
    </row>
    <row r="46" customFormat="false" ht="15.75" hidden="false" customHeight="true" outlineLevel="0" collapsed="false">
      <c r="A46" s="73" t="s">
        <v>729</v>
      </c>
      <c r="B46" s="41" t="s">
        <v>264</v>
      </c>
      <c r="C46" s="41" t="s">
        <v>730</v>
      </c>
      <c r="D46" s="41" t="s">
        <v>728</v>
      </c>
      <c r="E46" s="12" t="str">
        <f aca="false">Datos!K574</f>
        <v>La cupla (3 a 4 min) hace las cúpulas de todo el día en la primera hora; el armado tarda el turno entero.</v>
      </c>
      <c r="F46" s="74" t="s">
        <v>727</v>
      </c>
      <c r="G46" s="41" t="str">
        <f aca="false">Datos!J574</f>
        <v>En el carro canasto entre la soldadura de cupla y el armado</v>
      </c>
      <c r="H46" s="14" t="n">
        <f aca="false">ROUNDUP(MAX(0,Datos!D574-0.000001),0)</f>
        <v>1</v>
      </c>
      <c r="I46" s="14" t="n">
        <f aca="false">ROUNDUP(MAX(0,Datos!E574-0.000001),0)</f>
        <v>8</v>
      </c>
      <c r="J46" s="14" t="n">
        <f aca="false">ROUNDUP(MAX(0,Datos!F574-0.000001),0)</f>
        <v>2</v>
      </c>
      <c r="K46" s="14" t="n">
        <f aca="false">ROUNDUP(MAX(0,Datos!G574-0.000001),0)</f>
        <v>2</v>
      </c>
      <c r="L46" s="43" t="n">
        <f aca="false">SUM(H46:K46)</f>
        <v>13</v>
      </c>
      <c r="M46" s="39" t="n">
        <v>0.05</v>
      </c>
      <c r="N46" s="22" t="n">
        <f aca="false">Carga!$E$26*M46</f>
        <v>0.660305953275</v>
      </c>
      <c r="O46" s="5"/>
    </row>
    <row r="47" customFormat="false" ht="15.75" hidden="false" customHeight="true" outlineLevel="0" collapsed="false">
      <c r="A47" s="73" t="s">
        <v>731</v>
      </c>
      <c r="B47" s="41" t="s">
        <v>694</v>
      </c>
      <c r="C47" s="41" t="s">
        <v>728</v>
      </c>
      <c r="D47" s="41" t="s">
        <v>732</v>
      </c>
      <c r="E47" s="12" t="str">
        <f aca="false">Datos!K575</f>
        <v>Accesorios (16 a 18 min) va casi al ritmo del armado.</v>
      </c>
      <c r="F47" s="74" t="s">
        <v>727</v>
      </c>
      <c r="G47" s="41" t="str">
        <f aca="false">Datos!J575</f>
        <v>Piso demarcado al pie de accesorios (8), parados</v>
      </c>
      <c r="H47" s="14" t="n">
        <f aca="false">ROUNDUP(MAX(0,Datos!D575-0.000001),0)</f>
        <v>0</v>
      </c>
      <c r="I47" s="14" t="n">
        <f aca="false">ROUNDUP(MAX(0,Datos!E575-0.000001),0)</f>
        <v>1</v>
      </c>
      <c r="J47" s="14" t="n">
        <f aca="false">ROUNDUP(MAX(0,Datos!F575-0.000001),0)</f>
        <v>0</v>
      </c>
      <c r="K47" s="14" t="n">
        <f aca="false">ROUNDUP(MAX(0,Datos!G575-0.000001),0)</f>
        <v>0</v>
      </c>
      <c r="L47" s="43" t="n">
        <f aca="false">SUM(H47:K47)</f>
        <v>1</v>
      </c>
      <c r="M47" s="39" t="n">
        <f aca="false">IF(L47=0,0,N47/L47)</f>
        <v>0.24696</v>
      </c>
      <c r="N47" s="22" t="n">
        <f aca="false">SUMPRODUCT(H47:K47,(Parametros!$B$102:$E$102+100)^2/1000000)*F_CIRC</f>
        <v>0.24696</v>
      </c>
      <c r="O47" s="5"/>
    </row>
    <row r="48" customFormat="false" ht="15.75" hidden="false" customHeight="true" outlineLevel="0" collapsed="false">
      <c r="A48" s="73" t="s">
        <v>733</v>
      </c>
      <c r="B48" s="41" t="s">
        <v>421</v>
      </c>
      <c r="C48" s="41" t="s">
        <v>734</v>
      </c>
      <c r="D48" s="41" t="s">
        <v>735</v>
      </c>
      <c r="E48" s="12" t="str">
        <f aca="false">Datos!K576</f>
        <v>Esperan todos los modelos juntos hasta el envío (cada 2 días): acá la suma sí es el máximo.</v>
      </c>
      <c r="F48" s="74" t="n">
        <f aca="false">DIAS_ESPERA</f>
        <v>2</v>
      </c>
      <c r="G48" s="41" t="str">
        <f aca="false">Datos!J576</f>
        <v>Espera del pintor: piso demarcado junto al portón, parados con un taco atrás</v>
      </c>
      <c r="H48" s="14" t="n">
        <f aca="false">ROUNDUP(Carga!$E$22*$F48,0)</f>
        <v>7</v>
      </c>
      <c r="I48" s="14" t="n">
        <f aca="false">ROUNDUP(Carga!$E$23*$F48,0)</f>
        <v>15</v>
      </c>
      <c r="J48" s="14" t="n">
        <f aca="false">ROUNDUP(Carga!$E$24*$F48,0)</f>
        <v>4</v>
      </c>
      <c r="K48" s="14" t="n">
        <f aca="false">ROUNDUP(Carga!$E$25*$F48,0)</f>
        <v>3</v>
      </c>
      <c r="L48" s="43" t="n">
        <f aca="false">SUM(H48:K48)</f>
        <v>29</v>
      </c>
      <c r="M48" s="39" t="n">
        <f aca="false">IF(L48=0,0,N48/L48)</f>
        <v>0.610689655172414</v>
      </c>
      <c r="N48" s="22" t="n">
        <f aca="false">SUMPRODUCT(H48:K48,Parametros!$B$103:$E$103)*F_CIRC</f>
        <v>17.71</v>
      </c>
      <c r="O48" s="5"/>
    </row>
    <row r="49" customFormat="false" ht="15.75" hidden="false" customHeight="true" outlineLevel="0" collapsed="false">
      <c r="A49" s="73" t="s">
        <v>736</v>
      </c>
      <c r="B49" s="41" t="s">
        <v>421</v>
      </c>
      <c r="C49" s="41" t="s">
        <v>737</v>
      </c>
      <c r="D49" s="41" t="s">
        <v>738</v>
      </c>
      <c r="E49" s="12" t="str">
        <f aca="false">Datos!K577</f>
        <v>Están en el pintor, fuera de planta.</v>
      </c>
      <c r="F49" s="74" t="n">
        <f aca="false">DIAS_PINTOR</f>
        <v>3</v>
      </c>
      <c r="G49" s="41" t="str">
        <f aca="false">Datos!J577</f>
        <v>Fuera de planta (en el pintor)</v>
      </c>
      <c r="H49" s="14" t="n">
        <f aca="false">ROUNDUP(Carga!$E$22*$F49,0)</f>
        <v>10</v>
      </c>
      <c r="I49" s="14" t="n">
        <f aca="false">ROUNDUP(Carga!$E$23*$F49,0)</f>
        <v>22</v>
      </c>
      <c r="J49" s="14" t="n">
        <f aca="false">ROUNDUP(Carga!$E$24*$F49,0)</f>
        <v>5</v>
      </c>
      <c r="K49" s="14" t="n">
        <f aca="false">ROUNDUP(Carga!$E$25*$F49,0)</f>
        <v>4</v>
      </c>
      <c r="L49" s="43" t="n">
        <f aca="false">SUM(H49:K49)</f>
        <v>41</v>
      </c>
      <c r="M49" s="39" t="n">
        <v>0</v>
      </c>
      <c r="N49" s="22" t="n">
        <v>0</v>
      </c>
      <c r="O49" s="5"/>
    </row>
    <row r="50" customFormat="false" ht="15.75" hidden="false" customHeight="true" outlineLevel="0" collapsed="false">
      <c r="A50" s="73" t="s">
        <v>739</v>
      </c>
      <c r="B50" s="41" t="s">
        <v>421</v>
      </c>
      <c r="C50" s="41" t="s">
        <v>740</v>
      </c>
      <c r="D50" s="41" t="s">
        <v>741</v>
      </c>
      <c r="E50" s="12" t="str">
        <f aca="false">Datos!K578</f>
        <v>Vuelven todos juntos en la Master (los de un envío, 2 días) y la carga de polvo hace 14 por día: el máximo es el envío entero.</v>
      </c>
      <c r="F50" s="74" t="n">
        <f aca="false">DIAS_PINTADOS</f>
        <v>2</v>
      </c>
      <c r="G50" s="41" t="str">
        <f aca="false">Datos!J578</f>
        <v>Piso demarcado de pintados: sin ruedas, parados sobre un taco de madera</v>
      </c>
      <c r="H50" s="14" t="n">
        <f aca="false">ROUNDUP(Carga!$E$22*$F50,0)</f>
        <v>7</v>
      </c>
      <c r="I50" s="14" t="n">
        <f aca="false">ROUNDUP(Carga!$E$23*$F50,0)</f>
        <v>15</v>
      </c>
      <c r="J50" s="14" t="n">
        <f aca="false">ROUNDUP(Carga!$E$24*$F50,0)</f>
        <v>4</v>
      </c>
      <c r="K50" s="14" t="n">
        <f aca="false">ROUNDUP(Carga!$E$25*$F50,0)</f>
        <v>3</v>
      </c>
      <c r="L50" s="43" t="n">
        <f aca="false">SUM(H50:K50)</f>
        <v>29</v>
      </c>
      <c r="M50" s="39" t="n">
        <f aca="false">IF(L50=0,0,N50/L50)</f>
        <v>0.610689655172414</v>
      </c>
      <c r="N50" s="22" t="n">
        <f aca="false">SUMPRODUCT(H50:K50,Parametros!$B$103:$E$103)*F_CIRC</f>
        <v>17.71</v>
      </c>
      <c r="O50" s="5"/>
    </row>
    <row r="51" customFormat="false" ht="15.75" hidden="false" customHeight="true" outlineLevel="0" collapsed="false">
      <c r="A51" s="73" t="s">
        <v>742</v>
      </c>
      <c r="B51" s="41" t="s">
        <v>431</v>
      </c>
      <c r="C51" s="41" t="s">
        <v>743</v>
      </c>
      <c r="D51" s="41" t="s">
        <v>744</v>
      </c>
      <c r="E51" s="12" t="str">
        <f aca="false">Datos!K579</f>
        <v>El operario verifica en el manómetro que cada carro esté presurizado cuando lo carga en el camión para despacharlo: no se retienen 7 días.</v>
      </c>
      <c r="F51" s="74" t="n">
        <f aca="false">DIAS_RET</f>
        <v>0</v>
      </c>
      <c r="G51" s="41" t="str">
        <f aca="false">Datos!J579</f>
        <v>No esperan: pasan al almacén de producto terminado</v>
      </c>
      <c r="H51" s="14" t="n">
        <f aca="false">ROUNDUP(Carga!$C$22*$F51,0)</f>
        <v>0</v>
      </c>
      <c r="I51" s="14" t="n">
        <f aca="false">ROUNDUP(Carga!$C$23*$F51,0)</f>
        <v>0</v>
      </c>
      <c r="J51" s="14" t="n">
        <f aca="false">ROUNDUP(Carga!$C$24*$F51,0)</f>
        <v>0</v>
      </c>
      <c r="K51" s="14" t="n">
        <f aca="false">ROUNDUP(Carga!$C$25*$F51,0)</f>
        <v>0</v>
      </c>
      <c r="L51" s="43" t="n">
        <f aca="false">SUM(H51:K51)</f>
        <v>0</v>
      </c>
      <c r="M51" s="39" t="n">
        <f aca="false">IF(L51=0,0,N51/L51)</f>
        <v>0</v>
      </c>
      <c r="N51" s="22" t="n">
        <f aca="false">SUMPRODUCT(H51:K51,Parametros!$B$103:$E$103)*F_CIRC</f>
        <v>0</v>
      </c>
      <c r="O51" s="5"/>
    </row>
    <row r="52" customFormat="false" ht="15.75" hidden="false" customHeight="true" outlineLevel="0" collapsed="false">
      <c r="A52" s="4" t="s">
        <v>745</v>
      </c>
      <c r="L52" s="43" t="n">
        <f aca="false">SUM(L43:L51)</f>
        <v>178</v>
      </c>
      <c r="N52" s="45" t="n">
        <f aca="false">SUM(N43:N51)</f>
        <v>47.2502641719272</v>
      </c>
    </row>
    <row r="53" customFormat="false" ht="15.75" hidden="false" customHeight="true" outlineLevel="0" collapsed="false">
      <c r="A53" s="25" t="s">
        <v>746</v>
      </c>
    </row>
    <row r="54" customFormat="false" ht="15.75" hidden="false" customHeight="true" outlineLevel="0" collapsed="false">
      <c r="A54" s="9" t="s">
        <v>747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45" hidden="false" customHeight="true" outlineLevel="0" collapsed="false">
      <c r="A55" s="10" t="s">
        <v>273</v>
      </c>
      <c r="B55" s="10" t="s">
        <v>748</v>
      </c>
      <c r="C55" s="10" t="s">
        <v>357</v>
      </c>
      <c r="D55" s="10" t="s">
        <v>749</v>
      </c>
      <c r="E55" s="10" t="s">
        <v>750</v>
      </c>
      <c r="F55" s="10" t="s">
        <v>751</v>
      </c>
      <c r="G55" s="10" t="s">
        <v>752</v>
      </c>
      <c r="H55" s="10" t="s">
        <v>753</v>
      </c>
      <c r="I55" s="10" t="s">
        <v>754</v>
      </c>
      <c r="J55" s="10" t="s">
        <v>755</v>
      </c>
      <c r="K55" s="10" t="s">
        <v>756</v>
      </c>
      <c r="L55" s="10" t="s">
        <v>757</v>
      </c>
      <c r="M55" s="10"/>
      <c r="N55" s="10"/>
      <c r="O55" s="10" t="s">
        <v>758</v>
      </c>
      <c r="P55" s="10" t="s">
        <v>759</v>
      </c>
      <c r="Q55" s="10" t="s">
        <v>760</v>
      </c>
      <c r="R55" s="10" t="s">
        <v>761</v>
      </c>
      <c r="S55" s="10" t="s">
        <v>762</v>
      </c>
      <c r="T55" s="10" t="s">
        <v>763</v>
      </c>
      <c r="U55" s="10" t="s">
        <v>764</v>
      </c>
      <c r="V55" s="10" t="s">
        <v>765</v>
      </c>
      <c r="W55" s="10" t="s">
        <v>766</v>
      </c>
      <c r="X55" s="10" t="s">
        <v>767</v>
      </c>
      <c r="Y55" s="10" t="s">
        <v>768</v>
      </c>
      <c r="Z55" s="10" t="s">
        <v>769</v>
      </c>
    </row>
    <row r="56" customFormat="false" ht="15.75" hidden="false" customHeight="true" outlineLevel="0" collapsed="false">
      <c r="A56" s="4" t="s">
        <v>770</v>
      </c>
      <c r="B56" s="14" t="n">
        <f aca="false">SUMIFS(Datos!$Q$7:$Q$86,Datos!$A$7:$A$86,ANIO,Datos!$B$7:$B$86,$A56)</f>
        <v>32072.639133</v>
      </c>
      <c r="C56" s="14" t="n">
        <f aca="false">B56</f>
        <v>32072.639133</v>
      </c>
      <c r="D56" s="14" t="n">
        <f aca="false">MAX(0,-MIN(O56:Z56))</f>
        <v>962.179174445</v>
      </c>
      <c r="E56" s="43" t="n">
        <f aca="false">D56+MAX(O56:Z56)</f>
        <v>1924.358348475</v>
      </c>
      <c r="F56" s="16" t="str">
        <f aca="false">INDEX({"Ene","Feb","Mar","Abr","May","Jun","Jul","Ago","Sep","Oct","Nov","Dic"},1,MATCH(MAX(O56:Z56),O56:Z56,0))</f>
        <v>Nov</v>
      </c>
      <c r="G56" s="22" t="n">
        <f aca="false">B56/(12*DIAS)</f>
        <v>133.6359963875</v>
      </c>
      <c r="H56" s="14" t="n">
        <f aca="false">G56*SS_PT</f>
        <v>668.1799819375</v>
      </c>
      <c r="I56" s="14" t="n">
        <f aca="false">Parametros!B$81</f>
        <v>360</v>
      </c>
      <c r="J56" s="43" t="n">
        <f aca="false">E56+H56+I56</f>
        <v>2952.5383304125</v>
      </c>
      <c r="K56" s="14" t="n">
        <f aca="false">Parametros!B$81</f>
        <v>360</v>
      </c>
      <c r="L56" s="43" t="n">
        <f aca="false">ROUNDUP(J56/K56,0)</f>
        <v>9</v>
      </c>
      <c r="M56" s="5"/>
      <c r="N56" s="5"/>
      <c r="O56" s="75" t="n">
        <f aca="false">$C56*Datos!E$173-SUMIFS(Datos!E$7:E$86,Datos!$A$7:$A$86,ANIO,Datos!$B$7:$B$86,$A56)</f>
        <v>-962.17917403</v>
      </c>
      <c r="P56" s="75" t="n">
        <f aca="false">O56+$C56*Datos!F$173-SUMIFS(Datos!F$7:F$86,Datos!$A$7:$A$86,ANIO,Datos!$B$7:$B$86,$A56)</f>
        <v>-962.17917406</v>
      </c>
      <c r="Q56" s="75" t="n">
        <f aca="false">P56+$C56*Datos!G$173-SUMIFS(Datos!G$7:G$86,Datos!$A$7:$A$86,ANIO,Datos!$B$7:$B$86,$A56)</f>
        <v>-962.17917442</v>
      </c>
      <c r="R56" s="75" t="n">
        <f aca="false">Q56+$C56*Datos!H$173-SUMIFS(Datos!H$7:H$86,Datos!$A$7:$A$86,ANIO,Datos!$B$7:$B$86,$A56)</f>
        <v>-962.179174445</v>
      </c>
      <c r="S56" s="75" t="n">
        <f aca="false">R56+$C56*Datos!I$173-SUMIFS(Datos!I$7:I$86,Datos!$A$7:$A$86,ANIO,Datos!$B$7:$B$86,$A56)</f>
        <v>-962.179174135</v>
      </c>
      <c r="T56" s="75" t="n">
        <f aca="false">S56+$C56*Datos!J$173-SUMIFS(Datos!J$7:J$86,Datos!$A$7:$A$86,ANIO,Datos!$B$7:$B$86,$A56)</f>
        <v>-962.179173825</v>
      </c>
      <c r="U56" s="75" t="n">
        <f aca="false">T56+$C56*Datos!K$173-SUMIFS(Datos!K$7:K$86,Datos!$A$7:$A$86,ANIO,Datos!$B$7:$B$86,$A56)</f>
        <v>-962.17917385</v>
      </c>
      <c r="V56" s="75" t="n">
        <f aca="false">U56+$C56*Datos!L$173-SUMIFS(Datos!L$7:L$86,Datos!$A$7:$A$86,ANIO,Datos!$B$7:$B$86,$A56)</f>
        <v>-481.08958688</v>
      </c>
      <c r="W56" s="75" t="n">
        <f aca="false">V56+$C56*Datos!M$173-SUMIFS(Datos!M$7:M$86,Datos!$A$7:$A$86,ANIO,Datos!$B$7:$B$86,$A56)</f>
        <v>8.99999577086419E-008</v>
      </c>
      <c r="X56" s="75" t="n">
        <f aca="false">W56+$C56*Datos!N$173-SUMIFS(Datos!N$7:N$86,Datos!$A$7:$A$86,ANIO,Datos!$B$7:$B$86,$A56)</f>
        <v>481.08958706</v>
      </c>
      <c r="Y56" s="75" t="n">
        <f aca="false">X56+$C56*Datos!O$173-SUMIFS(Datos!O$7:O$86,Datos!$A$7:$A$86,ANIO,Datos!$B$7:$B$86,$A56)</f>
        <v>962.17917403</v>
      </c>
      <c r="Z56" s="75" t="n">
        <f aca="false">Y56+$C56*Datos!P$173-SUMIFS(Datos!P$7:P$86,Datos!$A$7:$A$86,ANIO,Datos!$B$7:$B$86,$A56)</f>
        <v>0</v>
      </c>
    </row>
    <row r="57" customFormat="false" ht="15.75" hidden="false" customHeight="true" outlineLevel="0" collapsed="false">
      <c r="A57" s="4" t="s">
        <v>771</v>
      </c>
      <c r="B57" s="14" t="n">
        <f aca="false">SUMIFS(Datos!$Q$7:$Q$86,Datos!$A$7:$A$86,ANIO,Datos!$B$7:$B$86,$A57)</f>
        <v>7436.4584441</v>
      </c>
      <c r="C57" s="14" t="n">
        <f aca="false">B57</f>
        <v>7436.4584441</v>
      </c>
      <c r="D57" s="14" t="n">
        <f aca="false">MAX(0,-MIN(O57:Z57))</f>
        <v>74.3645845059998</v>
      </c>
      <c r="E57" s="43" t="n">
        <f aca="false">D57+MAX(O57:Z57)</f>
        <v>223.093753437</v>
      </c>
      <c r="F57" s="16" t="str">
        <f aca="false">INDEX({"Ene","Feb","Mar","Abr","May","Jun","Jul","Ago","Sep","Oct","Nov","Dic"},1,MATCH(MAX(O57:Z57),O57:Z57,0))</f>
        <v>Nov</v>
      </c>
      <c r="G57" s="22" t="n">
        <f aca="false">B57/(12*DIAS)</f>
        <v>30.9852435170833</v>
      </c>
      <c r="H57" s="14" t="n">
        <f aca="false">G57*SS_PT</f>
        <v>154.926217585417</v>
      </c>
      <c r="I57" s="14" t="n">
        <f aca="false">Parametros!C$81</f>
        <v>168</v>
      </c>
      <c r="J57" s="43" t="n">
        <f aca="false">E57+H57+I57</f>
        <v>546.019971022417</v>
      </c>
      <c r="K57" s="14" t="n">
        <f aca="false">Parametros!C$81</f>
        <v>168</v>
      </c>
      <c r="L57" s="43" t="n">
        <f aca="false">ROUNDUP(J57/K57,0)</f>
        <v>4</v>
      </c>
      <c r="M57" s="5"/>
      <c r="N57" s="5"/>
      <c r="O57" s="75" t="n">
        <f aca="false">$C57*Datos!E$174-SUMIFS(Datos!E$7:E$86,Datos!$A$7:$A$86,ANIO,Datos!$B$7:$B$86,$A57)</f>
        <v>-74.364584431</v>
      </c>
      <c r="P57" s="75" t="n">
        <f aca="false">O57+$C57*Datos!F$174-SUMIFS(Datos!F$7:F$86,Datos!$A$7:$A$86,ANIO,Datos!$B$7:$B$86,$A57)</f>
        <v>-74.364584403</v>
      </c>
      <c r="Q57" s="75" t="n">
        <f aca="false">P57+$C57*Datos!G$174-SUMIFS(Datos!G$7:G$86,Datos!$A$7:$A$86,ANIO,Datos!$B$7:$B$86,$A57)</f>
        <v>-74.3645844544999</v>
      </c>
      <c r="R57" s="75" t="n">
        <f aca="false">Q57+$C57*Datos!H$174-SUMIFS(Datos!H$7:H$86,Datos!$A$7:$A$86,ANIO,Datos!$B$7:$B$86,$A57)</f>
        <v>-74.3645845059998</v>
      </c>
      <c r="S57" s="75" t="n">
        <f aca="false">R57+$C57*Datos!I$174-SUMIFS(Datos!I$7:I$86,Datos!$A$7:$A$86,ANIO,Datos!$B$7:$B$86,$A57)</f>
        <v>-74.3645844779998</v>
      </c>
      <c r="T57" s="75" t="n">
        <f aca="false">S57+$C57*Datos!J$174-SUMIFS(Datos!J$7:J$86,Datos!$A$7:$A$86,ANIO,Datos!$B$7:$B$86,$A57)</f>
        <v>-74.3645844704998</v>
      </c>
      <c r="U57" s="75" t="n">
        <f aca="false">T57+$C57*Datos!K$174-SUMIFS(Datos!K$7:K$86,Datos!$A$7:$A$86,ANIO,Datos!$B$7:$B$86,$A57)</f>
        <v>-74.3645844424998</v>
      </c>
      <c r="V57" s="75" t="n">
        <f aca="false">U57+$C57*Datos!L$174-SUMIFS(Datos!L$7:L$86,Datos!$A$7:$A$86,ANIO,Datos!$B$7:$B$86,$A57)</f>
        <v>-74.3645844144998</v>
      </c>
      <c r="W57" s="75" t="n">
        <f aca="false">V57+$C57*Datos!M$174-SUMIFS(Datos!M$7:M$86,Datos!$A$7:$A$86,ANIO,Datos!$B$7:$B$86,$A57)</f>
        <v>-74.3645843864997</v>
      </c>
      <c r="X57" s="75" t="n">
        <f aca="false">W57+$C57*Datos!N$174-SUMIFS(Datos!N$7:N$86,Datos!$A$7:$A$86,ANIO,Datos!$B$7:$B$86,$A57)</f>
        <v>6.20003675066982E-008</v>
      </c>
      <c r="Y57" s="75" t="n">
        <f aca="false">X57+$C57*Datos!O$174-SUMIFS(Datos!O$7:O$86,Datos!$A$7:$A$86,ANIO,Datos!$B$7:$B$86,$A57)</f>
        <v>148.729168931</v>
      </c>
      <c r="Z57" s="75" t="n">
        <f aca="false">Y57+$C57*Datos!P$174-SUMIFS(Datos!P$7:P$86,Datos!$A$7:$A$86,ANIO,Datos!$B$7:$B$86,$A57)</f>
        <v>0</v>
      </c>
    </row>
    <row r="58" customFormat="false" ht="15.75" hidden="false" customHeight="true" outlineLevel="0" collapsed="false">
      <c r="A58" s="4" t="s">
        <v>772</v>
      </c>
      <c r="B58" s="14" t="n">
        <f aca="false">SUMIFS(Datos!$Q$7:$Q$86,Datos!$A$7:$A$86,ANIO,Datos!$B$7:$B$86,$A58)</f>
        <v>30814.978721</v>
      </c>
      <c r="C58" s="14" t="n">
        <f aca="false">B58</f>
        <v>30814.978721</v>
      </c>
      <c r="D58" s="14" t="n">
        <f aca="false">MAX(0,-MIN(O58:Z58))</f>
        <v>308.149788065</v>
      </c>
      <c r="E58" s="43" t="n">
        <f aca="false">D58+MAX(O58:Z58)</f>
        <v>924.449362175</v>
      </c>
      <c r="F58" s="16" t="str">
        <f aca="false">INDEX({"Ene","Feb","Mar","Abr","May","Jun","Jul","Ago","Sep","Oct","Nov","Dic"},1,MATCH(MAX(O58:Z58),O58:Z58,0))</f>
        <v>Nov</v>
      </c>
      <c r="G58" s="22" t="n">
        <f aca="false">B58/(12*DIAS)</f>
        <v>128.395744670833</v>
      </c>
      <c r="H58" s="14" t="n">
        <f aca="false">G58*SS_PT</f>
        <v>641.978723354167</v>
      </c>
      <c r="I58" s="14" t="n">
        <f aca="false">Parametros!D$81</f>
        <v>84</v>
      </c>
      <c r="J58" s="43" t="n">
        <f aca="false">E58+H58+I58</f>
        <v>1650.42808552917</v>
      </c>
      <c r="K58" s="14" t="n">
        <f aca="false">Parametros!D$81</f>
        <v>84</v>
      </c>
      <c r="L58" s="43" t="n">
        <f aca="false">ROUNDUP(J58/K58,0)</f>
        <v>20</v>
      </c>
      <c r="M58" s="5"/>
      <c r="N58" s="5"/>
      <c r="O58" s="75" t="n">
        <f aca="false">$C58*Datos!E$175-SUMIFS(Datos!E$7:E$86,Datos!$A$7:$A$86,ANIO,Datos!$B$7:$B$86,$A58)</f>
        <v>-308.14978711</v>
      </c>
      <c r="P58" s="75" t="n">
        <f aca="false">O58+$C58*Datos!F$175-SUMIFS(Datos!F$7:F$86,Datos!$A$7:$A$86,ANIO,Datos!$B$7:$B$86,$A58)</f>
        <v>-308.14978743</v>
      </c>
      <c r="Q58" s="75" t="n">
        <f aca="false">P58+$C58*Datos!G$175-SUMIFS(Datos!G$7:G$86,Datos!$A$7:$A$86,ANIO,Datos!$B$7:$B$86,$A58)</f>
        <v>-308.149787145</v>
      </c>
      <c r="R58" s="75" t="n">
        <f aca="false">Q58+$C58*Datos!H$175-SUMIFS(Datos!H$7:H$86,Datos!$A$7:$A$86,ANIO,Datos!$B$7:$B$86,$A58)</f>
        <v>-308.14978686</v>
      </c>
      <c r="S58" s="75" t="n">
        <f aca="false">R58+$C58*Datos!I$175-SUMIFS(Datos!I$7:I$86,Datos!$A$7:$A$86,ANIO,Datos!$B$7:$B$86,$A58)</f>
        <v>-308.14978718</v>
      </c>
      <c r="T58" s="75" t="n">
        <f aca="false">S58+$C58*Datos!J$175-SUMIFS(Datos!J$7:J$86,Datos!$A$7:$A$86,ANIO,Datos!$B$7:$B$86,$A58)</f>
        <v>-308.149787105</v>
      </c>
      <c r="U58" s="75" t="n">
        <f aca="false">T58+$C58*Datos!K$175-SUMIFS(Datos!K$7:K$86,Datos!$A$7:$A$86,ANIO,Datos!$B$7:$B$86,$A58)</f>
        <v>-308.149787425</v>
      </c>
      <c r="V58" s="75" t="n">
        <f aca="false">U58+$C58*Datos!L$175-SUMIFS(Datos!L$7:L$86,Datos!$A$7:$A$86,ANIO,Datos!$B$7:$B$86,$A58)</f>
        <v>-308.149787745</v>
      </c>
      <c r="W58" s="75" t="n">
        <f aca="false">V58+$C58*Datos!M$175-SUMIFS(Datos!M$7:M$86,Datos!$A$7:$A$86,ANIO,Datos!$B$7:$B$86,$A58)</f>
        <v>-308.149788065</v>
      </c>
      <c r="X58" s="75" t="n">
        <f aca="false">W58+$C58*Datos!N$175-SUMIFS(Datos!N$7:N$86,Datos!$A$7:$A$86,ANIO,Datos!$B$7:$B$86,$A58)</f>
        <v>-7.79999481892446E-007</v>
      </c>
      <c r="Y58" s="75" t="n">
        <f aca="false">X58+$C58*Datos!O$175-SUMIFS(Datos!O$7:O$86,Datos!$A$7:$A$86,ANIO,Datos!$B$7:$B$86,$A58)</f>
        <v>616.29957411</v>
      </c>
      <c r="Z58" s="75" t="n">
        <f aca="false">Y58+$C58*Datos!P$175-SUMIFS(Datos!P$7:P$86,Datos!$A$7:$A$86,ANIO,Datos!$B$7:$B$86,$A58)</f>
        <v>0</v>
      </c>
    </row>
    <row r="59" customFormat="false" ht="15.75" hidden="false" customHeight="true" outlineLevel="0" collapsed="false">
      <c r="A59" s="4" t="s">
        <v>773</v>
      </c>
      <c r="B59" s="14" t="n">
        <f aca="false">SUMIFS(Datos!$Q$7:$Q$86,Datos!$A$7:$A$86,ANIO,Datos!$B$7:$B$86,$A59)</f>
        <v>1844.9280787</v>
      </c>
      <c r="C59" s="14" t="n">
        <f aca="false">B59</f>
        <v>1844.9280787</v>
      </c>
      <c r="D59" s="14" t="n">
        <f aca="false">MAX(0,-MIN(O59:Z59))</f>
        <v>18.4492808555001</v>
      </c>
      <c r="E59" s="43" t="n">
        <f aca="false">D59+MAX(O59:Z59)</f>
        <v>55.3478423725</v>
      </c>
      <c r="F59" s="16" t="str">
        <f aca="false">INDEX({"Ene","Feb","Mar","Abr","May","Jun","Jul","Ago","Sep","Oct","Nov","Dic"},1,MATCH(MAX(O59:Z59),O59:Z59,0))</f>
        <v>Nov</v>
      </c>
      <c r="G59" s="22" t="n">
        <f aca="false">B59/(12*DIAS)</f>
        <v>7.68720032791667</v>
      </c>
      <c r="H59" s="14" t="n">
        <f aca="false">G59*SS_PT</f>
        <v>38.4360016395833</v>
      </c>
      <c r="I59" s="14" t="n">
        <f aca="false">Parametros!E$81</f>
        <v>60</v>
      </c>
      <c r="J59" s="43" t="n">
        <f aca="false">E59+H59+I59</f>
        <v>153.783844012083</v>
      </c>
      <c r="K59" s="14" t="n">
        <f aca="false">Parametros!E$81</f>
        <v>60</v>
      </c>
      <c r="L59" s="43" t="n">
        <f aca="false">ROUNDUP(J59/K59,0)</f>
        <v>3</v>
      </c>
      <c r="M59" s="5"/>
      <c r="N59" s="5"/>
      <c r="O59" s="75" t="n">
        <f aca="false">$C59*Datos!E$176-SUMIFS(Datos!E$7:E$86,Datos!$A$7:$A$86,ANIO,Datos!$B$7:$B$86,$A59)</f>
        <v>-18.449280817</v>
      </c>
      <c r="P59" s="75" t="n">
        <f aca="false">O59+$C59*Datos!F$176-SUMIFS(Datos!F$7:F$86,Datos!$A$7:$A$86,ANIO,Datos!$B$7:$B$86,$A59)</f>
        <v>-18.449280821</v>
      </c>
      <c r="Q59" s="75" t="n">
        <f aca="false">P59+$C59*Datos!G$176-SUMIFS(Datos!G$7:G$86,Datos!$A$7:$A$86,ANIO,Datos!$B$7:$B$86,$A59)</f>
        <v>-18.4492808315</v>
      </c>
      <c r="R59" s="75" t="n">
        <f aca="false">Q59+$C59*Datos!H$176-SUMIFS(Datos!H$7:H$86,Datos!$A$7:$A$86,ANIO,Datos!$B$7:$B$86,$A59)</f>
        <v>-18.449280842</v>
      </c>
      <c r="S59" s="75" t="n">
        <f aca="false">R59+$C59*Datos!I$176-SUMIFS(Datos!I$7:I$86,Datos!$A$7:$A$86,ANIO,Datos!$B$7:$B$86,$A59)</f>
        <v>-18.4492808460001</v>
      </c>
      <c r="T59" s="75" t="n">
        <f aca="false">S59+$C59*Datos!J$176-SUMIFS(Datos!J$7:J$86,Datos!$A$7:$A$86,ANIO,Datos!$B$7:$B$86,$A59)</f>
        <v>-18.4492808435001</v>
      </c>
      <c r="U59" s="75" t="n">
        <f aca="false">T59+$C59*Datos!K$176-SUMIFS(Datos!K$7:K$86,Datos!$A$7:$A$86,ANIO,Datos!$B$7:$B$86,$A59)</f>
        <v>-18.4492808475001</v>
      </c>
      <c r="V59" s="75" t="n">
        <f aca="false">U59+$C59*Datos!L$176-SUMIFS(Datos!L$7:L$86,Datos!$A$7:$A$86,ANIO,Datos!$B$7:$B$86,$A59)</f>
        <v>-18.4492808515001</v>
      </c>
      <c r="W59" s="75" t="n">
        <f aca="false">V59+$C59*Datos!M$176-SUMIFS(Datos!M$7:M$86,Datos!$A$7:$A$86,ANIO,Datos!$B$7:$B$86,$A59)</f>
        <v>-18.4492808555001</v>
      </c>
      <c r="X59" s="75" t="n">
        <f aca="false">W59+$C59*Datos!N$176-SUMIFS(Datos!N$7:N$86,Datos!$A$7:$A$86,ANIO,Datos!$B$7:$B$86,$A59)</f>
        <v>-6.60001262531296E-008</v>
      </c>
      <c r="Y59" s="75" t="n">
        <f aca="false">X59+$C59*Datos!O$176-SUMIFS(Datos!O$7:O$86,Datos!$A$7:$A$86,ANIO,Datos!$B$7:$B$86,$A59)</f>
        <v>36.8985615169999</v>
      </c>
      <c r="Z59" s="75" t="n">
        <f aca="false">Y59+$C59*Datos!P$176-SUMIFS(Datos!P$7:P$86,Datos!$A$7:$A$86,ANIO,Datos!$B$7:$B$86,$A59)</f>
        <v>0</v>
      </c>
    </row>
    <row r="60" customFormat="false" ht="15.75" hidden="false" customHeight="true" outlineLevel="0" collapsed="false">
      <c r="A60" s="4" t="s">
        <v>774</v>
      </c>
      <c r="B60" s="14" t="n">
        <f aca="false">SUMIFS(Datos!$Q$7:$Q$86,Datos!$A$7:$A$86,ANIO,Datos!$B$7:$B$86,$A60)</f>
        <v>170548</v>
      </c>
      <c r="C60" s="14" t="n">
        <f aca="false">B60</f>
        <v>170548</v>
      </c>
      <c r="D60" s="14" t="n">
        <f aca="false">MAX(0,-MIN(O60:Z60))</f>
        <v>5116.44</v>
      </c>
      <c r="E60" s="43" t="n">
        <f aca="false">D60+MAX(O60:Z60)</f>
        <v>10232.88</v>
      </c>
      <c r="F60" s="16" t="str">
        <f aca="false">INDEX({"Ene","Feb","Mar","Abr","May","Jun","Jul","Ago","Sep","Oct","Nov","Dic"},1,MATCH(MAX(O60:Z60),O60:Z60,0))</f>
        <v>Nov</v>
      </c>
      <c r="G60" s="22" t="n">
        <f aca="false">B60/(12*DIAS)</f>
        <v>710.616666666667</v>
      </c>
      <c r="H60" s="14" t="n">
        <f aca="false">G60*SS_PT</f>
        <v>3553.08333333333</v>
      </c>
      <c r="I60" s="14" t="n">
        <f aca="false">Parametros!B$82</f>
        <v>780</v>
      </c>
      <c r="J60" s="43" t="n">
        <f aca="false">E60+H60+I60</f>
        <v>14565.9633333333</v>
      </c>
      <c r="K60" s="14" t="n">
        <f aca="false">Parametros!B$82</f>
        <v>780</v>
      </c>
      <c r="L60" s="43" t="n">
        <f aca="false">ROUNDUP(J60/K60,0)</f>
        <v>19</v>
      </c>
      <c r="M60" s="5"/>
      <c r="N60" s="5"/>
      <c r="O60" s="75" t="n">
        <f aca="false">$C60*Datos!E$173-SUMIFS(Datos!E$7:E$86,Datos!$A$7:$A$86,ANIO,Datos!$B$7:$B$86,$A60)</f>
        <v>-5116.44</v>
      </c>
      <c r="P60" s="75" t="n">
        <f aca="false">O60+$C60*Datos!F$173-SUMIFS(Datos!F$7:F$86,Datos!$A$7:$A$86,ANIO,Datos!$B$7:$B$86,$A60)</f>
        <v>-5116.44</v>
      </c>
      <c r="Q60" s="75" t="n">
        <f aca="false">P60+$C60*Datos!G$173-SUMIFS(Datos!G$7:G$86,Datos!$A$7:$A$86,ANIO,Datos!$B$7:$B$86,$A60)</f>
        <v>-5116.44</v>
      </c>
      <c r="R60" s="75" t="n">
        <f aca="false">Q60+$C60*Datos!H$173-SUMIFS(Datos!H$7:H$86,Datos!$A$7:$A$86,ANIO,Datos!$B$7:$B$86,$A60)</f>
        <v>-5116.44</v>
      </c>
      <c r="S60" s="75" t="n">
        <f aca="false">R60+$C60*Datos!I$173-SUMIFS(Datos!I$7:I$86,Datos!$A$7:$A$86,ANIO,Datos!$B$7:$B$86,$A60)</f>
        <v>-5116.44</v>
      </c>
      <c r="T60" s="75" t="n">
        <f aca="false">S60+$C60*Datos!J$173-SUMIFS(Datos!J$7:J$86,Datos!$A$7:$A$86,ANIO,Datos!$B$7:$B$86,$A60)</f>
        <v>-5116.44</v>
      </c>
      <c r="U60" s="75" t="n">
        <f aca="false">T60+$C60*Datos!K$173-SUMIFS(Datos!K$7:K$86,Datos!$A$7:$A$86,ANIO,Datos!$B$7:$B$86,$A60)</f>
        <v>-5116.44</v>
      </c>
      <c r="V60" s="75" t="n">
        <f aca="false">U60+$C60*Datos!L$173-SUMIFS(Datos!L$7:L$86,Datos!$A$7:$A$86,ANIO,Datos!$B$7:$B$86,$A60)</f>
        <v>-2558.22</v>
      </c>
      <c r="W60" s="75" t="n">
        <f aca="false">V60+$C60*Datos!M$173-SUMIFS(Datos!M$7:M$86,Datos!$A$7:$A$86,ANIO,Datos!$B$7:$B$86,$A60)</f>
        <v>0</v>
      </c>
      <c r="X60" s="75" t="n">
        <f aca="false">W60+$C60*Datos!N$173-SUMIFS(Datos!N$7:N$86,Datos!$A$7:$A$86,ANIO,Datos!$B$7:$B$86,$A60)</f>
        <v>2558.22</v>
      </c>
      <c r="Y60" s="75" t="n">
        <f aca="false">X60+$C60*Datos!O$173-SUMIFS(Datos!O$7:O$86,Datos!$A$7:$A$86,ANIO,Datos!$B$7:$B$86,$A60)</f>
        <v>5116.44</v>
      </c>
      <c r="Z60" s="75" t="n">
        <f aca="false">Y60+$C60*Datos!P$173-SUMIFS(Datos!P$7:P$86,Datos!$A$7:$A$86,ANIO,Datos!$B$7:$B$86,$A60)</f>
        <v>0</v>
      </c>
    </row>
    <row r="61" customFormat="false" ht="15.75" hidden="false" customHeight="true" outlineLevel="0" collapsed="false">
      <c r="A61" s="4" t="s">
        <v>775</v>
      </c>
      <c r="B61" s="14" t="n">
        <f aca="false">SUMIFS(Datos!$Q$7:$Q$86,Datos!$A$7:$A$86,ANIO,Datos!$B$7:$B$86,$A61)</f>
        <v>6689.88</v>
      </c>
      <c r="C61" s="14" t="n">
        <f aca="false">B61</f>
        <v>6689.88</v>
      </c>
      <c r="D61" s="14" t="n">
        <f aca="false">MAX(0,-MIN(O61:Z61))</f>
        <v>66.8988000000001</v>
      </c>
      <c r="E61" s="43" t="n">
        <f aca="false">D61+MAX(O61:Z61)</f>
        <v>200.6964</v>
      </c>
      <c r="F61" s="16" t="str">
        <f aca="false">INDEX({"Ene","Feb","Mar","Abr","May","Jun","Jul","Ago","Sep","Oct","Nov","Dic"},1,MATCH(MAX(O61:Z61),O61:Z61,0))</f>
        <v>Nov</v>
      </c>
      <c r="G61" s="22" t="n">
        <f aca="false">B61/(12*DIAS)</f>
        <v>27.8745</v>
      </c>
      <c r="H61" s="14" t="n">
        <f aca="false">G61*SS_PT</f>
        <v>139.3725</v>
      </c>
      <c r="I61" s="14" t="n">
        <f aca="false">Parametros!C$82</f>
        <v>288</v>
      </c>
      <c r="J61" s="43" t="n">
        <f aca="false">E61+H61+I61</f>
        <v>628.0689</v>
      </c>
      <c r="K61" s="14" t="n">
        <f aca="false">Parametros!C$82</f>
        <v>288</v>
      </c>
      <c r="L61" s="43" t="n">
        <f aca="false">ROUNDUP(J61/K61,0)</f>
        <v>3</v>
      </c>
      <c r="M61" s="5"/>
      <c r="N61" s="5"/>
      <c r="O61" s="75" t="n">
        <f aca="false">$C61*Datos!E$174-SUMIFS(Datos!E$7:E$86,Datos!$A$7:$A$86,ANIO,Datos!$B$7:$B$86,$A61)</f>
        <v>-66.8988000000001</v>
      </c>
      <c r="P61" s="75" t="n">
        <f aca="false">O61+$C61*Datos!F$174-SUMIFS(Datos!F$7:F$86,Datos!$A$7:$A$86,ANIO,Datos!$B$7:$B$86,$A61)</f>
        <v>-66.8987999999999</v>
      </c>
      <c r="Q61" s="75" t="n">
        <f aca="false">P61+$C61*Datos!G$174-SUMIFS(Datos!G$7:G$86,Datos!$A$7:$A$86,ANIO,Datos!$B$7:$B$86,$A61)</f>
        <v>-66.8987999999999</v>
      </c>
      <c r="R61" s="75" t="n">
        <f aca="false">Q61+$C61*Datos!H$174-SUMIFS(Datos!H$7:H$86,Datos!$A$7:$A$86,ANIO,Datos!$B$7:$B$86,$A61)</f>
        <v>-66.8987999999999</v>
      </c>
      <c r="S61" s="75" t="n">
        <f aca="false">R61+$C61*Datos!I$174-SUMIFS(Datos!I$7:I$86,Datos!$A$7:$A$86,ANIO,Datos!$B$7:$B$86,$A61)</f>
        <v>-66.8987999999998</v>
      </c>
      <c r="T61" s="75" t="n">
        <f aca="false">S61+$C61*Datos!J$174-SUMIFS(Datos!J$7:J$86,Datos!$A$7:$A$86,ANIO,Datos!$B$7:$B$86,$A61)</f>
        <v>-66.8987999999998</v>
      </c>
      <c r="U61" s="75" t="n">
        <f aca="false">T61+$C61*Datos!K$174-SUMIFS(Datos!K$7:K$86,Datos!$A$7:$A$86,ANIO,Datos!$B$7:$B$86,$A61)</f>
        <v>-66.8987999999997</v>
      </c>
      <c r="V61" s="75" t="n">
        <f aca="false">U61+$C61*Datos!L$174-SUMIFS(Datos!L$7:L$86,Datos!$A$7:$A$86,ANIO,Datos!$B$7:$B$86,$A61)</f>
        <v>-66.8987999999996</v>
      </c>
      <c r="W61" s="75" t="n">
        <f aca="false">V61+$C61*Datos!M$174-SUMIFS(Datos!M$7:M$86,Datos!$A$7:$A$86,ANIO,Datos!$B$7:$B$86,$A61)</f>
        <v>-66.8987999999995</v>
      </c>
      <c r="X61" s="75" t="n">
        <f aca="false">W61+$C61*Datos!N$174-SUMIFS(Datos!N$7:N$86,Datos!$A$7:$A$86,ANIO,Datos!$B$7:$B$86,$A61)</f>
        <v>0</v>
      </c>
      <c r="Y61" s="75" t="n">
        <f aca="false">X61+$C61*Datos!O$174-SUMIFS(Datos!O$7:O$86,Datos!$A$7:$A$86,ANIO,Datos!$B$7:$B$86,$A61)</f>
        <v>133.7976</v>
      </c>
      <c r="Z61" s="75" t="n">
        <f aca="false">Y61+$C61*Datos!P$174-SUMIFS(Datos!P$7:P$86,Datos!$A$7:$A$86,ANIO,Datos!$B$7:$B$86,$A61)</f>
        <v>0</v>
      </c>
    </row>
    <row r="62" customFormat="false" ht="15.75" hidden="false" customHeight="true" outlineLevel="0" collapsed="false">
      <c r="A62" s="4" t="s">
        <v>776</v>
      </c>
      <c r="B62" s="14" t="n">
        <f aca="false">SUMIFS(Datos!$Q$7:$Q$86,Datos!$A$7:$A$86,ANIO,Datos!$B$7:$B$86,$A62)</f>
        <v>33037.68</v>
      </c>
      <c r="C62" s="14" t="n">
        <f aca="false">B62</f>
        <v>33037.68</v>
      </c>
      <c r="D62" s="14" t="n">
        <f aca="false">MAX(0,-MIN(O62:Z62))</f>
        <v>330.3768</v>
      </c>
      <c r="E62" s="43" t="n">
        <f aca="false">D62+MAX(O62:Z62)</f>
        <v>991.1304</v>
      </c>
      <c r="F62" s="16" t="str">
        <f aca="false">INDEX({"Ene","Feb","Mar","Abr","May","Jun","Jul","Ago","Sep","Oct","Nov","Dic"},1,MATCH(MAX(O62:Z62),O62:Z62,0))</f>
        <v>Nov</v>
      </c>
      <c r="G62" s="22" t="n">
        <f aca="false">B62/(12*DIAS)</f>
        <v>137.657</v>
      </c>
      <c r="H62" s="14" t="n">
        <f aca="false">G62*SS_PT</f>
        <v>688.285</v>
      </c>
      <c r="I62" s="14" t="n">
        <f aca="false">Parametros!D$82</f>
        <v>126</v>
      </c>
      <c r="J62" s="43" t="n">
        <f aca="false">E62+H62+I62</f>
        <v>1805.4154</v>
      </c>
      <c r="K62" s="14" t="n">
        <f aca="false">Parametros!D$82</f>
        <v>126</v>
      </c>
      <c r="L62" s="43" t="n">
        <f aca="false">ROUNDUP(J62/K62,0)</f>
        <v>15</v>
      </c>
      <c r="M62" s="5"/>
      <c r="N62" s="5"/>
      <c r="O62" s="75" t="n">
        <f aca="false">$C62*Datos!E$175-SUMIFS(Datos!E$7:E$86,Datos!$A$7:$A$86,ANIO,Datos!$B$7:$B$86,$A62)</f>
        <v>-330.3768</v>
      </c>
      <c r="P62" s="75" t="n">
        <f aca="false">O62+$C62*Datos!F$175-SUMIFS(Datos!F$7:F$86,Datos!$A$7:$A$86,ANIO,Datos!$B$7:$B$86,$A62)</f>
        <v>-330.3768</v>
      </c>
      <c r="Q62" s="75" t="n">
        <f aca="false">P62+$C62*Datos!G$175-SUMIFS(Datos!G$7:G$86,Datos!$A$7:$A$86,ANIO,Datos!$B$7:$B$86,$A62)</f>
        <v>-330.3768</v>
      </c>
      <c r="R62" s="75" t="n">
        <f aca="false">Q62+$C62*Datos!H$175-SUMIFS(Datos!H$7:H$86,Datos!$A$7:$A$86,ANIO,Datos!$B$7:$B$86,$A62)</f>
        <v>-330.3768</v>
      </c>
      <c r="S62" s="75" t="n">
        <f aca="false">R62+$C62*Datos!I$175-SUMIFS(Datos!I$7:I$86,Datos!$A$7:$A$86,ANIO,Datos!$B$7:$B$86,$A62)</f>
        <v>-330.3768</v>
      </c>
      <c r="T62" s="75" t="n">
        <f aca="false">S62+$C62*Datos!J$175-SUMIFS(Datos!J$7:J$86,Datos!$A$7:$A$86,ANIO,Datos!$B$7:$B$86,$A62)</f>
        <v>-330.3768</v>
      </c>
      <c r="U62" s="75" t="n">
        <f aca="false">T62+$C62*Datos!K$175-SUMIFS(Datos!K$7:K$86,Datos!$A$7:$A$86,ANIO,Datos!$B$7:$B$86,$A62)</f>
        <v>-330.3768</v>
      </c>
      <c r="V62" s="75" t="n">
        <f aca="false">U62+$C62*Datos!L$175-SUMIFS(Datos!L$7:L$86,Datos!$A$7:$A$86,ANIO,Datos!$B$7:$B$86,$A62)</f>
        <v>-330.3768</v>
      </c>
      <c r="W62" s="75" t="n">
        <f aca="false">V62+$C62*Datos!M$175-SUMIFS(Datos!M$7:M$86,Datos!$A$7:$A$86,ANIO,Datos!$B$7:$B$86,$A62)</f>
        <v>-330.3768</v>
      </c>
      <c r="X62" s="75" t="n">
        <f aca="false">W62+$C62*Datos!N$175-SUMIFS(Datos!N$7:N$86,Datos!$A$7:$A$86,ANIO,Datos!$B$7:$B$86,$A62)</f>
        <v>0</v>
      </c>
      <c r="Y62" s="75" t="n">
        <f aca="false">X62+$C62*Datos!O$175-SUMIFS(Datos!O$7:O$86,Datos!$A$7:$A$86,ANIO,Datos!$B$7:$B$86,$A62)</f>
        <v>660.7536</v>
      </c>
      <c r="Z62" s="75" t="n">
        <f aca="false">Y62+$C62*Datos!P$175-SUMIFS(Datos!P$7:P$86,Datos!$A$7:$A$86,ANIO,Datos!$B$7:$B$86,$A62)</f>
        <v>0</v>
      </c>
    </row>
    <row r="63" customFormat="false" ht="15.75" hidden="false" customHeight="true" outlineLevel="0" collapsed="false">
      <c r="A63" s="4" t="s">
        <v>777</v>
      </c>
      <c r="B63" s="14" t="n">
        <f aca="false">SUMIFS(Datos!$Q$7:$Q$86,Datos!$A$7:$A$86,ANIO,Datos!$B$7:$B$86,$A63)</f>
        <v>2018</v>
      </c>
      <c r="C63" s="14" t="n">
        <f aca="false">B63</f>
        <v>2018</v>
      </c>
      <c r="D63" s="14" t="n">
        <f aca="false">MAX(0,-MIN(O63:Z63))</f>
        <v>20.18</v>
      </c>
      <c r="E63" s="43" t="n">
        <f aca="false">D63+MAX(O63:Z63)</f>
        <v>60.54</v>
      </c>
      <c r="F63" s="16" t="str">
        <f aca="false">INDEX({"Ene","Feb","Mar","Abr","May","Jun","Jul","Ago","Sep","Oct","Nov","Dic"},1,MATCH(MAX(O63:Z63),O63:Z63,0))</f>
        <v>Nov</v>
      </c>
      <c r="G63" s="22" t="n">
        <f aca="false">B63/(12*DIAS)</f>
        <v>8.40833333333333</v>
      </c>
      <c r="H63" s="14" t="n">
        <f aca="false">G63*SS_PT</f>
        <v>42.0416666666667</v>
      </c>
      <c r="I63" s="14" t="n">
        <f aca="false">Parametros!E$82</f>
        <v>60</v>
      </c>
      <c r="J63" s="43" t="n">
        <f aca="false">E63+H63+I63</f>
        <v>162.581666666667</v>
      </c>
      <c r="K63" s="14" t="n">
        <f aca="false">Parametros!E$82</f>
        <v>60</v>
      </c>
      <c r="L63" s="43" t="n">
        <f aca="false">ROUNDUP(J63/K63,0)</f>
        <v>3</v>
      </c>
      <c r="M63" s="5"/>
      <c r="N63" s="5"/>
      <c r="O63" s="75" t="n">
        <f aca="false">$C63*Datos!E$176-SUMIFS(Datos!E$7:E$86,Datos!$A$7:$A$86,ANIO,Datos!$B$7:$B$86,$A63)</f>
        <v>-20.18</v>
      </c>
      <c r="P63" s="75" t="n">
        <f aca="false">O63+$C63*Datos!F$176-SUMIFS(Datos!F$7:F$86,Datos!$A$7:$A$86,ANIO,Datos!$B$7:$B$86,$A63)</f>
        <v>-20.18</v>
      </c>
      <c r="Q63" s="75" t="n">
        <f aca="false">P63+$C63*Datos!G$176-SUMIFS(Datos!G$7:G$86,Datos!$A$7:$A$86,ANIO,Datos!$B$7:$B$86,$A63)</f>
        <v>-20.18</v>
      </c>
      <c r="R63" s="75" t="n">
        <f aca="false">Q63+$C63*Datos!H$176-SUMIFS(Datos!H$7:H$86,Datos!$A$7:$A$86,ANIO,Datos!$B$7:$B$86,$A63)</f>
        <v>-20.18</v>
      </c>
      <c r="S63" s="75" t="n">
        <f aca="false">R63+$C63*Datos!I$176-SUMIFS(Datos!I$7:I$86,Datos!$A$7:$A$86,ANIO,Datos!$B$7:$B$86,$A63)</f>
        <v>-20.18</v>
      </c>
      <c r="T63" s="75" t="n">
        <f aca="false">S63+$C63*Datos!J$176-SUMIFS(Datos!J$7:J$86,Datos!$A$7:$A$86,ANIO,Datos!$B$7:$B$86,$A63)</f>
        <v>-20.18</v>
      </c>
      <c r="U63" s="75" t="n">
        <f aca="false">T63+$C63*Datos!K$176-SUMIFS(Datos!K$7:K$86,Datos!$A$7:$A$86,ANIO,Datos!$B$7:$B$86,$A63)</f>
        <v>-20.18</v>
      </c>
      <c r="V63" s="75" t="n">
        <f aca="false">U63+$C63*Datos!L$176-SUMIFS(Datos!L$7:L$86,Datos!$A$7:$A$86,ANIO,Datos!$B$7:$B$86,$A63)</f>
        <v>-20.18</v>
      </c>
      <c r="W63" s="75" t="n">
        <f aca="false">V63+$C63*Datos!M$176-SUMIFS(Datos!M$7:M$86,Datos!$A$7:$A$86,ANIO,Datos!$B$7:$B$86,$A63)</f>
        <v>-20.18</v>
      </c>
      <c r="X63" s="75" t="n">
        <f aca="false">W63+$C63*Datos!N$176-SUMIFS(Datos!N$7:N$86,Datos!$A$7:$A$86,ANIO,Datos!$B$7:$B$86,$A63)</f>
        <v>0</v>
      </c>
      <c r="Y63" s="75" t="n">
        <f aca="false">X63+$C63*Datos!O$176-SUMIFS(Datos!O$7:O$86,Datos!$A$7:$A$86,ANIO,Datos!$B$7:$B$86,$A63)</f>
        <v>40.36</v>
      </c>
      <c r="Z63" s="75" t="n">
        <f aca="false">Y63+$C63*Datos!P$176-SUMIFS(Datos!P$7:P$86,Datos!$A$7:$A$86,ANIO,Datos!$B$7:$B$86,$A63)</f>
        <v>0</v>
      </c>
    </row>
    <row r="64" customFormat="false" ht="15.75" hidden="false" customHeight="true" outlineLevel="0" collapsed="false">
      <c r="A64" s="4" t="s">
        <v>710</v>
      </c>
      <c r="B64" s="43" t="n">
        <f aca="false">SUM(B56:B63)</f>
        <v>284462.5643768</v>
      </c>
      <c r="E64" s="43" t="n">
        <f aca="false">SUM(E56:E63)</f>
        <v>14612.4961064595</v>
      </c>
      <c r="H64" s="43" t="n">
        <f aca="false">SUM(H56:H63)</f>
        <v>5926.30342451667</v>
      </c>
      <c r="I64" s="43" t="n">
        <f aca="false">SUM(I56:I63)</f>
        <v>1926</v>
      </c>
      <c r="J64" s="43" t="n">
        <f aca="false">SUM(J56:J63)</f>
        <v>22464.7995309762</v>
      </c>
      <c r="L64" s="23" t="n">
        <f aca="false">SUM(L56:L63)</f>
        <v>76</v>
      </c>
    </row>
    <row r="65" customFormat="false" ht="15.75" hidden="false" customHeight="true" outlineLevel="0" collapsed="false">
      <c r="A65" s="25" t="s">
        <v>778</v>
      </c>
    </row>
    <row r="66" customFormat="false" ht="15.75" hidden="false" customHeight="true" outlineLevel="0" collapsed="false">
      <c r="A66" s="9" t="s">
        <v>779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customFormat="false" ht="45" hidden="false" customHeight="true" outlineLevel="0" collapsed="false">
      <c r="A67" s="10" t="s">
        <v>80</v>
      </c>
      <c r="B67" s="10" t="s">
        <v>780</v>
      </c>
      <c r="C67" s="10" t="s">
        <v>781</v>
      </c>
      <c r="D67" s="10" t="s">
        <v>366</v>
      </c>
      <c r="E67" s="10" t="s">
        <v>782</v>
      </c>
      <c r="F67" s="10" t="s">
        <v>82</v>
      </c>
      <c r="G67" s="10" t="s">
        <v>783</v>
      </c>
      <c r="H67" s="10" t="s">
        <v>83</v>
      </c>
      <c r="I67" s="10"/>
      <c r="J67" s="10"/>
      <c r="K67" s="10"/>
      <c r="L67" s="10"/>
      <c r="M67" s="10"/>
      <c r="N67" s="10"/>
    </row>
    <row r="68" customFormat="false" ht="15.75" hidden="false" customHeight="true" outlineLevel="0" collapsed="false">
      <c r="A68" s="13" t="s">
        <v>784</v>
      </c>
      <c r="B68" s="14" t="n">
        <f aca="false">Carga!B22*Carga!C22/MAX(0.0001,Carga!E22)</f>
        <v>453.670533262532</v>
      </c>
      <c r="C68" s="18" t="n">
        <f aca="false">MAX(Datos!E180:P180)</f>
        <v>0.09</v>
      </c>
      <c r="D68" s="24" t="n">
        <f aca="false">B68*C68/DIAS</f>
        <v>2.0415173996814</v>
      </c>
      <c r="E68" s="14" t="n">
        <f aca="false">DIAS_PT_CARROS</f>
        <v>5</v>
      </c>
      <c r="F68" s="14" t="n">
        <f aca="false">ROUNDUP(D68*E68,0)</f>
        <v>11</v>
      </c>
      <c r="G68" s="24" t="n">
        <f aca="false">Parametros!B$103*F_CIRC</f>
        <v>0.462</v>
      </c>
      <c r="H68" s="22" t="n">
        <f aca="false">F68*G68</f>
        <v>5.082</v>
      </c>
    </row>
    <row r="69" customFormat="false" ht="15.75" hidden="false" customHeight="true" outlineLevel="0" collapsed="false">
      <c r="A69" s="13" t="s">
        <v>785</v>
      </c>
      <c r="B69" s="14" t="n">
        <f aca="false">Carga!B23*Carga!C23/MAX(0.0001,Carga!E23)</f>
        <v>997.995173155166</v>
      </c>
      <c r="C69" s="18" t="n">
        <f aca="false">MAX(Datos!E181:P181)</f>
        <v>0.09</v>
      </c>
      <c r="D69" s="24" t="n">
        <f aca="false">B69*C69/DIAS</f>
        <v>4.49097827919825</v>
      </c>
      <c r="E69" s="14" t="n">
        <f aca="false">DIAS_PT_CARROS</f>
        <v>5</v>
      </c>
      <c r="F69" s="14" t="n">
        <f aca="false">ROUNDUP(D69*E69,0)</f>
        <v>23</v>
      </c>
      <c r="G69" s="24" t="n">
        <f aca="false">Parametros!C$103*F_CIRC</f>
        <v>0.588</v>
      </c>
      <c r="H69" s="22" t="n">
        <f aca="false">F69*G69</f>
        <v>13.524</v>
      </c>
    </row>
    <row r="70" customFormat="false" ht="15.75" hidden="false" customHeight="true" outlineLevel="0" collapsed="false">
      <c r="A70" s="13" t="s">
        <v>786</v>
      </c>
      <c r="B70" s="14" t="n">
        <f aca="false">Carga!B24*Carga!C24/MAX(0.0001,Carga!E24)</f>
        <v>217.809856</v>
      </c>
      <c r="C70" s="18" t="n">
        <f aca="false">MAX(Datos!E182:P182)</f>
        <v>0.09</v>
      </c>
      <c r="D70" s="24" t="n">
        <f aca="false">B70*C70/DIAS</f>
        <v>0.980144352</v>
      </c>
      <c r="E70" s="14" t="n">
        <f aca="false">DIAS_PT_CARROS</f>
        <v>5</v>
      </c>
      <c r="F70" s="14" t="n">
        <f aca="false">ROUNDUP(D70*E70,0)</f>
        <v>5</v>
      </c>
      <c r="G70" s="24" t="n">
        <f aca="false">Parametros!D$103*F_CIRC</f>
        <v>0.784</v>
      </c>
      <c r="H70" s="22" t="n">
        <f aca="false">F70*G70</f>
        <v>3.92</v>
      </c>
    </row>
    <row r="71" customFormat="false" ht="15.75" hidden="false" customHeight="true" outlineLevel="0" collapsed="false">
      <c r="A71" s="13" t="s">
        <v>787</v>
      </c>
      <c r="B71" s="14" t="n">
        <f aca="false">Carga!B25*Carga!C25/MAX(0.0001,Carga!E25)</f>
        <v>145.206570618612</v>
      </c>
      <c r="C71" s="18" t="n">
        <f aca="false">MAX(Datos!E183:P183)</f>
        <v>0.09</v>
      </c>
      <c r="D71" s="24" t="n">
        <f aca="false">B71*C71/DIAS</f>
        <v>0.653429567783753</v>
      </c>
      <c r="E71" s="14" t="n">
        <f aca="false">DIAS_PT_CARROS</f>
        <v>5</v>
      </c>
      <c r="F71" s="14" t="n">
        <f aca="false">ROUNDUP(D71*E71,0)</f>
        <v>4</v>
      </c>
      <c r="G71" s="24" t="n">
        <f aca="false">Parametros!E$103*F_CIRC</f>
        <v>0.84</v>
      </c>
      <c r="H71" s="22" t="n">
        <f aca="false">F71*G71</f>
        <v>3.36</v>
      </c>
    </row>
    <row r="72" customFormat="false" ht="15.75" hidden="false" customHeight="true" outlineLevel="0" collapsed="false">
      <c r="A72" s="4" t="s">
        <v>788</v>
      </c>
      <c r="F72" s="43" t="n">
        <f aca="false">SUM(F68:F71)</f>
        <v>43</v>
      </c>
      <c r="H72" s="45" t="n">
        <f aca="false">SUM(H68:H71)</f>
        <v>25.886</v>
      </c>
    </row>
    <row r="73" customFormat="false" ht="15.75" hidden="false" customHeight="true" outlineLevel="0" collapsed="false">
      <c r="A73" s="13" t="s">
        <v>789</v>
      </c>
      <c r="F73" s="14" t="n">
        <f aca="false" t="array" ref="F73:F73">IF(INDEX(Datos!$C$292:$L$292,1,ANIO-2025)=0,0,ROUNDUP(INDEX(Datos!$C$292:$L$292,1,ANIO-2025)/Parametros!B$81,0))+IF(INDEX(Datos!$C$293:$L$293,1,ANIO-2025)=0,0,ROUNDUP(INDEX(Datos!$C$293:$L$293,1,ANIO-2025)/Parametros!C$81,0))+IF(INDEX(Datos!$C$294:$L$294,1,ANIO-2025)=0,0,ROUNDUP(INDEX(Datos!$C$294:$L$294,1,ANIO-2025)/Parametros!D$81,0))+IF(INDEX(Datos!$C$295:$L$295,1,ANIO-2025)=0,0,ROUNDUP(INDEX(Datos!$C$295:$L$295,1,ANIO-2025)/Parametros!E$81,0))</f>
        <v>8</v>
      </c>
      <c r="H73" s="41" t="s">
        <v>790</v>
      </c>
    </row>
    <row r="74" customFormat="false" ht="15.75" hidden="false" customHeight="true" outlineLevel="0" collapsed="false">
      <c r="A74" s="13" t="s">
        <v>791</v>
      </c>
      <c r="F74" s="14" t="n">
        <f aca="false" t="array" ref="F74:F74">IF(INDEX(Datos!$C$296:$L$296,1,ANIO-2025)=0,0,ROUNDUP(INDEX(Datos!$C$296:$L$296,1,ANIO-2025)/U_JAULA,0))+IF(INDEX(Datos!$C$297:$L$297,1,ANIO-2025)=0,0,ROUNDUP(INDEX(Datos!$C$297:$L$297,1,ANIO-2025)/U_JAULA,0))+IF(INDEX(Datos!$C$298:$L$298,1,ANIO-2025)=0,0,ROUNDUP(INDEX(Datos!$C$298:$L$298,1,ANIO-2025)/U_JAULA,0))+IF(INDEX(Datos!$C$299:$L$299,1,ANIO-2025)=0,0,ROUNDUP(INDEX(Datos!$C$299:$L$299,1,ANIO-2025)/U_JAULA,0))+IF(INDEX(Datos!$C$300:$L$300,1,ANIO-2025)=0,0,ROUNDUP(INDEX(Datos!$C$300:$L$300,1,ANIO-2025)/U_JAULA,0))+IF(INDEX(Datos!$C$301:$L$301,1,ANIO-2025)=0,0,ROUNDUP(INDEX(Datos!$C$301:$L$301,1,ANIO-2025)/U_JAULA,0))+IF(INDEX(Datos!$C$302:$L$302,1,ANIO-2025)=0,0,ROUNDUP(INDEX(Datos!$C$302:$L$302,1,ANIO-2025)/U_JAULA,0))+IF(INDEX(Datos!$C$303:$L$303,1,ANIO-2025)=0,0,ROUNDUP(INDEX(Datos!$C$303:$L$303,1,ANIO-2025)/U_JAULA,0))+IF(INDEX(Datos!$C$304:$L$304,1,ANIO-2025)=0,0,ROUNDUP(INDEX(Datos!$C$304:$L$304,1,ANIO-2025)/U_JAULA,0))</f>
        <v>14</v>
      </c>
      <c r="G74" s="24" t="n">
        <f aca="false">M2_JAULA</f>
        <v>2.4</v>
      </c>
      <c r="H74" s="22" t="n">
        <f aca="false">F74*G74</f>
        <v>33.6</v>
      </c>
    </row>
    <row r="75" customFormat="false" ht="15.75" hidden="false" customHeight="true" outlineLevel="0" collapsed="false">
      <c r="A75" s="13" t="s">
        <v>792</v>
      </c>
      <c r="F75" s="14" t="n">
        <f aca="false" t="array" ref="F75:F75">INDEX(Datos!$C$305:$L$305,1,ANIO-2025)+INDEX(Datos!$C$306:$L$306,1,ANIO-2025)+INDEX(Datos!$C$307:$L$307,1,ANIO-2025)+INDEX(Datos!$C$308:$L$308,1,ANIO-2025)</f>
        <v>20</v>
      </c>
      <c r="G75" s="24" t="n">
        <f aca="false">M2_CARRO_PT</f>
        <v>0.71</v>
      </c>
      <c r="H75" s="22" t="n">
        <f aca="false">F75*G75</f>
        <v>14.2</v>
      </c>
    </row>
    <row r="76" customFormat="false" ht="15.75" hidden="false" customHeight="true" outlineLevel="0" collapsed="false">
      <c r="A76" s="25" t="s">
        <v>793</v>
      </c>
    </row>
    <row r="77" customFormat="false" ht="15.75" hidden="false" customHeight="true" outlineLevel="0" collapsed="false">
      <c r="A77" s="9" t="s">
        <v>794</v>
      </c>
      <c r="B77" s="9"/>
      <c r="C77" s="9"/>
      <c r="D77" s="9"/>
      <c r="E77" s="9"/>
      <c r="F77" s="9"/>
    </row>
    <row r="78" customFormat="false" ht="15.75" hidden="false" customHeight="true" outlineLevel="0" collapsed="false">
      <c r="A78" s="10" t="s">
        <v>80</v>
      </c>
      <c r="B78" s="10" t="s">
        <v>795</v>
      </c>
      <c r="C78" s="10" t="s">
        <v>796</v>
      </c>
      <c r="D78" s="10" t="s">
        <v>83</v>
      </c>
      <c r="E78" s="10" t="s">
        <v>648</v>
      </c>
      <c r="F78" s="10"/>
    </row>
    <row r="79" customFormat="false" ht="15.75" hidden="false" customHeight="true" outlineLevel="0" collapsed="false">
      <c r="A79" s="13" t="s">
        <v>797</v>
      </c>
      <c r="B79" s="14" t="n">
        <f aca="false">L64+Datos!B583</f>
        <v>85</v>
      </c>
      <c r="C79" s="14" t="n">
        <f aca="false">Datos!B584</f>
        <v>15</v>
      </c>
      <c r="D79" s="22" t="n">
        <f aca="false">Datos!B585+Datos!B586</f>
        <v>157.8</v>
      </c>
      <c r="E79" s="41" t="s">
        <v>798</v>
      </c>
      <c r="F79" s="5"/>
    </row>
    <row r="80" customFormat="false" ht="15.75" hidden="false" customHeight="true" outlineLevel="0" collapsed="false">
      <c r="A80" s="13" t="s">
        <v>799</v>
      </c>
      <c r="B80" s="40" t="n">
        <v>13</v>
      </c>
      <c r="C80" s="14" t="n">
        <f aca="false">ROUNDUP(B80/PT_NIV,0)</f>
        <v>5</v>
      </c>
      <c r="D80" s="22" t="n">
        <f aca="false">C80*PT_M2_POS</f>
        <v>18.5</v>
      </c>
      <c r="E80" s="41" t="s">
        <v>800</v>
      </c>
      <c r="F80" s="5"/>
    </row>
    <row r="81" customFormat="false" ht="15.75" hidden="false" customHeight="true" outlineLevel="0" collapsed="false">
      <c r="A81" s="13" t="s">
        <v>801</v>
      </c>
      <c r="B81" s="14" t="n">
        <f aca="false">F73</f>
        <v>8</v>
      </c>
      <c r="C81" s="14" t="n">
        <f aca="false">ROUNDUP(B81/PT_NIV,0)</f>
        <v>3</v>
      </c>
      <c r="D81" s="22" t="n">
        <f aca="false">C81*PT_M2_POS</f>
        <v>11.1</v>
      </c>
      <c r="E81" s="41" t="s">
        <v>802</v>
      </c>
      <c r="F81" s="5"/>
    </row>
    <row r="82" customFormat="false" ht="15.75" hidden="false" customHeight="true" outlineLevel="0" collapsed="false">
      <c r="A82" s="13" t="s">
        <v>803</v>
      </c>
      <c r="B82" s="14" t="n">
        <f aca="false">F74</f>
        <v>14</v>
      </c>
      <c r="C82" s="5"/>
      <c r="D82" s="22" t="n">
        <f aca="false">B82*M2_JAULA</f>
        <v>33.6</v>
      </c>
      <c r="E82" s="41" t="s">
        <v>802</v>
      </c>
      <c r="F82" s="5"/>
    </row>
    <row r="83" customFormat="false" ht="15.75" hidden="false" customHeight="true" outlineLevel="0" collapsed="false">
      <c r="A83" s="13" t="s">
        <v>804</v>
      </c>
      <c r="B83" s="16" t="s">
        <v>37</v>
      </c>
      <c r="C83" s="5"/>
      <c r="D83" s="22" t="n">
        <f aca="false">H72+Datos!B588</f>
        <v>37.352</v>
      </c>
      <c r="E83" s="41" t="s">
        <v>805</v>
      </c>
      <c r="F83" s="5"/>
    </row>
    <row r="84" customFormat="false" ht="15.75" hidden="false" customHeight="true" outlineLevel="0" collapsed="false">
      <c r="A84" s="13" t="s">
        <v>806</v>
      </c>
      <c r="B84" s="16" t="s">
        <v>37</v>
      </c>
      <c r="C84" s="5"/>
      <c r="D84" s="22" t="n">
        <f aca="false">H75</f>
        <v>14.2</v>
      </c>
      <c r="E84" s="41" t="s">
        <v>802</v>
      </c>
      <c r="F84" s="5"/>
    </row>
    <row r="85" customFormat="false" ht="15.75" hidden="false" customHeight="true" outlineLevel="0" collapsed="false">
      <c r="A85" s="4" t="s">
        <v>807</v>
      </c>
      <c r="D85" s="15" t="n">
        <f aca="false">SUM(D79:D84)</f>
        <v>272.552</v>
      </c>
    </row>
    <row r="86" customFormat="false" ht="15.75" hidden="false" customHeight="true" outlineLevel="0" collapsed="false"/>
    <row r="87" customFormat="false" ht="15.75" hidden="false" customHeight="true" outlineLevel="0" collapsed="false">
      <c r="A87" s="9" t="s">
        <v>808</v>
      </c>
      <c r="B87" s="9"/>
      <c r="C87" s="9"/>
      <c r="D87" s="9"/>
      <c r="E87" s="9"/>
      <c r="F87" s="9"/>
    </row>
    <row r="88" customFormat="false" ht="15.75" hidden="false" customHeight="true" outlineLevel="0" collapsed="false">
      <c r="A88" s="10" t="s">
        <v>809</v>
      </c>
      <c r="B88" s="10" t="s">
        <v>810</v>
      </c>
      <c r="C88" s="10" t="s">
        <v>811</v>
      </c>
      <c r="D88" s="10" t="s">
        <v>83</v>
      </c>
      <c r="E88" s="10" t="s">
        <v>812</v>
      </c>
      <c r="F88" s="10"/>
    </row>
    <row r="89" customFormat="false" ht="15.75" hidden="false" customHeight="true" outlineLevel="0" collapsed="false">
      <c r="A89" s="13" t="s">
        <v>813</v>
      </c>
      <c r="B89" s="40" t="n">
        <v>7</v>
      </c>
      <c r="C89" s="38"/>
      <c r="D89" s="22" t="n">
        <v>92.06</v>
      </c>
      <c r="E89" s="41" t="s">
        <v>814</v>
      </c>
      <c r="F89" s="5"/>
    </row>
    <row r="90" customFormat="false" ht="15.75" hidden="false" customHeight="true" outlineLevel="0" collapsed="false">
      <c r="A90" s="13" t="s">
        <v>815</v>
      </c>
      <c r="B90" s="40" t="n">
        <v>2</v>
      </c>
      <c r="C90" s="38" t="n">
        <v>2</v>
      </c>
      <c r="D90" s="22" t="n">
        <f aca="false">B90*C90</f>
        <v>4</v>
      </c>
      <c r="E90" s="41" t="s">
        <v>816</v>
      </c>
      <c r="F90" s="5"/>
    </row>
    <row r="91" customFormat="false" ht="15.75" hidden="false" customHeight="true" outlineLevel="0" collapsed="false">
      <c r="A91" s="13" t="s">
        <v>817</v>
      </c>
      <c r="B91" s="40" t="n">
        <v>16</v>
      </c>
      <c r="C91" s="38"/>
      <c r="D91" s="22" t="n">
        <v>25.56</v>
      </c>
      <c r="E91" s="41" t="s">
        <v>818</v>
      </c>
      <c r="F91" s="5"/>
    </row>
    <row r="92" customFormat="false" ht="15.75" hidden="false" customHeight="true" outlineLevel="0" collapsed="false">
      <c r="A92" s="13" t="s">
        <v>819</v>
      </c>
      <c r="B92" s="40" t="n">
        <v>8</v>
      </c>
      <c r="C92" s="38" t="n">
        <v>1</v>
      </c>
      <c r="D92" s="22" t="n">
        <f aca="false">B92*C92</f>
        <v>8</v>
      </c>
      <c r="E92" s="41" t="s">
        <v>820</v>
      </c>
      <c r="F92" s="5"/>
    </row>
    <row r="93" customFormat="false" ht="15.75" hidden="false" customHeight="true" outlineLevel="0" collapsed="false">
      <c r="A93" s="13" t="s">
        <v>438</v>
      </c>
      <c r="B93" s="40" t="n">
        <v>27</v>
      </c>
      <c r="C93" s="38" t="n">
        <v>1.23</v>
      </c>
      <c r="D93" s="22" t="n">
        <f aca="false">B93*C93</f>
        <v>33.21</v>
      </c>
      <c r="E93" s="41" t="s">
        <v>821</v>
      </c>
      <c r="F93" s="5"/>
    </row>
    <row r="94" customFormat="false" ht="15.75" hidden="false" customHeight="true" outlineLevel="0" collapsed="false">
      <c r="A94" s="13" t="s">
        <v>822</v>
      </c>
      <c r="B94" s="40" t="n">
        <v>7</v>
      </c>
      <c r="C94" s="38" t="n">
        <v>0.5</v>
      </c>
      <c r="D94" s="22" t="n">
        <f aca="false">B94*C94</f>
        <v>3.5</v>
      </c>
      <c r="E94" s="41" t="s">
        <v>823</v>
      </c>
      <c r="F94" s="5"/>
    </row>
    <row r="95" customFormat="false" ht="15.75" hidden="false" customHeight="true" outlineLevel="0" collapsed="false">
      <c r="A95" s="13" t="s">
        <v>824</v>
      </c>
      <c r="B95" s="40" t="n">
        <v>19</v>
      </c>
      <c r="C95" s="38" t="n">
        <v>1.23</v>
      </c>
      <c r="D95" s="22" t="n">
        <f aca="false">B95*C95</f>
        <v>23.37</v>
      </c>
      <c r="E95" s="41" t="s">
        <v>821</v>
      </c>
      <c r="F95" s="5"/>
    </row>
    <row r="96" customFormat="false" ht="15.75" hidden="false" customHeight="true" outlineLevel="0" collapsed="false">
      <c r="A96" s="13" t="s">
        <v>825</v>
      </c>
      <c r="B96" s="40" t="n">
        <v>7</v>
      </c>
      <c r="C96" s="38" t="n">
        <v>1.23</v>
      </c>
      <c r="D96" s="22" t="n">
        <f aca="false">B96*C96</f>
        <v>8.61</v>
      </c>
      <c r="E96" s="41" t="s">
        <v>821</v>
      </c>
      <c r="F96" s="5"/>
    </row>
    <row r="97" customFormat="false" ht="15.75" hidden="false" customHeight="true" outlineLevel="0" collapsed="false">
      <c r="A97" s="13" t="s">
        <v>826</v>
      </c>
      <c r="B97" s="40" t="n">
        <v>5</v>
      </c>
      <c r="C97" s="38" t="n">
        <v>1.23</v>
      </c>
      <c r="D97" s="22" t="n">
        <f aca="false">B97*C97</f>
        <v>6.15</v>
      </c>
      <c r="E97" s="41" t="s">
        <v>821</v>
      </c>
      <c r="F97" s="5"/>
    </row>
    <row r="98" customFormat="false" ht="15.75" hidden="false" customHeight="true" outlineLevel="0" collapsed="false">
      <c r="A98" s="13" t="s">
        <v>827</v>
      </c>
      <c r="B98" s="40" t="n">
        <v>7</v>
      </c>
      <c r="C98" s="38" t="n">
        <v>1</v>
      </c>
      <c r="D98" s="22" t="n">
        <f aca="false">B98*C98</f>
        <v>7</v>
      </c>
      <c r="E98" s="41" t="s">
        <v>828</v>
      </c>
      <c r="F98" s="5"/>
    </row>
    <row r="99" customFormat="false" ht="15.75" hidden="false" customHeight="true" outlineLevel="0" collapsed="false">
      <c r="A99" s="13" t="s">
        <v>829</v>
      </c>
      <c r="B99" s="40" t="n">
        <v>6</v>
      </c>
      <c r="C99" s="38" t="n">
        <v>0.73</v>
      </c>
      <c r="D99" s="22" t="n">
        <f aca="false">B99*C99</f>
        <v>4.38</v>
      </c>
      <c r="E99" s="41" t="s">
        <v>830</v>
      </c>
      <c r="F99" s="5"/>
    </row>
    <row r="100" customFormat="false" ht="15.75" hidden="false" customHeight="true" outlineLevel="0" collapsed="false">
      <c r="A100" s="13" t="s">
        <v>831</v>
      </c>
      <c r="B100" s="40" t="n">
        <v>8</v>
      </c>
      <c r="C100" s="38" t="n">
        <v>0.74</v>
      </c>
      <c r="D100" s="22" t="n">
        <f aca="false">B100*C100</f>
        <v>5.92</v>
      </c>
      <c r="E100" s="41" t="s">
        <v>832</v>
      </c>
      <c r="F100" s="5"/>
    </row>
    <row r="101" customFormat="false" ht="15.75" hidden="false" customHeight="true" outlineLevel="0" collapsed="false">
      <c r="A101" s="4" t="s">
        <v>833</v>
      </c>
      <c r="B101" s="43" t="n">
        <f aca="false">SUM(B89:B100)</f>
        <v>119</v>
      </c>
      <c r="D101" s="15" t="n">
        <f aca="false">SUM(D89:D100)</f>
        <v>221.76</v>
      </c>
    </row>
    <row r="102" customFormat="false" ht="15.75" hidden="false" customHeight="true" outlineLevel="0" collapsed="false">
      <c r="A102" s="13" t="s">
        <v>834</v>
      </c>
      <c r="B102" s="5"/>
      <c r="C102" s="5"/>
      <c r="D102" s="58" t="n">
        <v>17.9</v>
      </c>
      <c r="E102" s="41" t="s">
        <v>835</v>
      </c>
      <c r="F102" s="5"/>
    </row>
    <row r="103" customFormat="false" ht="15.75" hidden="false" customHeight="true" outlineLevel="0" collapsed="false">
      <c r="A103" s="13" t="s">
        <v>836</v>
      </c>
      <c r="B103" s="5"/>
      <c r="C103" s="5"/>
      <c r="D103" s="58" t="n">
        <v>9</v>
      </c>
      <c r="E103" s="41" t="s">
        <v>835</v>
      </c>
      <c r="F103" s="5"/>
    </row>
    <row r="104" customFormat="false" ht="15.75" hidden="false" customHeight="true" outlineLevel="0" collapsed="false">
      <c r="A104" s="13" t="s">
        <v>837</v>
      </c>
      <c r="B104" s="5"/>
      <c r="C104" s="5"/>
      <c r="D104" s="58" t="n">
        <v>8.55</v>
      </c>
      <c r="E104" s="41" t="s">
        <v>835</v>
      </c>
      <c r="F104" s="5"/>
    </row>
    <row r="105" customFormat="false" ht="15.75" hidden="false" customHeight="true" outlineLevel="0" collapsed="false">
      <c r="A105" s="4" t="s">
        <v>838</v>
      </c>
      <c r="D105" s="15" t="n">
        <f aca="false">SUM(D102:D104)</f>
        <v>35.45</v>
      </c>
    </row>
    <row r="106" customFormat="false" ht="15.75" hidden="false" customHeight="true" outlineLevel="0" collapsed="false">
      <c r="A106" s="25" t="s">
        <v>839</v>
      </c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4"/>
    <col collapsed="false" customWidth="true" hidden="false" outlineLevel="0" max="3" min="3" style="1" width="11"/>
    <col collapsed="false" customWidth="true" hidden="false" outlineLevel="0" max="21" min="4" style="1" width="9"/>
    <col collapsed="false" customWidth="true" hidden="false" outlineLevel="0" max="22" min="22" style="1" width="8.71"/>
  </cols>
  <sheetData>
    <row r="1" customFormat="false" ht="15" hidden="false" customHeight="true" outlineLevel="0" collapsed="false">
      <c r="A1" s="2" t="s">
        <v>840</v>
      </c>
      <c r="W1" s="1"/>
      <c r="X1" s="1"/>
      <c r="Y1" s="1"/>
      <c r="Z1" s="1"/>
    </row>
    <row r="2" customFormat="false" ht="15" hidden="false" customHeight="true" outlineLevel="0" collapsed="false">
      <c r="A2" s="3" t="s">
        <v>841</v>
      </c>
      <c r="W2" s="1"/>
      <c r="X2" s="1"/>
      <c r="Y2" s="1"/>
      <c r="Z2" s="1"/>
    </row>
    <row r="3" customFormat="false" ht="15" hidden="false" customHeight="true" outlineLevel="0" collapsed="false">
      <c r="A3" s="32" t="s">
        <v>842</v>
      </c>
      <c r="W3" s="1"/>
      <c r="X3" s="1"/>
      <c r="Y3" s="1"/>
      <c r="Z3" s="1"/>
    </row>
    <row r="4" customFormat="false" ht="15" hidden="false" customHeight="true" outlineLevel="0" collapsed="false">
      <c r="W4" s="1"/>
      <c r="X4" s="1"/>
      <c r="Y4" s="1"/>
      <c r="Z4" s="1"/>
    </row>
    <row r="5" customFormat="false" ht="15" hidden="false" customHeight="true" outlineLevel="0" collapsed="false">
      <c r="A5" s="9" t="s">
        <v>843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W5" s="1"/>
      <c r="X5" s="1"/>
      <c r="Y5" s="1"/>
      <c r="Z5" s="1"/>
    </row>
    <row r="6" customFormat="false" ht="15" hidden="false" customHeight="true" outlineLevel="0" collapsed="false">
      <c r="A6" s="10" t="s">
        <v>844</v>
      </c>
      <c r="B6" s="10" t="s">
        <v>273</v>
      </c>
      <c r="C6" s="10" t="s">
        <v>845</v>
      </c>
      <c r="D6" s="10" t="s">
        <v>356</v>
      </c>
      <c r="E6" s="10" t="s">
        <v>341</v>
      </c>
      <c r="F6" s="10" t="s">
        <v>342</v>
      </c>
      <c r="G6" s="10" t="s">
        <v>343</v>
      </c>
      <c r="H6" s="10" t="s">
        <v>344</v>
      </c>
      <c r="I6" s="10" t="s">
        <v>345</v>
      </c>
      <c r="J6" s="10" t="s">
        <v>346</v>
      </c>
      <c r="K6" s="10" t="s">
        <v>347</v>
      </c>
      <c r="L6" s="10" t="s">
        <v>348</v>
      </c>
      <c r="M6" s="10" t="s">
        <v>349</v>
      </c>
      <c r="N6" s="10" t="s">
        <v>350</v>
      </c>
      <c r="O6" s="10" t="s">
        <v>351</v>
      </c>
      <c r="P6" s="10" t="s">
        <v>352</v>
      </c>
      <c r="Q6" s="10" t="s">
        <v>363</v>
      </c>
      <c r="W6" s="1"/>
      <c r="X6" s="1"/>
      <c r="Y6" s="1"/>
      <c r="Z6" s="1"/>
    </row>
    <row r="7" customFormat="false" ht="15" hidden="false" customHeight="true" outlineLevel="0" collapsed="false">
      <c r="A7" s="42" t="n">
        <v>2026</v>
      </c>
      <c r="B7" s="13" t="s">
        <v>770</v>
      </c>
      <c r="C7" s="13" t="s">
        <v>846</v>
      </c>
      <c r="D7" s="16" t="s">
        <v>233</v>
      </c>
      <c r="E7" s="22" t="n">
        <v>501.4483851</v>
      </c>
      <c r="F7" s="22" t="n">
        <v>376.0862888</v>
      </c>
      <c r="G7" s="22" t="n">
        <v>334.2989234</v>
      </c>
      <c r="H7" s="22" t="n">
        <v>313.4052407</v>
      </c>
      <c r="I7" s="22" t="n">
        <v>292.511558</v>
      </c>
      <c r="J7" s="22" t="n">
        <v>292.511558</v>
      </c>
      <c r="K7" s="22" t="n">
        <v>313.4052407</v>
      </c>
      <c r="L7" s="22" t="n">
        <v>313.4052407</v>
      </c>
      <c r="M7" s="22" t="n">
        <v>313.4052407</v>
      </c>
      <c r="N7" s="22" t="n">
        <v>313.4052407</v>
      </c>
      <c r="O7" s="22" t="n">
        <v>313.4052407</v>
      </c>
      <c r="P7" s="22" t="n">
        <v>501.4483851</v>
      </c>
      <c r="Q7" s="22" t="n">
        <f aca="false">SUM(E7:P7)</f>
        <v>4178.7365426</v>
      </c>
      <c r="W7" s="1"/>
      <c r="X7" s="1"/>
      <c r="Y7" s="1"/>
      <c r="Z7" s="1"/>
    </row>
    <row r="8" customFormat="false" ht="15" hidden="false" customHeight="true" outlineLevel="0" collapsed="false">
      <c r="A8" s="42" t="n">
        <v>2026</v>
      </c>
      <c r="B8" s="13" t="s">
        <v>771</v>
      </c>
      <c r="C8" s="13" t="s">
        <v>846</v>
      </c>
      <c r="D8" s="16" t="s">
        <v>234</v>
      </c>
      <c r="E8" s="22" t="n">
        <v>29.70303572</v>
      </c>
      <c r="F8" s="22" t="n">
        <v>23.76242858</v>
      </c>
      <c r="G8" s="22" t="n">
        <v>25.24758036</v>
      </c>
      <c r="H8" s="22" t="n">
        <v>25.24758036</v>
      </c>
      <c r="I8" s="22" t="n">
        <v>23.76242858</v>
      </c>
      <c r="J8" s="22" t="n">
        <v>22.27727679</v>
      </c>
      <c r="K8" s="22" t="n">
        <v>23.76242858</v>
      </c>
      <c r="L8" s="22" t="n">
        <v>23.76242858</v>
      </c>
      <c r="M8" s="22" t="n">
        <v>23.76242858</v>
      </c>
      <c r="N8" s="22" t="n">
        <v>22.27727679</v>
      </c>
      <c r="O8" s="22" t="n">
        <v>20.79212501</v>
      </c>
      <c r="P8" s="22" t="n">
        <v>32.67333929</v>
      </c>
      <c r="Q8" s="22" t="n">
        <f aca="false">SUM(E8:P8)</f>
        <v>297.03035722</v>
      </c>
      <c r="W8" s="1"/>
      <c r="X8" s="1"/>
      <c r="Y8" s="1"/>
      <c r="Z8" s="1"/>
    </row>
    <row r="9" customFormat="false" ht="15" hidden="false" customHeight="true" outlineLevel="0" collapsed="false">
      <c r="A9" s="42" t="n">
        <v>2026</v>
      </c>
      <c r="B9" s="13" t="s">
        <v>772</v>
      </c>
      <c r="C9" s="13" t="s">
        <v>846</v>
      </c>
      <c r="D9" s="16" t="s">
        <v>235</v>
      </c>
      <c r="E9" s="22" t="n">
        <v>226.4773025</v>
      </c>
      <c r="F9" s="22" t="n">
        <v>181.181842</v>
      </c>
      <c r="G9" s="22" t="n">
        <v>192.5057071</v>
      </c>
      <c r="H9" s="22" t="n">
        <v>192.5057071</v>
      </c>
      <c r="I9" s="22" t="n">
        <v>181.181842</v>
      </c>
      <c r="J9" s="22" t="n">
        <v>169.8579769</v>
      </c>
      <c r="K9" s="22" t="n">
        <v>181.181842</v>
      </c>
      <c r="L9" s="22" t="n">
        <v>181.181842</v>
      </c>
      <c r="M9" s="22" t="n">
        <v>181.181842</v>
      </c>
      <c r="N9" s="22" t="n">
        <v>169.8579769</v>
      </c>
      <c r="O9" s="22" t="n">
        <v>158.5341117</v>
      </c>
      <c r="P9" s="22" t="n">
        <v>249.1250327</v>
      </c>
      <c r="Q9" s="22" t="n">
        <f aca="false">SUM(E9:P9)</f>
        <v>2264.7730249</v>
      </c>
      <c r="W9" s="1"/>
      <c r="X9" s="1"/>
      <c r="Y9" s="1"/>
      <c r="Z9" s="1"/>
    </row>
    <row r="10" customFormat="false" ht="15" hidden="false" customHeight="true" outlineLevel="0" collapsed="false">
      <c r="A10" s="42" t="n">
        <v>2026</v>
      </c>
      <c r="B10" s="13" t="s">
        <v>773</v>
      </c>
      <c r="C10" s="13" t="s">
        <v>846</v>
      </c>
      <c r="D10" s="16" t="s">
        <v>236</v>
      </c>
      <c r="E10" s="22" t="n">
        <v>9.283318153</v>
      </c>
      <c r="F10" s="22" t="n">
        <v>7.426654522</v>
      </c>
      <c r="G10" s="22" t="n">
        <v>7.89082043</v>
      </c>
      <c r="H10" s="22" t="n">
        <v>7.89082043</v>
      </c>
      <c r="I10" s="22" t="n">
        <v>7.426654522</v>
      </c>
      <c r="J10" s="22" t="n">
        <v>6.962488614</v>
      </c>
      <c r="K10" s="22" t="n">
        <v>7.426654522</v>
      </c>
      <c r="L10" s="22" t="n">
        <v>7.426654522</v>
      </c>
      <c r="M10" s="22" t="n">
        <v>7.426654522</v>
      </c>
      <c r="N10" s="22" t="n">
        <v>6.962488614</v>
      </c>
      <c r="O10" s="22" t="n">
        <v>6.498322707</v>
      </c>
      <c r="P10" s="22" t="n">
        <v>10.21164997</v>
      </c>
      <c r="Q10" s="22" t="n">
        <f aca="false">SUM(E10:P10)</f>
        <v>92.833181528</v>
      </c>
      <c r="W10" s="1"/>
      <c r="X10" s="1"/>
      <c r="Y10" s="1"/>
      <c r="Z10" s="1"/>
    </row>
    <row r="11" customFormat="false" ht="15" hidden="false" customHeight="true" outlineLevel="0" collapsed="false">
      <c r="A11" s="42" t="n">
        <v>2026</v>
      </c>
      <c r="B11" s="13" t="s">
        <v>774</v>
      </c>
      <c r="C11" s="13" t="s">
        <v>847</v>
      </c>
      <c r="D11" s="16" t="s">
        <v>233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f aca="false">SUM(E11:P11)</f>
        <v>0</v>
      </c>
      <c r="W11" s="1"/>
      <c r="X11" s="1"/>
      <c r="Y11" s="1"/>
      <c r="Z11" s="1"/>
    </row>
    <row r="12" customFormat="false" ht="15" hidden="false" customHeight="true" outlineLevel="0" collapsed="false">
      <c r="A12" s="42" t="n">
        <v>2026</v>
      </c>
      <c r="B12" s="13" t="s">
        <v>775</v>
      </c>
      <c r="C12" s="13" t="s">
        <v>847</v>
      </c>
      <c r="D12" s="16" t="s">
        <v>234</v>
      </c>
      <c r="E12" s="22" t="n">
        <v>0.3</v>
      </c>
      <c r="F12" s="22" t="n">
        <v>0.24</v>
      </c>
      <c r="G12" s="22" t="n">
        <v>0.255</v>
      </c>
      <c r="H12" s="22" t="n">
        <v>0.255</v>
      </c>
      <c r="I12" s="22" t="n">
        <v>0.24</v>
      </c>
      <c r="J12" s="22" t="n">
        <v>0.225</v>
      </c>
      <c r="K12" s="22" t="n">
        <v>0.24</v>
      </c>
      <c r="L12" s="22" t="n">
        <v>0.24</v>
      </c>
      <c r="M12" s="22" t="n">
        <v>0.24</v>
      </c>
      <c r="N12" s="22" t="n">
        <v>0.225</v>
      </c>
      <c r="O12" s="22" t="n">
        <v>0.21</v>
      </c>
      <c r="P12" s="22" t="n">
        <v>0.33</v>
      </c>
      <c r="Q12" s="22" t="n">
        <f aca="false">SUM(E12:P12)</f>
        <v>3</v>
      </c>
      <c r="W12" s="1"/>
      <c r="X12" s="1"/>
      <c r="Y12" s="1"/>
      <c r="Z12" s="1"/>
    </row>
    <row r="13" customFormat="false" ht="15" hidden="false" customHeight="true" outlineLevel="0" collapsed="false">
      <c r="A13" s="42" t="n">
        <v>2026</v>
      </c>
      <c r="B13" s="13" t="s">
        <v>776</v>
      </c>
      <c r="C13" s="13" t="s">
        <v>847</v>
      </c>
      <c r="D13" s="16" t="s">
        <v>235</v>
      </c>
      <c r="E13" s="22" t="n">
        <v>1.7</v>
      </c>
      <c r="F13" s="22" t="n">
        <v>1.36</v>
      </c>
      <c r="G13" s="22" t="n">
        <v>1.445</v>
      </c>
      <c r="H13" s="22" t="n">
        <v>1.445</v>
      </c>
      <c r="I13" s="22" t="n">
        <v>1.36</v>
      </c>
      <c r="J13" s="22" t="n">
        <v>1.275</v>
      </c>
      <c r="K13" s="22" t="n">
        <v>1.36</v>
      </c>
      <c r="L13" s="22" t="n">
        <v>1.36</v>
      </c>
      <c r="M13" s="22" t="n">
        <v>1.36</v>
      </c>
      <c r="N13" s="22" t="n">
        <v>1.275</v>
      </c>
      <c r="O13" s="22" t="n">
        <v>1.19</v>
      </c>
      <c r="P13" s="22" t="n">
        <v>1.87</v>
      </c>
      <c r="Q13" s="22" t="n">
        <f aca="false">SUM(E13:P13)</f>
        <v>17</v>
      </c>
      <c r="W13" s="1"/>
      <c r="X13" s="1"/>
      <c r="Y13" s="1"/>
      <c r="Z13" s="1"/>
    </row>
    <row r="14" customFormat="false" ht="15" hidden="false" customHeight="true" outlineLevel="0" collapsed="false">
      <c r="A14" s="42" t="n">
        <v>2026</v>
      </c>
      <c r="B14" s="13" t="s">
        <v>777</v>
      </c>
      <c r="C14" s="13" t="s">
        <v>847</v>
      </c>
      <c r="D14" s="16" t="s">
        <v>236</v>
      </c>
      <c r="E14" s="22" t="n">
        <v>0.2</v>
      </c>
      <c r="F14" s="22" t="n">
        <v>0.16</v>
      </c>
      <c r="G14" s="22" t="n">
        <v>0.17</v>
      </c>
      <c r="H14" s="22" t="n">
        <v>0.17</v>
      </c>
      <c r="I14" s="22" t="n">
        <v>0.16</v>
      </c>
      <c r="J14" s="22" t="n">
        <v>0.15</v>
      </c>
      <c r="K14" s="22" t="n">
        <v>0.16</v>
      </c>
      <c r="L14" s="22" t="n">
        <v>0.16</v>
      </c>
      <c r="M14" s="22" t="n">
        <v>0.16</v>
      </c>
      <c r="N14" s="22" t="n">
        <v>0.15</v>
      </c>
      <c r="O14" s="22" t="n">
        <v>0.14</v>
      </c>
      <c r="P14" s="22" t="n">
        <v>0.22</v>
      </c>
      <c r="Q14" s="22" t="n">
        <f aca="false">SUM(E14:P14)</f>
        <v>2</v>
      </c>
      <c r="W14" s="1"/>
      <c r="X14" s="1"/>
      <c r="Y14" s="1"/>
      <c r="Z14" s="1"/>
    </row>
    <row r="15" customFormat="false" ht="15" hidden="false" customHeight="true" outlineLevel="0" collapsed="false">
      <c r="A15" s="42" t="n">
        <v>2027</v>
      </c>
      <c r="B15" s="13" t="s">
        <v>770</v>
      </c>
      <c r="C15" s="13" t="s">
        <v>846</v>
      </c>
      <c r="D15" s="16" t="s">
        <v>233</v>
      </c>
      <c r="E15" s="22" t="n">
        <v>719.6764772</v>
      </c>
      <c r="F15" s="22" t="n">
        <v>539.7573579</v>
      </c>
      <c r="G15" s="22" t="n">
        <v>479.7843181</v>
      </c>
      <c r="H15" s="22" t="n">
        <v>449.7977982</v>
      </c>
      <c r="I15" s="22" t="n">
        <v>419.8112784</v>
      </c>
      <c r="J15" s="22" t="n">
        <v>419.8112784</v>
      </c>
      <c r="K15" s="22" t="n">
        <v>449.7977982</v>
      </c>
      <c r="L15" s="22" t="n">
        <v>449.7977982</v>
      </c>
      <c r="M15" s="22" t="n">
        <v>449.7977982</v>
      </c>
      <c r="N15" s="22" t="n">
        <v>449.7977982</v>
      </c>
      <c r="O15" s="22" t="n">
        <v>449.7977982</v>
      </c>
      <c r="P15" s="22" t="n">
        <v>719.6764772</v>
      </c>
      <c r="Q15" s="22" t="n">
        <f aca="false">SUM(E15:P15)</f>
        <v>5997.3039764</v>
      </c>
      <c r="W15" s="1"/>
      <c r="X15" s="1"/>
      <c r="Y15" s="1"/>
      <c r="Z15" s="1"/>
    </row>
    <row r="16" customFormat="false" ht="15" hidden="false" customHeight="true" outlineLevel="0" collapsed="false">
      <c r="A16" s="42" t="n">
        <v>2027</v>
      </c>
      <c r="B16" s="13" t="s">
        <v>771</v>
      </c>
      <c r="C16" s="13" t="s">
        <v>846</v>
      </c>
      <c r="D16" s="16" t="s">
        <v>234</v>
      </c>
      <c r="E16" s="22" t="n">
        <v>71.48874503</v>
      </c>
      <c r="F16" s="22" t="n">
        <v>57.19099603</v>
      </c>
      <c r="G16" s="22" t="n">
        <v>60.76543328</v>
      </c>
      <c r="H16" s="22" t="n">
        <v>60.76543328</v>
      </c>
      <c r="I16" s="22" t="n">
        <v>57.19099603</v>
      </c>
      <c r="J16" s="22" t="n">
        <v>53.61655878</v>
      </c>
      <c r="K16" s="22" t="n">
        <v>57.19099603</v>
      </c>
      <c r="L16" s="22" t="n">
        <v>57.19099603</v>
      </c>
      <c r="M16" s="22" t="n">
        <v>57.19099603</v>
      </c>
      <c r="N16" s="22" t="n">
        <v>53.61655878</v>
      </c>
      <c r="O16" s="22" t="n">
        <v>50.04212152</v>
      </c>
      <c r="P16" s="22" t="n">
        <v>78.63761954</v>
      </c>
      <c r="Q16" s="22" t="n">
        <f aca="false">SUM(E16:P16)</f>
        <v>714.88745036</v>
      </c>
      <c r="W16" s="1"/>
      <c r="X16" s="1"/>
      <c r="Y16" s="1"/>
      <c r="Z16" s="1"/>
    </row>
    <row r="17" customFormat="false" ht="15" hidden="false" customHeight="true" outlineLevel="0" collapsed="false">
      <c r="A17" s="42" t="n">
        <v>2027</v>
      </c>
      <c r="B17" s="13" t="s">
        <v>772</v>
      </c>
      <c r="C17" s="13" t="s">
        <v>846</v>
      </c>
      <c r="D17" s="16" t="s">
        <v>235</v>
      </c>
      <c r="E17" s="22" t="n">
        <v>387.4698881</v>
      </c>
      <c r="F17" s="22" t="n">
        <v>309.9759105</v>
      </c>
      <c r="G17" s="22" t="n">
        <v>329.3494049</v>
      </c>
      <c r="H17" s="22" t="n">
        <v>329.3494049</v>
      </c>
      <c r="I17" s="22" t="n">
        <v>309.9759105</v>
      </c>
      <c r="J17" s="22" t="n">
        <v>290.6024161</v>
      </c>
      <c r="K17" s="22" t="n">
        <v>309.9759105</v>
      </c>
      <c r="L17" s="22" t="n">
        <v>309.9759105</v>
      </c>
      <c r="M17" s="22" t="n">
        <v>309.9759105</v>
      </c>
      <c r="N17" s="22" t="n">
        <v>290.6024161</v>
      </c>
      <c r="O17" s="22" t="n">
        <v>271.2289217</v>
      </c>
      <c r="P17" s="22" t="n">
        <v>426.2168769</v>
      </c>
      <c r="Q17" s="22" t="n">
        <f aca="false">SUM(E17:P17)</f>
        <v>3874.6988812</v>
      </c>
      <c r="W17" s="1"/>
      <c r="X17" s="1"/>
      <c r="Y17" s="1"/>
      <c r="Z17" s="1"/>
    </row>
    <row r="18" customFormat="false" ht="15" hidden="false" customHeight="true" outlineLevel="0" collapsed="false">
      <c r="A18" s="42" t="n">
        <v>2027</v>
      </c>
      <c r="B18" s="13" t="s">
        <v>773</v>
      </c>
      <c r="C18" s="13" t="s">
        <v>846</v>
      </c>
      <c r="D18" s="16" t="s">
        <v>236</v>
      </c>
      <c r="E18" s="22" t="n">
        <v>17.93272967</v>
      </c>
      <c r="F18" s="22" t="n">
        <v>14.34618373</v>
      </c>
      <c r="G18" s="22" t="n">
        <v>15.24282022</v>
      </c>
      <c r="H18" s="22" t="n">
        <v>15.24282022</v>
      </c>
      <c r="I18" s="22" t="n">
        <v>14.34618373</v>
      </c>
      <c r="J18" s="22" t="n">
        <v>13.44954725</v>
      </c>
      <c r="K18" s="22" t="n">
        <v>14.34618373</v>
      </c>
      <c r="L18" s="22" t="n">
        <v>14.34618373</v>
      </c>
      <c r="M18" s="22" t="n">
        <v>14.34618373</v>
      </c>
      <c r="N18" s="22" t="n">
        <v>13.44954725</v>
      </c>
      <c r="O18" s="22" t="n">
        <v>12.55291077</v>
      </c>
      <c r="P18" s="22" t="n">
        <v>19.72600264</v>
      </c>
      <c r="Q18" s="22" t="n">
        <f aca="false">SUM(E18:P18)</f>
        <v>179.32729667</v>
      </c>
      <c r="W18" s="1"/>
      <c r="X18" s="1"/>
      <c r="Y18" s="1"/>
      <c r="Z18" s="1"/>
    </row>
    <row r="19" customFormat="false" ht="15" hidden="false" customHeight="true" outlineLevel="0" collapsed="false">
      <c r="A19" s="42" t="n">
        <v>2027</v>
      </c>
      <c r="B19" s="13" t="s">
        <v>774</v>
      </c>
      <c r="C19" s="13" t="s">
        <v>847</v>
      </c>
      <c r="D19" s="16" t="s">
        <v>233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0</v>
      </c>
      <c r="Q19" s="22" t="n">
        <f aca="false">SUM(E19:P19)</f>
        <v>0</v>
      </c>
      <c r="W19" s="1"/>
      <c r="X19" s="1"/>
      <c r="Y19" s="1"/>
      <c r="Z19" s="1"/>
    </row>
    <row r="20" customFormat="false" ht="15" hidden="false" customHeight="true" outlineLevel="0" collapsed="false">
      <c r="A20" s="42" t="n">
        <v>2027</v>
      </c>
      <c r="B20" s="13" t="s">
        <v>775</v>
      </c>
      <c r="C20" s="13" t="s">
        <v>847</v>
      </c>
      <c r="D20" s="16" t="s">
        <v>234</v>
      </c>
      <c r="E20" s="22" t="n">
        <v>0.924</v>
      </c>
      <c r="F20" s="22" t="n">
        <v>0.7392</v>
      </c>
      <c r="G20" s="22" t="n">
        <v>0.7854</v>
      </c>
      <c r="H20" s="22" t="n">
        <v>0.7854</v>
      </c>
      <c r="I20" s="22" t="n">
        <v>0.7392</v>
      </c>
      <c r="J20" s="22" t="n">
        <v>0.693</v>
      </c>
      <c r="K20" s="22" t="n">
        <v>0.7392</v>
      </c>
      <c r="L20" s="22" t="n">
        <v>0.7392</v>
      </c>
      <c r="M20" s="22" t="n">
        <v>0.7392</v>
      </c>
      <c r="N20" s="22" t="n">
        <v>0.693</v>
      </c>
      <c r="O20" s="22" t="n">
        <v>0.6468</v>
      </c>
      <c r="P20" s="22" t="n">
        <v>1.0164</v>
      </c>
      <c r="Q20" s="22" t="n">
        <f aca="false">SUM(E20:P20)</f>
        <v>9.24</v>
      </c>
      <c r="W20" s="1"/>
      <c r="X20" s="1"/>
      <c r="Y20" s="1"/>
      <c r="Z20" s="1"/>
    </row>
    <row r="21" customFormat="false" ht="15.75" hidden="false" customHeight="true" outlineLevel="0" collapsed="false">
      <c r="A21" s="42" t="n">
        <v>2027</v>
      </c>
      <c r="B21" s="13" t="s">
        <v>776</v>
      </c>
      <c r="C21" s="13" t="s">
        <v>847</v>
      </c>
      <c r="D21" s="16" t="s">
        <v>235</v>
      </c>
      <c r="E21" s="22" t="n">
        <v>5.336</v>
      </c>
      <c r="F21" s="22" t="n">
        <v>4.2688</v>
      </c>
      <c r="G21" s="22" t="n">
        <v>4.5356</v>
      </c>
      <c r="H21" s="22" t="n">
        <v>4.5356</v>
      </c>
      <c r="I21" s="22" t="n">
        <v>4.2688</v>
      </c>
      <c r="J21" s="22" t="n">
        <v>4.002</v>
      </c>
      <c r="K21" s="22" t="n">
        <v>4.2688</v>
      </c>
      <c r="L21" s="22" t="n">
        <v>4.2688</v>
      </c>
      <c r="M21" s="22" t="n">
        <v>4.2688</v>
      </c>
      <c r="N21" s="22" t="n">
        <v>4.002</v>
      </c>
      <c r="O21" s="22" t="n">
        <v>3.7352</v>
      </c>
      <c r="P21" s="22" t="n">
        <v>5.8696</v>
      </c>
      <c r="Q21" s="22" t="n">
        <f aca="false">SUM(E21:P21)</f>
        <v>53.36</v>
      </c>
      <c r="W21" s="1"/>
      <c r="X21" s="1"/>
      <c r="Y21" s="1"/>
      <c r="Z21" s="1"/>
    </row>
    <row r="22" customFormat="false" ht="15.75" hidden="false" customHeight="true" outlineLevel="0" collapsed="false">
      <c r="A22" s="42" t="n">
        <v>2027</v>
      </c>
      <c r="B22" s="13" t="s">
        <v>777</v>
      </c>
      <c r="C22" s="13" t="s">
        <v>847</v>
      </c>
      <c r="D22" s="16" t="s">
        <v>236</v>
      </c>
      <c r="E22" s="22" t="n">
        <v>0.316</v>
      </c>
      <c r="F22" s="22" t="n">
        <v>0.2528</v>
      </c>
      <c r="G22" s="22" t="n">
        <v>0.2686</v>
      </c>
      <c r="H22" s="22" t="n">
        <v>0.2686</v>
      </c>
      <c r="I22" s="22" t="n">
        <v>0.2528</v>
      </c>
      <c r="J22" s="22" t="n">
        <v>0.237</v>
      </c>
      <c r="K22" s="22" t="n">
        <v>0.2528</v>
      </c>
      <c r="L22" s="22" t="n">
        <v>0.2528</v>
      </c>
      <c r="M22" s="22" t="n">
        <v>0.2528</v>
      </c>
      <c r="N22" s="22" t="n">
        <v>0.237</v>
      </c>
      <c r="O22" s="22" t="n">
        <v>0.2212</v>
      </c>
      <c r="P22" s="22" t="n">
        <v>0.3476</v>
      </c>
      <c r="Q22" s="22" t="n">
        <f aca="false">SUM(E22:P22)</f>
        <v>3.16</v>
      </c>
      <c r="W22" s="1"/>
      <c r="X22" s="1"/>
      <c r="Y22" s="1"/>
      <c r="Z22" s="1"/>
    </row>
    <row r="23" customFormat="false" ht="15.75" hidden="false" customHeight="true" outlineLevel="0" collapsed="false">
      <c r="A23" s="42" t="n">
        <v>2028</v>
      </c>
      <c r="B23" s="13" t="s">
        <v>770</v>
      </c>
      <c r="C23" s="13" t="s">
        <v>846</v>
      </c>
      <c r="D23" s="16" t="s">
        <v>233</v>
      </c>
      <c r="E23" s="22" t="n">
        <v>822.209731</v>
      </c>
      <c r="F23" s="22" t="n">
        <v>616.6572982</v>
      </c>
      <c r="G23" s="22" t="n">
        <v>548.1398206</v>
      </c>
      <c r="H23" s="22" t="n">
        <v>513.8810818</v>
      </c>
      <c r="I23" s="22" t="n">
        <v>479.6223431</v>
      </c>
      <c r="J23" s="22" t="n">
        <v>479.6223431</v>
      </c>
      <c r="K23" s="22" t="n">
        <v>513.8810818</v>
      </c>
      <c r="L23" s="22" t="n">
        <v>513.8810818</v>
      </c>
      <c r="M23" s="22" t="n">
        <v>513.8810818</v>
      </c>
      <c r="N23" s="22" t="n">
        <v>513.8810818</v>
      </c>
      <c r="O23" s="22" t="n">
        <v>513.8810818</v>
      </c>
      <c r="P23" s="22" t="n">
        <v>822.209731</v>
      </c>
      <c r="Q23" s="22" t="n">
        <f aca="false">SUM(E23:P23)</f>
        <v>6851.7477578</v>
      </c>
      <c r="W23" s="1"/>
      <c r="X23" s="1"/>
      <c r="Y23" s="1"/>
      <c r="Z23" s="1"/>
    </row>
    <row r="24" customFormat="false" ht="15.75" hidden="false" customHeight="true" outlineLevel="0" collapsed="false">
      <c r="A24" s="42" t="n">
        <v>2028</v>
      </c>
      <c r="B24" s="13" t="s">
        <v>771</v>
      </c>
      <c r="C24" s="13" t="s">
        <v>846</v>
      </c>
      <c r="D24" s="16" t="s">
        <v>234</v>
      </c>
      <c r="E24" s="22" t="n">
        <v>99.44280576</v>
      </c>
      <c r="F24" s="22" t="n">
        <v>79.55424461</v>
      </c>
      <c r="G24" s="22" t="n">
        <v>84.5263849</v>
      </c>
      <c r="H24" s="22" t="n">
        <v>84.5263849</v>
      </c>
      <c r="I24" s="22" t="n">
        <v>79.55424461</v>
      </c>
      <c r="J24" s="22" t="n">
        <v>74.58210432</v>
      </c>
      <c r="K24" s="22" t="n">
        <v>79.55424461</v>
      </c>
      <c r="L24" s="22" t="n">
        <v>79.55424461</v>
      </c>
      <c r="M24" s="22" t="n">
        <v>79.55424461</v>
      </c>
      <c r="N24" s="22" t="n">
        <v>74.58210432</v>
      </c>
      <c r="O24" s="22" t="n">
        <v>69.60996403</v>
      </c>
      <c r="P24" s="22" t="n">
        <v>109.3870863</v>
      </c>
      <c r="Q24" s="22" t="n">
        <f aca="false">SUM(E24:P24)</f>
        <v>994.42805758</v>
      </c>
      <c r="W24" s="1"/>
      <c r="X24" s="1"/>
      <c r="Y24" s="1"/>
      <c r="Z24" s="1"/>
    </row>
    <row r="25" customFormat="false" ht="15.75" hidden="false" customHeight="true" outlineLevel="0" collapsed="false">
      <c r="A25" s="42" t="n">
        <v>2028</v>
      </c>
      <c r="B25" s="13" t="s">
        <v>772</v>
      </c>
      <c r="C25" s="13" t="s">
        <v>846</v>
      </c>
      <c r="D25" s="16" t="s">
        <v>235</v>
      </c>
      <c r="E25" s="22" t="n">
        <v>514.1417591</v>
      </c>
      <c r="F25" s="22" t="n">
        <v>411.3134072</v>
      </c>
      <c r="G25" s="22" t="n">
        <v>437.0204952</v>
      </c>
      <c r="H25" s="22" t="n">
        <v>437.0204952</v>
      </c>
      <c r="I25" s="22" t="n">
        <v>411.3134072</v>
      </c>
      <c r="J25" s="22" t="n">
        <v>385.6063193</v>
      </c>
      <c r="K25" s="22" t="n">
        <v>411.3134072</v>
      </c>
      <c r="L25" s="22" t="n">
        <v>411.3134072</v>
      </c>
      <c r="M25" s="22" t="n">
        <v>411.3134072</v>
      </c>
      <c r="N25" s="22" t="n">
        <v>385.6063193</v>
      </c>
      <c r="O25" s="22" t="n">
        <v>359.8992313</v>
      </c>
      <c r="P25" s="22" t="n">
        <v>565.555935</v>
      </c>
      <c r="Q25" s="22" t="n">
        <f aca="false">SUM(E25:P25)</f>
        <v>5141.4175904</v>
      </c>
      <c r="W25" s="1"/>
      <c r="X25" s="1"/>
      <c r="Y25" s="1"/>
      <c r="Z25" s="1"/>
    </row>
    <row r="26" customFormat="false" ht="15.75" hidden="false" customHeight="true" outlineLevel="0" collapsed="false">
      <c r="A26" s="42" t="n">
        <v>2028</v>
      </c>
      <c r="B26" s="13" t="s">
        <v>773</v>
      </c>
      <c r="C26" s="13" t="s">
        <v>846</v>
      </c>
      <c r="D26" s="16" t="s">
        <v>236</v>
      </c>
      <c r="E26" s="22" t="n">
        <v>25.62187798</v>
      </c>
      <c r="F26" s="22" t="n">
        <v>20.49750238</v>
      </c>
      <c r="G26" s="22" t="n">
        <v>21.77859628</v>
      </c>
      <c r="H26" s="22" t="n">
        <v>21.77859628</v>
      </c>
      <c r="I26" s="22" t="n">
        <v>20.49750238</v>
      </c>
      <c r="J26" s="22" t="n">
        <v>19.21640848</v>
      </c>
      <c r="K26" s="22" t="n">
        <v>20.49750238</v>
      </c>
      <c r="L26" s="22" t="n">
        <v>20.49750238</v>
      </c>
      <c r="M26" s="22" t="n">
        <v>20.49750238</v>
      </c>
      <c r="N26" s="22" t="n">
        <v>19.21640848</v>
      </c>
      <c r="O26" s="22" t="n">
        <v>17.93531459</v>
      </c>
      <c r="P26" s="22" t="n">
        <v>28.18406578</v>
      </c>
      <c r="Q26" s="22" t="n">
        <f aca="false">SUM(E26:P26)</f>
        <v>256.21877977</v>
      </c>
      <c r="W26" s="1"/>
      <c r="X26" s="1"/>
      <c r="Y26" s="1"/>
      <c r="Z26" s="1"/>
    </row>
    <row r="27" customFormat="false" ht="15.75" hidden="false" customHeight="true" outlineLevel="0" collapsed="false">
      <c r="A27" s="42" t="n">
        <v>2028</v>
      </c>
      <c r="B27" s="13" t="s">
        <v>774</v>
      </c>
      <c r="C27" s="13" t="s">
        <v>847</v>
      </c>
      <c r="D27" s="16" t="s">
        <v>233</v>
      </c>
      <c r="E27" s="22" t="n">
        <v>919.488</v>
      </c>
      <c r="F27" s="22" t="n">
        <v>689.616</v>
      </c>
      <c r="G27" s="22" t="n">
        <v>612.992</v>
      </c>
      <c r="H27" s="22" t="n">
        <v>574.68</v>
      </c>
      <c r="I27" s="22" t="n">
        <v>536.368</v>
      </c>
      <c r="J27" s="22" t="n">
        <v>536.368</v>
      </c>
      <c r="K27" s="22" t="n">
        <v>574.68</v>
      </c>
      <c r="L27" s="22" t="n">
        <v>574.68</v>
      </c>
      <c r="M27" s="22" t="n">
        <v>574.68</v>
      </c>
      <c r="N27" s="22" t="n">
        <v>574.68</v>
      </c>
      <c r="O27" s="22" t="n">
        <v>574.68</v>
      </c>
      <c r="P27" s="22" t="n">
        <v>919.488</v>
      </c>
      <c r="Q27" s="22" t="n">
        <f aca="false">SUM(E27:P27)</f>
        <v>7662.4</v>
      </c>
      <c r="W27" s="1"/>
      <c r="X27" s="1"/>
      <c r="Y27" s="1"/>
      <c r="Z27" s="1"/>
    </row>
    <row r="28" customFormat="false" ht="15.75" hidden="false" customHeight="true" outlineLevel="0" collapsed="false">
      <c r="A28" s="42" t="n">
        <v>2028</v>
      </c>
      <c r="B28" s="13" t="s">
        <v>775</v>
      </c>
      <c r="C28" s="13" t="s">
        <v>847</v>
      </c>
      <c r="D28" s="16" t="s">
        <v>234</v>
      </c>
      <c r="E28" s="22" t="n">
        <v>31.556</v>
      </c>
      <c r="F28" s="22" t="n">
        <v>25.2448</v>
      </c>
      <c r="G28" s="22" t="n">
        <v>26.8226</v>
      </c>
      <c r="H28" s="22" t="n">
        <v>26.8226</v>
      </c>
      <c r="I28" s="22" t="n">
        <v>25.2448</v>
      </c>
      <c r="J28" s="22" t="n">
        <v>23.667</v>
      </c>
      <c r="K28" s="22" t="n">
        <v>25.2448</v>
      </c>
      <c r="L28" s="22" t="n">
        <v>25.2448</v>
      </c>
      <c r="M28" s="22" t="n">
        <v>25.2448</v>
      </c>
      <c r="N28" s="22" t="n">
        <v>23.667</v>
      </c>
      <c r="O28" s="22" t="n">
        <v>22.0892</v>
      </c>
      <c r="P28" s="22" t="n">
        <v>34.7116</v>
      </c>
      <c r="Q28" s="22" t="n">
        <f aca="false">SUM(E28:P28)</f>
        <v>315.56</v>
      </c>
      <c r="W28" s="1"/>
      <c r="X28" s="1"/>
      <c r="Y28" s="1"/>
      <c r="Z28" s="1"/>
    </row>
    <row r="29" customFormat="false" ht="15.75" hidden="false" customHeight="true" outlineLevel="0" collapsed="false">
      <c r="A29" s="42" t="n">
        <v>2028</v>
      </c>
      <c r="B29" s="13" t="s">
        <v>776</v>
      </c>
      <c r="C29" s="13" t="s">
        <v>847</v>
      </c>
      <c r="D29" s="16" t="s">
        <v>235</v>
      </c>
      <c r="E29" s="22" t="n">
        <v>157.032</v>
      </c>
      <c r="F29" s="22" t="n">
        <v>125.6256</v>
      </c>
      <c r="G29" s="22" t="n">
        <v>133.4772</v>
      </c>
      <c r="H29" s="22" t="n">
        <v>133.4772</v>
      </c>
      <c r="I29" s="22" t="n">
        <v>125.6256</v>
      </c>
      <c r="J29" s="22" t="n">
        <v>117.774</v>
      </c>
      <c r="K29" s="22" t="n">
        <v>125.6256</v>
      </c>
      <c r="L29" s="22" t="n">
        <v>125.6256</v>
      </c>
      <c r="M29" s="22" t="n">
        <v>125.6256</v>
      </c>
      <c r="N29" s="22" t="n">
        <v>117.774</v>
      </c>
      <c r="O29" s="22" t="n">
        <v>109.9224</v>
      </c>
      <c r="P29" s="22" t="n">
        <v>172.7352</v>
      </c>
      <c r="Q29" s="22" t="n">
        <f aca="false">SUM(E29:P29)</f>
        <v>1570.32</v>
      </c>
      <c r="W29" s="1"/>
      <c r="X29" s="1"/>
      <c r="Y29" s="1"/>
      <c r="Z29" s="1"/>
    </row>
    <row r="30" customFormat="false" ht="15.75" hidden="false" customHeight="true" outlineLevel="0" collapsed="false">
      <c r="A30" s="42" t="n">
        <v>2028</v>
      </c>
      <c r="B30" s="13" t="s">
        <v>777</v>
      </c>
      <c r="C30" s="13" t="s">
        <v>847</v>
      </c>
      <c r="D30" s="16" t="s">
        <v>236</v>
      </c>
      <c r="E30" s="22" t="n">
        <v>9.58</v>
      </c>
      <c r="F30" s="22" t="n">
        <v>7.664</v>
      </c>
      <c r="G30" s="22" t="n">
        <v>8.143</v>
      </c>
      <c r="H30" s="22" t="n">
        <v>8.143</v>
      </c>
      <c r="I30" s="22" t="n">
        <v>7.664</v>
      </c>
      <c r="J30" s="22" t="n">
        <v>7.185</v>
      </c>
      <c r="K30" s="22" t="n">
        <v>7.664</v>
      </c>
      <c r="L30" s="22" t="n">
        <v>7.664</v>
      </c>
      <c r="M30" s="22" t="n">
        <v>7.664</v>
      </c>
      <c r="N30" s="22" t="n">
        <v>7.185</v>
      </c>
      <c r="O30" s="22" t="n">
        <v>6.706</v>
      </c>
      <c r="P30" s="22" t="n">
        <v>10.538</v>
      </c>
      <c r="Q30" s="22" t="n">
        <f aca="false">SUM(E30:P30)</f>
        <v>95.8</v>
      </c>
      <c r="W30" s="1"/>
      <c r="X30" s="1"/>
      <c r="Y30" s="1"/>
      <c r="Z30" s="1"/>
    </row>
    <row r="31" customFormat="false" ht="15.75" hidden="false" customHeight="true" outlineLevel="0" collapsed="false">
      <c r="A31" s="42" t="n">
        <v>2029</v>
      </c>
      <c r="B31" s="13" t="s">
        <v>770</v>
      </c>
      <c r="C31" s="13" t="s">
        <v>846</v>
      </c>
      <c r="D31" s="16" t="s">
        <v>233</v>
      </c>
      <c r="E31" s="22" t="n">
        <v>1016.056266</v>
      </c>
      <c r="F31" s="22" t="n">
        <v>762.0421994</v>
      </c>
      <c r="G31" s="22" t="n">
        <v>677.3708439</v>
      </c>
      <c r="H31" s="22" t="n">
        <v>635.0351662</v>
      </c>
      <c r="I31" s="22" t="n">
        <v>592.6994884</v>
      </c>
      <c r="J31" s="22" t="n">
        <v>592.6994884</v>
      </c>
      <c r="K31" s="22" t="n">
        <v>635.0351662</v>
      </c>
      <c r="L31" s="22" t="n">
        <v>635.0351662</v>
      </c>
      <c r="M31" s="22" t="n">
        <v>635.0351662</v>
      </c>
      <c r="N31" s="22" t="n">
        <v>635.0351662</v>
      </c>
      <c r="O31" s="22" t="n">
        <v>635.0351662</v>
      </c>
      <c r="P31" s="22" t="n">
        <v>1016.056266</v>
      </c>
      <c r="Q31" s="22" t="n">
        <f aca="false">SUM(E31:P31)</f>
        <v>8467.1355493</v>
      </c>
      <c r="W31" s="1"/>
      <c r="X31" s="1"/>
      <c r="Y31" s="1"/>
      <c r="Z31" s="1"/>
    </row>
    <row r="32" customFormat="false" ht="15.75" hidden="false" customHeight="true" outlineLevel="0" collapsed="false">
      <c r="A32" s="42" t="n">
        <v>2029</v>
      </c>
      <c r="B32" s="13" t="s">
        <v>771</v>
      </c>
      <c r="C32" s="13" t="s">
        <v>846</v>
      </c>
      <c r="D32" s="16" t="s">
        <v>234</v>
      </c>
      <c r="E32" s="22" t="n">
        <v>151.3758174</v>
      </c>
      <c r="F32" s="22" t="n">
        <v>121.1006539</v>
      </c>
      <c r="G32" s="22" t="n">
        <v>128.6694448</v>
      </c>
      <c r="H32" s="22" t="n">
        <v>128.6694448</v>
      </c>
      <c r="I32" s="22" t="n">
        <v>121.1006539</v>
      </c>
      <c r="J32" s="22" t="n">
        <v>113.5318631</v>
      </c>
      <c r="K32" s="22" t="n">
        <v>121.1006539</v>
      </c>
      <c r="L32" s="22" t="n">
        <v>121.1006539</v>
      </c>
      <c r="M32" s="22" t="n">
        <v>121.1006539</v>
      </c>
      <c r="N32" s="22" t="n">
        <v>113.5318631</v>
      </c>
      <c r="O32" s="22" t="n">
        <v>105.9630722</v>
      </c>
      <c r="P32" s="22" t="n">
        <v>166.5133992</v>
      </c>
      <c r="Q32" s="22" t="n">
        <f aca="false">SUM(E32:P32)</f>
        <v>1513.7581741</v>
      </c>
      <c r="W32" s="1"/>
      <c r="X32" s="1"/>
      <c r="Y32" s="1"/>
      <c r="Z32" s="1"/>
    </row>
    <row r="33" customFormat="false" ht="15.75" hidden="false" customHeight="true" outlineLevel="0" collapsed="false">
      <c r="A33" s="42" t="n">
        <v>2029</v>
      </c>
      <c r="B33" s="13" t="s">
        <v>772</v>
      </c>
      <c r="C33" s="13" t="s">
        <v>846</v>
      </c>
      <c r="D33" s="16" t="s">
        <v>235</v>
      </c>
      <c r="E33" s="22" t="n">
        <v>690.1595313</v>
      </c>
      <c r="F33" s="22" t="n">
        <v>552.127625</v>
      </c>
      <c r="G33" s="22" t="n">
        <v>586.6356016</v>
      </c>
      <c r="H33" s="22" t="n">
        <v>586.6356016</v>
      </c>
      <c r="I33" s="22" t="n">
        <v>552.127625</v>
      </c>
      <c r="J33" s="22" t="n">
        <v>517.6196485</v>
      </c>
      <c r="K33" s="22" t="n">
        <v>552.127625</v>
      </c>
      <c r="L33" s="22" t="n">
        <v>552.127625</v>
      </c>
      <c r="M33" s="22" t="n">
        <v>552.127625</v>
      </c>
      <c r="N33" s="22" t="n">
        <v>517.6196485</v>
      </c>
      <c r="O33" s="22" t="n">
        <v>483.1116719</v>
      </c>
      <c r="P33" s="22" t="n">
        <v>759.1754844</v>
      </c>
      <c r="Q33" s="22" t="n">
        <f aca="false">SUM(E33:P33)</f>
        <v>6901.5953128</v>
      </c>
      <c r="W33" s="1"/>
      <c r="X33" s="1"/>
      <c r="Y33" s="1"/>
      <c r="Z33" s="1"/>
    </row>
    <row r="34" customFormat="false" ht="15.75" hidden="false" customHeight="true" outlineLevel="0" collapsed="false">
      <c r="A34" s="42" t="n">
        <v>2029</v>
      </c>
      <c r="B34" s="13" t="s">
        <v>773</v>
      </c>
      <c r="C34" s="13" t="s">
        <v>846</v>
      </c>
      <c r="D34" s="16" t="s">
        <v>236</v>
      </c>
      <c r="E34" s="22" t="n">
        <v>36.25004941</v>
      </c>
      <c r="F34" s="22" t="n">
        <v>29.00003953</v>
      </c>
      <c r="G34" s="22" t="n">
        <v>30.812542</v>
      </c>
      <c r="H34" s="22" t="n">
        <v>30.812542</v>
      </c>
      <c r="I34" s="22" t="n">
        <v>29.00003953</v>
      </c>
      <c r="J34" s="22" t="n">
        <v>27.18753706</v>
      </c>
      <c r="K34" s="22" t="n">
        <v>29.00003953</v>
      </c>
      <c r="L34" s="22" t="n">
        <v>29.00003953</v>
      </c>
      <c r="M34" s="22" t="n">
        <v>29.00003953</v>
      </c>
      <c r="N34" s="22" t="n">
        <v>27.18753706</v>
      </c>
      <c r="O34" s="22" t="n">
        <v>25.37503459</v>
      </c>
      <c r="P34" s="22" t="n">
        <v>39.87505435</v>
      </c>
      <c r="Q34" s="22" t="n">
        <f aca="false">SUM(E34:P34)</f>
        <v>362.50049412</v>
      </c>
      <c r="W34" s="1"/>
      <c r="X34" s="1"/>
      <c r="Y34" s="1"/>
      <c r="Z34" s="1"/>
    </row>
    <row r="35" customFormat="false" ht="15.75" hidden="false" customHeight="true" outlineLevel="0" collapsed="false">
      <c r="A35" s="42" t="n">
        <v>2029</v>
      </c>
      <c r="B35" s="13" t="s">
        <v>774</v>
      </c>
      <c r="C35" s="13" t="s">
        <v>847</v>
      </c>
      <c r="D35" s="16" t="s">
        <v>233</v>
      </c>
      <c r="E35" s="22" t="n">
        <v>3203.376</v>
      </c>
      <c r="F35" s="22" t="n">
        <v>2402.532</v>
      </c>
      <c r="G35" s="22" t="n">
        <v>2135.584</v>
      </c>
      <c r="H35" s="22" t="n">
        <v>2002.11</v>
      </c>
      <c r="I35" s="22" t="n">
        <v>1868.636</v>
      </c>
      <c r="J35" s="22" t="n">
        <v>1868.636</v>
      </c>
      <c r="K35" s="22" t="n">
        <v>2002.11</v>
      </c>
      <c r="L35" s="22" t="n">
        <v>2002.11</v>
      </c>
      <c r="M35" s="22" t="n">
        <v>2002.11</v>
      </c>
      <c r="N35" s="22" t="n">
        <v>2002.11</v>
      </c>
      <c r="O35" s="22" t="n">
        <v>2002.11</v>
      </c>
      <c r="P35" s="22" t="n">
        <v>3203.376</v>
      </c>
      <c r="Q35" s="22" t="n">
        <f aca="false">SUM(E35:P35)</f>
        <v>26694.8</v>
      </c>
      <c r="W35" s="1"/>
      <c r="X35" s="1"/>
      <c r="Y35" s="1"/>
      <c r="Z35" s="1"/>
    </row>
    <row r="36" customFormat="false" ht="15.75" hidden="false" customHeight="true" outlineLevel="0" collapsed="false">
      <c r="A36" s="42" t="n">
        <v>2029</v>
      </c>
      <c r="B36" s="13" t="s">
        <v>775</v>
      </c>
      <c r="C36" s="13" t="s">
        <v>847</v>
      </c>
      <c r="D36" s="16" t="s">
        <v>234</v>
      </c>
      <c r="E36" s="22" t="n">
        <v>106.796</v>
      </c>
      <c r="F36" s="22" t="n">
        <v>85.4368</v>
      </c>
      <c r="G36" s="22" t="n">
        <v>90.7766</v>
      </c>
      <c r="H36" s="22" t="n">
        <v>90.7766</v>
      </c>
      <c r="I36" s="22" t="n">
        <v>85.4368</v>
      </c>
      <c r="J36" s="22" t="n">
        <v>80.097</v>
      </c>
      <c r="K36" s="22" t="n">
        <v>85.4368</v>
      </c>
      <c r="L36" s="22" t="n">
        <v>85.4368</v>
      </c>
      <c r="M36" s="22" t="n">
        <v>85.4368</v>
      </c>
      <c r="N36" s="22" t="n">
        <v>80.097</v>
      </c>
      <c r="O36" s="22" t="n">
        <v>74.7572</v>
      </c>
      <c r="P36" s="22" t="n">
        <v>117.4756</v>
      </c>
      <c r="Q36" s="22" t="n">
        <f aca="false">SUM(E36:P36)</f>
        <v>1067.96</v>
      </c>
      <c r="W36" s="1"/>
      <c r="X36" s="1"/>
      <c r="Y36" s="1"/>
      <c r="Z36" s="1"/>
    </row>
    <row r="37" customFormat="false" ht="15.75" hidden="false" customHeight="true" outlineLevel="0" collapsed="false">
      <c r="A37" s="42" t="n">
        <v>2029</v>
      </c>
      <c r="B37" s="13" t="s">
        <v>776</v>
      </c>
      <c r="C37" s="13" t="s">
        <v>847</v>
      </c>
      <c r="D37" s="16" t="s">
        <v>235</v>
      </c>
      <c r="E37" s="22" t="n">
        <v>530.24</v>
      </c>
      <c r="F37" s="22" t="n">
        <v>424.192</v>
      </c>
      <c r="G37" s="22" t="n">
        <v>450.704</v>
      </c>
      <c r="H37" s="22" t="n">
        <v>450.704</v>
      </c>
      <c r="I37" s="22" t="n">
        <v>424.192</v>
      </c>
      <c r="J37" s="22" t="n">
        <v>397.68</v>
      </c>
      <c r="K37" s="22" t="n">
        <v>424.192</v>
      </c>
      <c r="L37" s="22" t="n">
        <v>424.192</v>
      </c>
      <c r="M37" s="22" t="n">
        <v>424.192</v>
      </c>
      <c r="N37" s="22" t="n">
        <v>397.68</v>
      </c>
      <c r="O37" s="22" t="n">
        <v>371.168</v>
      </c>
      <c r="P37" s="22" t="n">
        <v>583.264</v>
      </c>
      <c r="Q37" s="22" t="n">
        <f aca="false">SUM(E37:P37)</f>
        <v>5302.4</v>
      </c>
      <c r="W37" s="1"/>
      <c r="X37" s="1"/>
      <c r="Y37" s="1"/>
      <c r="Z37" s="1"/>
    </row>
    <row r="38" customFormat="false" ht="15.75" hidden="false" customHeight="true" outlineLevel="0" collapsed="false">
      <c r="A38" s="42" t="n">
        <v>2029</v>
      </c>
      <c r="B38" s="13" t="s">
        <v>777</v>
      </c>
      <c r="C38" s="13" t="s">
        <v>847</v>
      </c>
      <c r="D38" s="16" t="s">
        <v>236</v>
      </c>
      <c r="E38" s="22" t="n">
        <v>32.48</v>
      </c>
      <c r="F38" s="22" t="n">
        <v>25.984</v>
      </c>
      <c r="G38" s="22" t="n">
        <v>27.608</v>
      </c>
      <c r="H38" s="22" t="n">
        <v>27.608</v>
      </c>
      <c r="I38" s="22" t="n">
        <v>25.984</v>
      </c>
      <c r="J38" s="22" t="n">
        <v>24.36</v>
      </c>
      <c r="K38" s="22" t="n">
        <v>25.984</v>
      </c>
      <c r="L38" s="22" t="n">
        <v>25.984</v>
      </c>
      <c r="M38" s="22" t="n">
        <v>25.984</v>
      </c>
      <c r="N38" s="22" t="n">
        <v>24.36</v>
      </c>
      <c r="O38" s="22" t="n">
        <v>22.736</v>
      </c>
      <c r="P38" s="22" t="n">
        <v>35.728</v>
      </c>
      <c r="Q38" s="22" t="n">
        <f aca="false">SUM(E38:P38)</f>
        <v>324.8</v>
      </c>
      <c r="W38" s="1"/>
      <c r="X38" s="1"/>
      <c r="Y38" s="1"/>
      <c r="Z38" s="1"/>
    </row>
    <row r="39" customFormat="false" ht="15.75" hidden="false" customHeight="true" outlineLevel="0" collapsed="false">
      <c r="A39" s="42" t="n">
        <v>2030</v>
      </c>
      <c r="B39" s="13" t="s">
        <v>770</v>
      </c>
      <c r="C39" s="13" t="s">
        <v>846</v>
      </c>
      <c r="D39" s="16" t="s">
        <v>233</v>
      </c>
      <c r="E39" s="22" t="n">
        <v>1521.675926</v>
      </c>
      <c r="F39" s="22" t="n">
        <v>1141.256944</v>
      </c>
      <c r="G39" s="22" t="n">
        <v>1014.450617</v>
      </c>
      <c r="H39" s="22" t="n">
        <v>951.0474535</v>
      </c>
      <c r="I39" s="22" t="n">
        <v>887.6442899</v>
      </c>
      <c r="J39" s="22" t="n">
        <v>887.6442899</v>
      </c>
      <c r="K39" s="22" t="n">
        <v>951.0474535</v>
      </c>
      <c r="L39" s="22" t="n">
        <v>951.0474535</v>
      </c>
      <c r="M39" s="22" t="n">
        <v>951.0474535</v>
      </c>
      <c r="N39" s="22" t="n">
        <v>951.0474535</v>
      </c>
      <c r="O39" s="22" t="n">
        <v>951.0474535</v>
      </c>
      <c r="P39" s="22" t="n">
        <v>1521.675926</v>
      </c>
      <c r="Q39" s="22" t="n">
        <f aca="false">SUM(E39:P39)</f>
        <v>12680.6327138</v>
      </c>
      <c r="W39" s="1"/>
      <c r="X39" s="1"/>
      <c r="Y39" s="1"/>
      <c r="Z39" s="1"/>
    </row>
    <row r="40" customFormat="false" ht="15.75" hidden="false" customHeight="true" outlineLevel="0" collapsed="false">
      <c r="A40" s="42" t="n">
        <v>2030</v>
      </c>
      <c r="B40" s="13" t="s">
        <v>771</v>
      </c>
      <c r="C40" s="13" t="s">
        <v>846</v>
      </c>
      <c r="D40" s="16" t="s">
        <v>234</v>
      </c>
      <c r="E40" s="22" t="n">
        <v>232.5707726</v>
      </c>
      <c r="F40" s="22" t="n">
        <v>186.0566181</v>
      </c>
      <c r="G40" s="22" t="n">
        <v>197.6851567</v>
      </c>
      <c r="H40" s="22" t="n">
        <v>197.6851567</v>
      </c>
      <c r="I40" s="22" t="n">
        <v>186.0566181</v>
      </c>
      <c r="J40" s="22" t="n">
        <v>174.4280795</v>
      </c>
      <c r="K40" s="22" t="n">
        <v>186.0566181</v>
      </c>
      <c r="L40" s="22" t="n">
        <v>186.0566181</v>
      </c>
      <c r="M40" s="22" t="n">
        <v>186.0566181</v>
      </c>
      <c r="N40" s="22" t="n">
        <v>174.4280795</v>
      </c>
      <c r="O40" s="22" t="n">
        <v>162.7995408</v>
      </c>
      <c r="P40" s="22" t="n">
        <v>255.8278499</v>
      </c>
      <c r="Q40" s="22" t="n">
        <f aca="false">SUM(E40:P40)</f>
        <v>2325.7077262</v>
      </c>
      <c r="W40" s="1"/>
      <c r="X40" s="1"/>
      <c r="Y40" s="1"/>
      <c r="Z40" s="1"/>
    </row>
    <row r="41" customFormat="false" ht="15.75" hidden="false" customHeight="true" outlineLevel="0" collapsed="false">
      <c r="A41" s="42" t="n">
        <v>2030</v>
      </c>
      <c r="B41" s="13" t="s">
        <v>772</v>
      </c>
      <c r="C41" s="13" t="s">
        <v>846</v>
      </c>
      <c r="D41" s="16" t="s">
        <v>235</v>
      </c>
      <c r="E41" s="22" t="n">
        <v>1089.954694</v>
      </c>
      <c r="F41" s="22" t="n">
        <v>871.9637554</v>
      </c>
      <c r="G41" s="22" t="n">
        <v>926.4614901</v>
      </c>
      <c r="H41" s="22" t="n">
        <v>926.4614901</v>
      </c>
      <c r="I41" s="22" t="n">
        <v>871.9637554</v>
      </c>
      <c r="J41" s="22" t="n">
        <v>817.4660207</v>
      </c>
      <c r="K41" s="22" t="n">
        <v>871.9637554</v>
      </c>
      <c r="L41" s="22" t="n">
        <v>871.9637554</v>
      </c>
      <c r="M41" s="22" t="n">
        <v>871.9637554</v>
      </c>
      <c r="N41" s="22" t="n">
        <v>817.4660207</v>
      </c>
      <c r="O41" s="22" t="n">
        <v>762.968286</v>
      </c>
      <c r="P41" s="22" t="n">
        <v>1198.950164</v>
      </c>
      <c r="Q41" s="22" t="n">
        <f aca="false">SUM(E41:P41)</f>
        <v>10899.5469426</v>
      </c>
      <c r="W41" s="1"/>
      <c r="X41" s="1"/>
      <c r="Y41" s="1"/>
      <c r="Z41" s="1"/>
    </row>
    <row r="42" customFormat="false" ht="15.75" hidden="false" customHeight="true" outlineLevel="0" collapsed="false">
      <c r="A42" s="42" t="n">
        <v>2030</v>
      </c>
      <c r="B42" s="13" t="s">
        <v>773</v>
      </c>
      <c r="C42" s="13" t="s">
        <v>846</v>
      </c>
      <c r="D42" s="16" t="s">
        <v>236</v>
      </c>
      <c r="E42" s="22" t="n">
        <v>60.75181519</v>
      </c>
      <c r="F42" s="22" t="n">
        <v>48.60145215</v>
      </c>
      <c r="G42" s="22" t="n">
        <v>51.63904291</v>
      </c>
      <c r="H42" s="22" t="n">
        <v>51.63904291</v>
      </c>
      <c r="I42" s="22" t="n">
        <v>48.60145215</v>
      </c>
      <c r="J42" s="22" t="n">
        <v>45.56386139</v>
      </c>
      <c r="K42" s="22" t="n">
        <v>48.60145215</v>
      </c>
      <c r="L42" s="22" t="n">
        <v>48.60145215</v>
      </c>
      <c r="M42" s="22" t="n">
        <v>48.60145215</v>
      </c>
      <c r="N42" s="22" t="n">
        <v>45.56386139</v>
      </c>
      <c r="O42" s="22" t="n">
        <v>42.52627063</v>
      </c>
      <c r="P42" s="22" t="n">
        <v>66.82699671</v>
      </c>
      <c r="Q42" s="22" t="n">
        <f aca="false">SUM(E42:P42)</f>
        <v>607.51815188</v>
      </c>
      <c r="W42" s="1"/>
      <c r="X42" s="1"/>
      <c r="Y42" s="1"/>
      <c r="Z42" s="1"/>
    </row>
    <row r="43" customFormat="false" ht="15.75" hidden="false" customHeight="true" outlineLevel="0" collapsed="false">
      <c r="A43" s="42" t="n">
        <v>2030</v>
      </c>
      <c r="B43" s="13" t="s">
        <v>774</v>
      </c>
      <c r="C43" s="13" t="s">
        <v>847</v>
      </c>
      <c r="D43" s="16" t="s">
        <v>233</v>
      </c>
      <c r="E43" s="22" t="n">
        <v>5932.176</v>
      </c>
      <c r="F43" s="22" t="n">
        <v>4449.132</v>
      </c>
      <c r="G43" s="22" t="n">
        <v>3954.784</v>
      </c>
      <c r="H43" s="22" t="n">
        <v>3707.61</v>
      </c>
      <c r="I43" s="22" t="n">
        <v>3460.436</v>
      </c>
      <c r="J43" s="22" t="n">
        <v>3460.436</v>
      </c>
      <c r="K43" s="22" t="n">
        <v>3707.61</v>
      </c>
      <c r="L43" s="22" t="n">
        <v>3707.61</v>
      </c>
      <c r="M43" s="22" t="n">
        <v>3707.61</v>
      </c>
      <c r="N43" s="22" t="n">
        <v>3707.61</v>
      </c>
      <c r="O43" s="22" t="n">
        <v>3707.61</v>
      </c>
      <c r="P43" s="22" t="n">
        <v>5932.176</v>
      </c>
      <c r="Q43" s="22" t="n">
        <f aca="false">SUM(E43:P43)</f>
        <v>49434.8</v>
      </c>
      <c r="W43" s="1"/>
      <c r="X43" s="1"/>
      <c r="Y43" s="1"/>
      <c r="Z43" s="1"/>
    </row>
    <row r="44" customFormat="false" ht="15.75" hidden="false" customHeight="true" outlineLevel="0" collapsed="false">
      <c r="A44" s="42" t="n">
        <v>2030</v>
      </c>
      <c r="B44" s="13" t="s">
        <v>775</v>
      </c>
      <c r="C44" s="13" t="s">
        <v>847</v>
      </c>
      <c r="D44" s="16" t="s">
        <v>234</v>
      </c>
      <c r="E44" s="22" t="n">
        <v>195.892</v>
      </c>
      <c r="F44" s="22" t="n">
        <v>156.7136</v>
      </c>
      <c r="G44" s="22" t="n">
        <v>166.5082</v>
      </c>
      <c r="H44" s="22" t="n">
        <v>166.5082</v>
      </c>
      <c r="I44" s="22" t="n">
        <v>156.7136</v>
      </c>
      <c r="J44" s="22" t="n">
        <v>146.919</v>
      </c>
      <c r="K44" s="22" t="n">
        <v>156.7136</v>
      </c>
      <c r="L44" s="22" t="n">
        <v>156.7136</v>
      </c>
      <c r="M44" s="22" t="n">
        <v>156.7136</v>
      </c>
      <c r="N44" s="22" t="n">
        <v>146.919</v>
      </c>
      <c r="O44" s="22" t="n">
        <v>137.1244</v>
      </c>
      <c r="P44" s="22" t="n">
        <v>215.4812</v>
      </c>
      <c r="Q44" s="22" t="n">
        <f aca="false">SUM(E44:P44)</f>
        <v>1958.92</v>
      </c>
      <c r="W44" s="1"/>
      <c r="X44" s="1"/>
      <c r="Y44" s="1"/>
      <c r="Z44" s="1"/>
    </row>
    <row r="45" customFormat="false" ht="15.75" hidden="false" customHeight="true" outlineLevel="0" collapsed="false">
      <c r="A45" s="42" t="n">
        <v>2030</v>
      </c>
      <c r="B45" s="13" t="s">
        <v>776</v>
      </c>
      <c r="C45" s="13" t="s">
        <v>847</v>
      </c>
      <c r="D45" s="16" t="s">
        <v>235</v>
      </c>
      <c r="E45" s="22" t="n">
        <v>969.324</v>
      </c>
      <c r="F45" s="22" t="n">
        <v>775.4592</v>
      </c>
      <c r="G45" s="22" t="n">
        <v>823.9254</v>
      </c>
      <c r="H45" s="22" t="n">
        <v>823.9254</v>
      </c>
      <c r="I45" s="22" t="n">
        <v>775.4592</v>
      </c>
      <c r="J45" s="22" t="n">
        <v>726.993</v>
      </c>
      <c r="K45" s="22" t="n">
        <v>775.4592</v>
      </c>
      <c r="L45" s="22" t="n">
        <v>775.4592</v>
      </c>
      <c r="M45" s="22" t="n">
        <v>775.4592</v>
      </c>
      <c r="N45" s="22" t="n">
        <v>726.993</v>
      </c>
      <c r="O45" s="22" t="n">
        <v>678.5268</v>
      </c>
      <c r="P45" s="22" t="n">
        <v>1066.2564</v>
      </c>
      <c r="Q45" s="22" t="n">
        <f aca="false">SUM(E45:P45)</f>
        <v>9693.24</v>
      </c>
      <c r="W45" s="1"/>
      <c r="X45" s="1"/>
      <c r="Y45" s="1"/>
      <c r="Z45" s="1"/>
    </row>
    <row r="46" customFormat="false" ht="15.75" hidden="false" customHeight="true" outlineLevel="0" collapsed="false">
      <c r="A46" s="42" t="n">
        <v>2030</v>
      </c>
      <c r="B46" s="13" t="s">
        <v>777</v>
      </c>
      <c r="C46" s="13" t="s">
        <v>847</v>
      </c>
      <c r="D46" s="16" t="s">
        <v>236</v>
      </c>
      <c r="E46" s="22" t="n">
        <v>59.292</v>
      </c>
      <c r="F46" s="22" t="n">
        <v>47.4336</v>
      </c>
      <c r="G46" s="22" t="n">
        <v>50.3982</v>
      </c>
      <c r="H46" s="22" t="n">
        <v>50.3982</v>
      </c>
      <c r="I46" s="22" t="n">
        <v>47.4336</v>
      </c>
      <c r="J46" s="22" t="n">
        <v>44.469</v>
      </c>
      <c r="K46" s="22" t="n">
        <v>47.4336</v>
      </c>
      <c r="L46" s="22" t="n">
        <v>47.4336</v>
      </c>
      <c r="M46" s="22" t="n">
        <v>47.4336</v>
      </c>
      <c r="N46" s="22" t="n">
        <v>44.469</v>
      </c>
      <c r="O46" s="22" t="n">
        <v>41.5044</v>
      </c>
      <c r="P46" s="22" t="n">
        <v>65.2212</v>
      </c>
      <c r="Q46" s="22" t="n">
        <f aca="false">SUM(E46:P46)</f>
        <v>592.92</v>
      </c>
      <c r="W46" s="1"/>
      <c r="X46" s="1"/>
      <c r="Y46" s="1"/>
      <c r="Z46" s="1"/>
    </row>
    <row r="47" customFormat="false" ht="15.75" hidden="false" customHeight="true" outlineLevel="0" collapsed="false">
      <c r="A47" s="42" t="n">
        <v>2031</v>
      </c>
      <c r="B47" s="13" t="s">
        <v>770</v>
      </c>
      <c r="C47" s="13" t="s">
        <v>846</v>
      </c>
      <c r="D47" s="16" t="s">
        <v>233</v>
      </c>
      <c r="E47" s="22" t="n">
        <v>1874.430369</v>
      </c>
      <c r="F47" s="22" t="n">
        <v>1405.822777</v>
      </c>
      <c r="G47" s="22" t="n">
        <v>1249.620246</v>
      </c>
      <c r="H47" s="22" t="n">
        <v>1171.518981</v>
      </c>
      <c r="I47" s="22" t="n">
        <v>1093.417715</v>
      </c>
      <c r="J47" s="22" t="n">
        <v>1093.417715</v>
      </c>
      <c r="K47" s="22" t="n">
        <v>1171.518981</v>
      </c>
      <c r="L47" s="22" t="n">
        <v>1171.518981</v>
      </c>
      <c r="M47" s="22" t="n">
        <v>1171.518981</v>
      </c>
      <c r="N47" s="22" t="n">
        <v>1171.518981</v>
      </c>
      <c r="O47" s="22" t="n">
        <v>1171.518981</v>
      </c>
      <c r="P47" s="22" t="n">
        <v>1874.430369</v>
      </c>
      <c r="Q47" s="22" t="n">
        <f aca="false">SUM(E47:P47)</f>
        <v>15620.253077</v>
      </c>
      <c r="W47" s="1"/>
      <c r="X47" s="1"/>
      <c r="Y47" s="1"/>
      <c r="Z47" s="1"/>
    </row>
    <row r="48" customFormat="false" ht="15.75" hidden="false" customHeight="true" outlineLevel="0" collapsed="false">
      <c r="A48" s="42" t="n">
        <v>2031</v>
      </c>
      <c r="B48" s="13" t="s">
        <v>771</v>
      </c>
      <c r="C48" s="13" t="s">
        <v>846</v>
      </c>
      <c r="D48" s="16" t="s">
        <v>234</v>
      </c>
      <c r="E48" s="22" t="n">
        <v>326.7829887</v>
      </c>
      <c r="F48" s="22" t="n">
        <v>261.426391</v>
      </c>
      <c r="G48" s="22" t="n">
        <v>277.7655404</v>
      </c>
      <c r="H48" s="22" t="n">
        <v>277.7655404</v>
      </c>
      <c r="I48" s="22" t="n">
        <v>261.426391</v>
      </c>
      <c r="J48" s="22" t="n">
        <v>245.0872415</v>
      </c>
      <c r="K48" s="22" t="n">
        <v>261.426391</v>
      </c>
      <c r="L48" s="22" t="n">
        <v>261.426391</v>
      </c>
      <c r="M48" s="22" t="n">
        <v>261.426391</v>
      </c>
      <c r="N48" s="22" t="n">
        <v>245.0872415</v>
      </c>
      <c r="O48" s="22" t="n">
        <v>228.7480921</v>
      </c>
      <c r="P48" s="22" t="n">
        <v>359.4612876</v>
      </c>
      <c r="Q48" s="22" t="n">
        <f aca="false">SUM(E48:P48)</f>
        <v>3267.8298872</v>
      </c>
      <c r="W48" s="1"/>
      <c r="X48" s="1"/>
      <c r="Y48" s="1"/>
      <c r="Z48" s="1"/>
    </row>
    <row r="49" customFormat="false" ht="15.75" hidden="false" customHeight="true" outlineLevel="0" collapsed="false">
      <c r="A49" s="42" t="n">
        <v>2031</v>
      </c>
      <c r="B49" s="13" t="s">
        <v>772</v>
      </c>
      <c r="C49" s="13" t="s">
        <v>846</v>
      </c>
      <c r="D49" s="16" t="s">
        <v>235</v>
      </c>
      <c r="E49" s="22" t="n">
        <v>1469.564411</v>
      </c>
      <c r="F49" s="22" t="n">
        <v>1175.651529</v>
      </c>
      <c r="G49" s="22" t="n">
        <v>1249.12975</v>
      </c>
      <c r="H49" s="22" t="n">
        <v>1249.12975</v>
      </c>
      <c r="I49" s="22" t="n">
        <v>1175.651529</v>
      </c>
      <c r="J49" s="22" t="n">
        <v>1102.173309</v>
      </c>
      <c r="K49" s="22" t="n">
        <v>1175.651529</v>
      </c>
      <c r="L49" s="22" t="n">
        <v>1175.651529</v>
      </c>
      <c r="M49" s="22" t="n">
        <v>1175.651529</v>
      </c>
      <c r="N49" s="22" t="n">
        <v>1102.173309</v>
      </c>
      <c r="O49" s="22" t="n">
        <v>1028.695088</v>
      </c>
      <c r="P49" s="22" t="n">
        <v>1616.520853</v>
      </c>
      <c r="Q49" s="22" t="n">
        <f aca="false">SUM(E49:P49)</f>
        <v>14695.644115</v>
      </c>
      <c r="W49" s="1"/>
      <c r="X49" s="1"/>
      <c r="Y49" s="1"/>
      <c r="Z49" s="1"/>
    </row>
    <row r="50" customFormat="false" ht="15.75" hidden="false" customHeight="true" outlineLevel="0" collapsed="false">
      <c r="A50" s="42" t="n">
        <v>2031</v>
      </c>
      <c r="B50" s="13" t="s">
        <v>773</v>
      </c>
      <c r="C50" s="13" t="s">
        <v>846</v>
      </c>
      <c r="D50" s="16" t="s">
        <v>236</v>
      </c>
      <c r="E50" s="22" t="n">
        <v>87.8725032</v>
      </c>
      <c r="F50" s="22" t="n">
        <v>70.29800256</v>
      </c>
      <c r="G50" s="22" t="n">
        <v>74.69162772</v>
      </c>
      <c r="H50" s="22" t="n">
        <v>74.69162772</v>
      </c>
      <c r="I50" s="22" t="n">
        <v>70.29800256</v>
      </c>
      <c r="J50" s="22" t="n">
        <v>65.9043774</v>
      </c>
      <c r="K50" s="22" t="n">
        <v>70.29800256</v>
      </c>
      <c r="L50" s="22" t="n">
        <v>70.29800256</v>
      </c>
      <c r="M50" s="22" t="n">
        <v>70.29800256</v>
      </c>
      <c r="N50" s="22" t="n">
        <v>65.9043774</v>
      </c>
      <c r="O50" s="22" t="n">
        <v>61.51075224</v>
      </c>
      <c r="P50" s="22" t="n">
        <v>96.65975352</v>
      </c>
      <c r="Q50" s="22" t="n">
        <f aca="false">SUM(E50:P50)</f>
        <v>878.725032</v>
      </c>
      <c r="W50" s="1"/>
      <c r="X50" s="1"/>
      <c r="Y50" s="1"/>
      <c r="Z50" s="1"/>
    </row>
    <row r="51" customFormat="false" ht="15.75" hidden="false" customHeight="true" outlineLevel="0" collapsed="false">
      <c r="A51" s="42" t="n">
        <v>2031</v>
      </c>
      <c r="B51" s="13" t="s">
        <v>774</v>
      </c>
      <c r="C51" s="13" t="s">
        <v>847</v>
      </c>
      <c r="D51" s="16" t="s">
        <v>233</v>
      </c>
      <c r="E51" s="22" t="n">
        <v>8601.624</v>
      </c>
      <c r="F51" s="22" t="n">
        <v>6451.218</v>
      </c>
      <c r="G51" s="22" t="n">
        <v>5734.416</v>
      </c>
      <c r="H51" s="22" t="n">
        <v>5376.015</v>
      </c>
      <c r="I51" s="22" t="n">
        <v>5017.614</v>
      </c>
      <c r="J51" s="22" t="n">
        <v>5017.614</v>
      </c>
      <c r="K51" s="22" t="n">
        <v>5376.015</v>
      </c>
      <c r="L51" s="22" t="n">
        <v>5376.015</v>
      </c>
      <c r="M51" s="22" t="n">
        <v>5376.015</v>
      </c>
      <c r="N51" s="22" t="n">
        <v>5376.015</v>
      </c>
      <c r="O51" s="22" t="n">
        <v>5376.015</v>
      </c>
      <c r="P51" s="22" t="n">
        <v>8601.624</v>
      </c>
      <c r="Q51" s="22" t="n">
        <f aca="false">SUM(E51:P51)</f>
        <v>71680.2</v>
      </c>
      <c r="W51" s="1"/>
      <c r="X51" s="1"/>
      <c r="Y51" s="1"/>
      <c r="Z51" s="1"/>
    </row>
    <row r="52" customFormat="false" ht="15.75" hidden="false" customHeight="true" outlineLevel="0" collapsed="false">
      <c r="A52" s="42" t="n">
        <v>2031</v>
      </c>
      <c r="B52" s="13" t="s">
        <v>775</v>
      </c>
      <c r="C52" s="13" t="s">
        <v>847</v>
      </c>
      <c r="D52" s="16" t="s">
        <v>234</v>
      </c>
      <c r="E52" s="22" t="n">
        <v>283.168</v>
      </c>
      <c r="F52" s="22" t="n">
        <v>226.5344</v>
      </c>
      <c r="G52" s="22" t="n">
        <v>240.6928</v>
      </c>
      <c r="H52" s="22" t="n">
        <v>240.6928</v>
      </c>
      <c r="I52" s="22" t="n">
        <v>226.5344</v>
      </c>
      <c r="J52" s="22" t="n">
        <v>212.376</v>
      </c>
      <c r="K52" s="22" t="n">
        <v>226.5344</v>
      </c>
      <c r="L52" s="22" t="n">
        <v>226.5344</v>
      </c>
      <c r="M52" s="22" t="n">
        <v>226.5344</v>
      </c>
      <c r="N52" s="22" t="n">
        <v>212.376</v>
      </c>
      <c r="O52" s="22" t="n">
        <v>198.2176</v>
      </c>
      <c r="P52" s="22" t="n">
        <v>311.4848</v>
      </c>
      <c r="Q52" s="22" t="n">
        <f aca="false">SUM(E52:P52)</f>
        <v>2831.68</v>
      </c>
      <c r="W52" s="1"/>
      <c r="X52" s="1"/>
      <c r="Y52" s="1"/>
      <c r="Z52" s="1"/>
    </row>
    <row r="53" customFormat="false" ht="15.75" hidden="false" customHeight="true" outlineLevel="0" collapsed="false">
      <c r="A53" s="42" t="n">
        <v>2031</v>
      </c>
      <c r="B53" s="13" t="s">
        <v>776</v>
      </c>
      <c r="C53" s="13" t="s">
        <v>847</v>
      </c>
      <c r="D53" s="16" t="s">
        <v>235</v>
      </c>
      <c r="E53" s="22" t="n">
        <v>1400.596</v>
      </c>
      <c r="F53" s="22" t="n">
        <v>1120.4768</v>
      </c>
      <c r="G53" s="22" t="n">
        <v>1190.5066</v>
      </c>
      <c r="H53" s="22" t="n">
        <v>1190.5066</v>
      </c>
      <c r="I53" s="22" t="n">
        <v>1120.4768</v>
      </c>
      <c r="J53" s="22" t="n">
        <v>1050.447</v>
      </c>
      <c r="K53" s="22" t="n">
        <v>1120.4768</v>
      </c>
      <c r="L53" s="22" t="n">
        <v>1120.4768</v>
      </c>
      <c r="M53" s="22" t="n">
        <v>1120.4768</v>
      </c>
      <c r="N53" s="22" t="n">
        <v>1050.447</v>
      </c>
      <c r="O53" s="22" t="n">
        <v>980.4172</v>
      </c>
      <c r="P53" s="22" t="n">
        <v>1540.6556</v>
      </c>
      <c r="Q53" s="22" t="n">
        <f aca="false">SUM(E53:P53)</f>
        <v>14005.96</v>
      </c>
      <c r="W53" s="1"/>
      <c r="X53" s="1"/>
      <c r="Y53" s="1"/>
      <c r="Z53" s="1"/>
    </row>
    <row r="54" customFormat="false" ht="15.75" hidden="false" customHeight="true" outlineLevel="0" collapsed="false">
      <c r="A54" s="42" t="n">
        <v>2031</v>
      </c>
      <c r="B54" s="13" t="s">
        <v>777</v>
      </c>
      <c r="C54" s="13" t="s">
        <v>847</v>
      </c>
      <c r="D54" s="16" t="s">
        <v>236</v>
      </c>
      <c r="E54" s="22" t="n">
        <v>85.696</v>
      </c>
      <c r="F54" s="22" t="n">
        <v>68.5568</v>
      </c>
      <c r="G54" s="22" t="n">
        <v>72.8416</v>
      </c>
      <c r="H54" s="22" t="n">
        <v>72.8416</v>
      </c>
      <c r="I54" s="22" t="n">
        <v>68.5568</v>
      </c>
      <c r="J54" s="22" t="n">
        <v>64.272</v>
      </c>
      <c r="K54" s="22" t="n">
        <v>68.5568</v>
      </c>
      <c r="L54" s="22" t="n">
        <v>68.5568</v>
      </c>
      <c r="M54" s="22" t="n">
        <v>68.5568</v>
      </c>
      <c r="N54" s="22" t="n">
        <v>64.272</v>
      </c>
      <c r="O54" s="22" t="n">
        <v>59.9872</v>
      </c>
      <c r="P54" s="22" t="n">
        <v>94.2656</v>
      </c>
      <c r="Q54" s="22" t="n">
        <f aca="false">SUM(E54:P54)</f>
        <v>856.96</v>
      </c>
      <c r="W54" s="1"/>
      <c r="X54" s="1"/>
      <c r="Y54" s="1"/>
      <c r="Z54" s="1"/>
    </row>
    <row r="55" customFormat="false" ht="15.75" hidden="false" customHeight="true" outlineLevel="0" collapsed="false">
      <c r="A55" s="42" t="n">
        <v>2032</v>
      </c>
      <c r="B55" s="13" t="s">
        <v>770</v>
      </c>
      <c r="C55" s="13" t="s">
        <v>846</v>
      </c>
      <c r="D55" s="16" t="s">
        <v>233</v>
      </c>
      <c r="E55" s="22" t="n">
        <v>2439.906391</v>
      </c>
      <c r="F55" s="22" t="n">
        <v>1829.929794</v>
      </c>
      <c r="G55" s="22" t="n">
        <v>1626.604261</v>
      </c>
      <c r="H55" s="22" t="n">
        <v>1524.941495</v>
      </c>
      <c r="I55" s="22" t="n">
        <v>1423.278728</v>
      </c>
      <c r="J55" s="22" t="n">
        <v>1423.278728</v>
      </c>
      <c r="K55" s="22" t="n">
        <v>1524.941495</v>
      </c>
      <c r="L55" s="22" t="n">
        <v>1524.941495</v>
      </c>
      <c r="M55" s="22" t="n">
        <v>1524.941495</v>
      </c>
      <c r="N55" s="22" t="n">
        <v>1524.941495</v>
      </c>
      <c r="O55" s="22" t="n">
        <v>1524.941495</v>
      </c>
      <c r="P55" s="22" t="n">
        <v>2439.906391</v>
      </c>
      <c r="Q55" s="22" t="n">
        <f aca="false">SUM(E55:P55)</f>
        <v>20332.553263</v>
      </c>
      <c r="W55" s="1"/>
      <c r="X55" s="1"/>
      <c r="Y55" s="1"/>
      <c r="Z55" s="1"/>
    </row>
    <row r="56" customFormat="false" ht="15.75" hidden="false" customHeight="true" outlineLevel="0" collapsed="false">
      <c r="A56" s="42" t="n">
        <v>2032</v>
      </c>
      <c r="B56" s="13" t="s">
        <v>771</v>
      </c>
      <c r="C56" s="13" t="s">
        <v>846</v>
      </c>
      <c r="D56" s="16" t="s">
        <v>234</v>
      </c>
      <c r="E56" s="22" t="n">
        <v>411.6235524</v>
      </c>
      <c r="F56" s="22" t="n">
        <v>329.2988419</v>
      </c>
      <c r="G56" s="22" t="n">
        <v>349.8800195</v>
      </c>
      <c r="H56" s="22" t="n">
        <v>349.8800195</v>
      </c>
      <c r="I56" s="22" t="n">
        <v>329.2988419</v>
      </c>
      <c r="J56" s="22" t="n">
        <v>308.7176643</v>
      </c>
      <c r="K56" s="22" t="n">
        <v>329.2988419</v>
      </c>
      <c r="L56" s="22" t="n">
        <v>329.2988419</v>
      </c>
      <c r="M56" s="22" t="n">
        <v>329.2988419</v>
      </c>
      <c r="N56" s="22" t="n">
        <v>308.7176643</v>
      </c>
      <c r="O56" s="22" t="n">
        <v>288.1364867</v>
      </c>
      <c r="P56" s="22" t="n">
        <v>452.7859076</v>
      </c>
      <c r="Q56" s="22" t="n">
        <f aca="false">SUM(E56:P56)</f>
        <v>4116.2355238</v>
      </c>
      <c r="W56" s="1"/>
      <c r="X56" s="1"/>
      <c r="Y56" s="1"/>
      <c r="Z56" s="1"/>
    </row>
    <row r="57" customFormat="false" ht="15.75" hidden="false" customHeight="true" outlineLevel="0" collapsed="false">
      <c r="A57" s="42" t="n">
        <v>2032</v>
      </c>
      <c r="B57" s="13" t="s">
        <v>772</v>
      </c>
      <c r="C57" s="13" t="s">
        <v>846</v>
      </c>
      <c r="D57" s="16" t="s">
        <v>235</v>
      </c>
      <c r="E57" s="22" t="n">
        <v>1895.519984</v>
      </c>
      <c r="F57" s="22" t="n">
        <v>1516.415988</v>
      </c>
      <c r="G57" s="22" t="n">
        <v>1611.191987</v>
      </c>
      <c r="H57" s="22" t="n">
        <v>1611.191987</v>
      </c>
      <c r="I57" s="22" t="n">
        <v>1516.415988</v>
      </c>
      <c r="J57" s="22" t="n">
        <v>1421.639988</v>
      </c>
      <c r="K57" s="22" t="n">
        <v>1516.415988</v>
      </c>
      <c r="L57" s="22" t="n">
        <v>1516.415988</v>
      </c>
      <c r="M57" s="22" t="n">
        <v>1516.415988</v>
      </c>
      <c r="N57" s="22" t="n">
        <v>1421.639988</v>
      </c>
      <c r="O57" s="22" t="n">
        <v>1326.863989</v>
      </c>
      <c r="P57" s="22" t="n">
        <v>2085.071983</v>
      </c>
      <c r="Q57" s="22" t="n">
        <f aca="false">SUM(E57:P57)</f>
        <v>18955.199846</v>
      </c>
      <c r="W57" s="1"/>
      <c r="X57" s="1"/>
      <c r="Y57" s="1"/>
      <c r="Z57" s="1"/>
    </row>
    <row r="58" customFormat="false" ht="15.75" hidden="false" customHeight="true" outlineLevel="0" collapsed="false">
      <c r="A58" s="42" t="n">
        <v>2032</v>
      </c>
      <c r="B58" s="13" t="s">
        <v>773</v>
      </c>
      <c r="C58" s="13" t="s">
        <v>846</v>
      </c>
      <c r="D58" s="16" t="s">
        <v>236</v>
      </c>
      <c r="E58" s="22" t="n">
        <v>113.1680545</v>
      </c>
      <c r="F58" s="22" t="n">
        <v>90.53444359</v>
      </c>
      <c r="G58" s="22" t="n">
        <v>96.19284631</v>
      </c>
      <c r="H58" s="22" t="n">
        <v>96.19284631</v>
      </c>
      <c r="I58" s="22" t="n">
        <v>90.53444359</v>
      </c>
      <c r="J58" s="22" t="n">
        <v>84.87604086</v>
      </c>
      <c r="K58" s="22" t="n">
        <v>90.53444359</v>
      </c>
      <c r="L58" s="22" t="n">
        <v>90.53444359</v>
      </c>
      <c r="M58" s="22" t="n">
        <v>90.53444359</v>
      </c>
      <c r="N58" s="22" t="n">
        <v>84.87604086</v>
      </c>
      <c r="O58" s="22" t="n">
        <v>79.21763814</v>
      </c>
      <c r="P58" s="22" t="n">
        <v>124.4848599</v>
      </c>
      <c r="Q58" s="22" t="n">
        <f aca="false">SUM(E58:P58)</f>
        <v>1131.68054483</v>
      </c>
      <c r="W58" s="1"/>
      <c r="X58" s="1"/>
      <c r="Y58" s="1"/>
      <c r="Z58" s="1"/>
    </row>
    <row r="59" customFormat="false" ht="15.75" hidden="false" customHeight="true" outlineLevel="0" collapsed="false">
      <c r="A59" s="42" t="n">
        <v>2032</v>
      </c>
      <c r="B59" s="13" t="s">
        <v>774</v>
      </c>
      <c r="C59" s="13" t="s">
        <v>847</v>
      </c>
      <c r="D59" s="16" t="s">
        <v>233</v>
      </c>
      <c r="E59" s="22" t="n">
        <v>12160.872</v>
      </c>
      <c r="F59" s="22" t="n">
        <v>9120.654</v>
      </c>
      <c r="G59" s="22" t="n">
        <v>8107.248</v>
      </c>
      <c r="H59" s="22" t="n">
        <v>7600.545</v>
      </c>
      <c r="I59" s="22" t="n">
        <v>7093.842</v>
      </c>
      <c r="J59" s="22" t="n">
        <v>7093.842</v>
      </c>
      <c r="K59" s="22" t="n">
        <v>7600.545</v>
      </c>
      <c r="L59" s="22" t="n">
        <v>7600.545</v>
      </c>
      <c r="M59" s="22" t="n">
        <v>7600.545</v>
      </c>
      <c r="N59" s="22" t="n">
        <v>7600.545</v>
      </c>
      <c r="O59" s="22" t="n">
        <v>7600.545</v>
      </c>
      <c r="P59" s="22" t="n">
        <v>12160.872</v>
      </c>
      <c r="Q59" s="22" t="n">
        <f aca="false">SUM(E59:P59)</f>
        <v>101340.6</v>
      </c>
      <c r="W59" s="1"/>
      <c r="X59" s="1"/>
      <c r="Y59" s="1"/>
      <c r="Z59" s="1"/>
    </row>
    <row r="60" customFormat="false" ht="15.75" hidden="false" customHeight="true" outlineLevel="0" collapsed="false">
      <c r="A60" s="42" t="n">
        <v>2032</v>
      </c>
      <c r="B60" s="13" t="s">
        <v>775</v>
      </c>
      <c r="C60" s="13" t="s">
        <v>847</v>
      </c>
      <c r="D60" s="16" t="s">
        <v>234</v>
      </c>
      <c r="E60" s="22" t="n">
        <v>398.952</v>
      </c>
      <c r="F60" s="22" t="n">
        <v>319.1616</v>
      </c>
      <c r="G60" s="22" t="n">
        <v>339.1092</v>
      </c>
      <c r="H60" s="22" t="n">
        <v>339.1092</v>
      </c>
      <c r="I60" s="22" t="n">
        <v>319.1616</v>
      </c>
      <c r="J60" s="22" t="n">
        <v>299.214</v>
      </c>
      <c r="K60" s="22" t="n">
        <v>319.1616</v>
      </c>
      <c r="L60" s="22" t="n">
        <v>319.1616</v>
      </c>
      <c r="M60" s="22" t="n">
        <v>319.1616</v>
      </c>
      <c r="N60" s="22" t="n">
        <v>299.214</v>
      </c>
      <c r="O60" s="22" t="n">
        <v>279.2664</v>
      </c>
      <c r="P60" s="22" t="n">
        <v>438.8472</v>
      </c>
      <c r="Q60" s="22" t="n">
        <f aca="false">SUM(E60:P60)</f>
        <v>3989.52</v>
      </c>
      <c r="W60" s="1"/>
      <c r="X60" s="1"/>
      <c r="Y60" s="1"/>
      <c r="Z60" s="1"/>
    </row>
    <row r="61" customFormat="false" ht="15.75" hidden="false" customHeight="true" outlineLevel="0" collapsed="false">
      <c r="A61" s="42" t="n">
        <v>2032</v>
      </c>
      <c r="B61" s="13" t="s">
        <v>776</v>
      </c>
      <c r="C61" s="13" t="s">
        <v>847</v>
      </c>
      <c r="D61" s="16" t="s">
        <v>235</v>
      </c>
      <c r="E61" s="22" t="n">
        <v>1970.94</v>
      </c>
      <c r="F61" s="22" t="n">
        <v>1576.752</v>
      </c>
      <c r="G61" s="22" t="n">
        <v>1675.299</v>
      </c>
      <c r="H61" s="22" t="n">
        <v>1675.299</v>
      </c>
      <c r="I61" s="22" t="n">
        <v>1576.752</v>
      </c>
      <c r="J61" s="22" t="n">
        <v>1478.205</v>
      </c>
      <c r="K61" s="22" t="n">
        <v>1576.752</v>
      </c>
      <c r="L61" s="22" t="n">
        <v>1576.752</v>
      </c>
      <c r="M61" s="22" t="n">
        <v>1576.752</v>
      </c>
      <c r="N61" s="22" t="n">
        <v>1478.205</v>
      </c>
      <c r="O61" s="22" t="n">
        <v>1379.658</v>
      </c>
      <c r="P61" s="22" t="n">
        <v>2168.034</v>
      </c>
      <c r="Q61" s="22" t="n">
        <f aca="false">SUM(E61:P61)</f>
        <v>19709.4</v>
      </c>
      <c r="W61" s="1"/>
      <c r="X61" s="1"/>
      <c r="Y61" s="1"/>
      <c r="Z61" s="1"/>
    </row>
    <row r="62" customFormat="false" ht="15.75" hidden="false" customHeight="true" outlineLevel="0" collapsed="false">
      <c r="A62" s="42" t="n">
        <v>2032</v>
      </c>
      <c r="B62" s="13" t="s">
        <v>777</v>
      </c>
      <c r="C62" s="13" t="s">
        <v>847</v>
      </c>
      <c r="D62" s="16" t="s">
        <v>236</v>
      </c>
      <c r="E62" s="22" t="n">
        <v>120.428</v>
      </c>
      <c r="F62" s="22" t="n">
        <v>96.3424</v>
      </c>
      <c r="G62" s="22" t="n">
        <v>102.3638</v>
      </c>
      <c r="H62" s="22" t="n">
        <v>102.3638</v>
      </c>
      <c r="I62" s="22" t="n">
        <v>96.3424</v>
      </c>
      <c r="J62" s="22" t="n">
        <v>90.321</v>
      </c>
      <c r="K62" s="22" t="n">
        <v>96.3424</v>
      </c>
      <c r="L62" s="22" t="n">
        <v>96.3424</v>
      </c>
      <c r="M62" s="22" t="n">
        <v>96.3424</v>
      </c>
      <c r="N62" s="22" t="n">
        <v>90.321</v>
      </c>
      <c r="O62" s="22" t="n">
        <v>84.2996</v>
      </c>
      <c r="P62" s="22" t="n">
        <v>132.4708</v>
      </c>
      <c r="Q62" s="22" t="n">
        <f aca="false">SUM(E62:P62)</f>
        <v>1204.28</v>
      </c>
      <c r="W62" s="1"/>
      <c r="X62" s="1"/>
      <c r="Y62" s="1"/>
      <c r="Z62" s="1"/>
    </row>
    <row r="63" customFormat="false" ht="15.75" hidden="false" customHeight="true" outlineLevel="0" collapsed="false">
      <c r="A63" s="42" t="n">
        <v>2033</v>
      </c>
      <c r="B63" s="13" t="s">
        <v>770</v>
      </c>
      <c r="C63" s="13" t="s">
        <v>846</v>
      </c>
      <c r="D63" s="16" t="s">
        <v>233</v>
      </c>
      <c r="E63" s="22" t="n">
        <v>3015.849417</v>
      </c>
      <c r="F63" s="22" t="n">
        <v>2261.887063</v>
      </c>
      <c r="G63" s="22" t="n">
        <v>2010.566278</v>
      </c>
      <c r="H63" s="22" t="n">
        <v>1884.905886</v>
      </c>
      <c r="I63" s="22" t="n">
        <v>1759.245493</v>
      </c>
      <c r="J63" s="22" t="n">
        <v>1759.245493</v>
      </c>
      <c r="K63" s="22" t="n">
        <v>1884.905886</v>
      </c>
      <c r="L63" s="22" t="n">
        <v>1884.905886</v>
      </c>
      <c r="M63" s="22" t="n">
        <v>1884.905886</v>
      </c>
      <c r="N63" s="22" t="n">
        <v>1884.905886</v>
      </c>
      <c r="O63" s="22" t="n">
        <v>1884.905886</v>
      </c>
      <c r="P63" s="22" t="n">
        <v>3015.849417</v>
      </c>
      <c r="Q63" s="22" t="n">
        <f aca="false">SUM(E63:P63)</f>
        <v>25132.078477</v>
      </c>
      <c r="W63" s="1"/>
      <c r="X63" s="1"/>
      <c r="Y63" s="1"/>
      <c r="Z63" s="1"/>
    </row>
    <row r="64" customFormat="false" ht="15.75" hidden="false" customHeight="true" outlineLevel="0" collapsed="false">
      <c r="A64" s="42" t="n">
        <v>2033</v>
      </c>
      <c r="B64" s="13" t="s">
        <v>771</v>
      </c>
      <c r="C64" s="13" t="s">
        <v>846</v>
      </c>
      <c r="D64" s="16" t="s">
        <v>234</v>
      </c>
      <c r="E64" s="22" t="n">
        <v>511.5026587</v>
      </c>
      <c r="F64" s="22" t="n">
        <v>409.202127</v>
      </c>
      <c r="G64" s="22" t="n">
        <v>434.7772599</v>
      </c>
      <c r="H64" s="22" t="n">
        <v>434.7772599</v>
      </c>
      <c r="I64" s="22" t="n">
        <v>409.202127</v>
      </c>
      <c r="J64" s="22" t="n">
        <v>383.626994</v>
      </c>
      <c r="K64" s="22" t="n">
        <v>409.202127</v>
      </c>
      <c r="L64" s="22" t="n">
        <v>409.202127</v>
      </c>
      <c r="M64" s="22" t="n">
        <v>409.202127</v>
      </c>
      <c r="N64" s="22" t="n">
        <v>383.626994</v>
      </c>
      <c r="O64" s="22" t="n">
        <v>358.0518611</v>
      </c>
      <c r="P64" s="22" t="n">
        <v>562.6529246</v>
      </c>
      <c r="Q64" s="22" t="n">
        <f aca="false">SUM(E64:P64)</f>
        <v>5115.0265872</v>
      </c>
      <c r="W64" s="1"/>
      <c r="X64" s="1"/>
      <c r="Y64" s="1"/>
      <c r="Z64" s="1"/>
    </row>
    <row r="65" customFormat="false" ht="15.75" hidden="false" customHeight="true" outlineLevel="0" collapsed="false">
      <c r="A65" s="42" t="n">
        <v>2033</v>
      </c>
      <c r="B65" s="13" t="s">
        <v>772</v>
      </c>
      <c r="C65" s="13" t="s">
        <v>846</v>
      </c>
      <c r="D65" s="16" t="s">
        <v>235</v>
      </c>
      <c r="E65" s="22" t="n">
        <v>2343.394637</v>
      </c>
      <c r="F65" s="22" t="n">
        <v>1874.71571</v>
      </c>
      <c r="G65" s="22" t="n">
        <v>1991.885441</v>
      </c>
      <c r="H65" s="22" t="n">
        <v>1991.885441</v>
      </c>
      <c r="I65" s="22" t="n">
        <v>1874.71571</v>
      </c>
      <c r="J65" s="22" t="n">
        <v>1757.545978</v>
      </c>
      <c r="K65" s="22" t="n">
        <v>1874.71571</v>
      </c>
      <c r="L65" s="22" t="n">
        <v>1874.71571</v>
      </c>
      <c r="M65" s="22" t="n">
        <v>1874.71571</v>
      </c>
      <c r="N65" s="22" t="n">
        <v>1757.545978</v>
      </c>
      <c r="O65" s="22" t="n">
        <v>1640.376246</v>
      </c>
      <c r="P65" s="22" t="n">
        <v>2577.734101</v>
      </c>
      <c r="Q65" s="22" t="n">
        <f aca="false">SUM(E65:P65)</f>
        <v>23433.946372</v>
      </c>
      <c r="W65" s="1"/>
      <c r="X65" s="1"/>
      <c r="Y65" s="1"/>
      <c r="Z65" s="1"/>
    </row>
    <row r="66" customFormat="false" ht="15.75" hidden="false" customHeight="true" outlineLevel="0" collapsed="false">
      <c r="A66" s="42" t="n">
        <v>2033</v>
      </c>
      <c r="B66" s="13" t="s">
        <v>773</v>
      </c>
      <c r="C66" s="13" t="s">
        <v>846</v>
      </c>
      <c r="D66" s="16" t="s">
        <v>236</v>
      </c>
      <c r="E66" s="22" t="n">
        <v>139.9204812</v>
      </c>
      <c r="F66" s="22" t="n">
        <v>111.936385</v>
      </c>
      <c r="G66" s="22" t="n">
        <v>118.932409</v>
      </c>
      <c r="H66" s="22" t="n">
        <v>118.932409</v>
      </c>
      <c r="I66" s="22" t="n">
        <v>111.936385</v>
      </c>
      <c r="J66" s="22" t="n">
        <v>104.9403609</v>
      </c>
      <c r="K66" s="22" t="n">
        <v>111.936385</v>
      </c>
      <c r="L66" s="22" t="n">
        <v>111.936385</v>
      </c>
      <c r="M66" s="22" t="n">
        <v>111.936385</v>
      </c>
      <c r="N66" s="22" t="n">
        <v>104.9403609</v>
      </c>
      <c r="O66" s="22" t="n">
        <v>97.94433685</v>
      </c>
      <c r="P66" s="22" t="n">
        <v>153.9125293</v>
      </c>
      <c r="Q66" s="22" t="n">
        <f aca="false">SUM(E66:P66)</f>
        <v>1399.20481215</v>
      </c>
      <c r="W66" s="1"/>
      <c r="X66" s="1"/>
      <c r="Y66" s="1"/>
      <c r="Z66" s="1"/>
    </row>
    <row r="67" customFormat="false" ht="15.75" hidden="false" customHeight="true" outlineLevel="0" collapsed="false">
      <c r="A67" s="42" t="n">
        <v>2033</v>
      </c>
      <c r="B67" s="13" t="s">
        <v>774</v>
      </c>
      <c r="C67" s="13" t="s">
        <v>847</v>
      </c>
      <c r="D67" s="16" t="s">
        <v>233</v>
      </c>
      <c r="E67" s="22" t="n">
        <v>15720.12</v>
      </c>
      <c r="F67" s="22" t="n">
        <v>11790.09</v>
      </c>
      <c r="G67" s="22" t="n">
        <v>10480.08</v>
      </c>
      <c r="H67" s="22" t="n">
        <v>9825.075</v>
      </c>
      <c r="I67" s="22" t="n">
        <v>9170.07</v>
      </c>
      <c r="J67" s="22" t="n">
        <v>9170.07</v>
      </c>
      <c r="K67" s="22" t="n">
        <v>9825.075</v>
      </c>
      <c r="L67" s="22" t="n">
        <v>9825.075</v>
      </c>
      <c r="M67" s="22" t="n">
        <v>9825.075</v>
      </c>
      <c r="N67" s="22" t="n">
        <v>9825.075</v>
      </c>
      <c r="O67" s="22" t="n">
        <v>9825.075</v>
      </c>
      <c r="P67" s="22" t="n">
        <v>15720.12</v>
      </c>
      <c r="Q67" s="22" t="n">
        <f aca="false">SUM(E67:P67)</f>
        <v>131001</v>
      </c>
      <c r="W67" s="1"/>
      <c r="X67" s="1"/>
      <c r="Y67" s="1"/>
      <c r="Z67" s="1"/>
    </row>
    <row r="68" customFormat="false" ht="15.75" hidden="false" customHeight="true" outlineLevel="0" collapsed="false">
      <c r="A68" s="42" t="n">
        <v>2033</v>
      </c>
      <c r="B68" s="13" t="s">
        <v>775</v>
      </c>
      <c r="C68" s="13" t="s">
        <v>847</v>
      </c>
      <c r="D68" s="16" t="s">
        <v>234</v>
      </c>
      <c r="E68" s="22" t="n">
        <v>514.404</v>
      </c>
      <c r="F68" s="22" t="n">
        <v>411.5232</v>
      </c>
      <c r="G68" s="22" t="n">
        <v>437.2434</v>
      </c>
      <c r="H68" s="22" t="n">
        <v>437.2434</v>
      </c>
      <c r="I68" s="22" t="n">
        <v>411.5232</v>
      </c>
      <c r="J68" s="22" t="n">
        <v>385.803</v>
      </c>
      <c r="K68" s="22" t="n">
        <v>411.5232</v>
      </c>
      <c r="L68" s="22" t="n">
        <v>411.5232</v>
      </c>
      <c r="M68" s="22" t="n">
        <v>411.5232</v>
      </c>
      <c r="N68" s="22" t="n">
        <v>385.803</v>
      </c>
      <c r="O68" s="22" t="n">
        <v>360.0828</v>
      </c>
      <c r="P68" s="22" t="n">
        <v>565.8444</v>
      </c>
      <c r="Q68" s="22" t="n">
        <f aca="false">SUM(E68:P68)</f>
        <v>5144.04</v>
      </c>
      <c r="W68" s="1"/>
      <c r="X68" s="1"/>
      <c r="Y68" s="1"/>
      <c r="Z68" s="1"/>
    </row>
    <row r="69" customFormat="false" ht="15.75" hidden="false" customHeight="true" outlineLevel="0" collapsed="false">
      <c r="A69" s="42" t="n">
        <v>2033</v>
      </c>
      <c r="B69" s="13" t="s">
        <v>776</v>
      </c>
      <c r="C69" s="13" t="s">
        <v>847</v>
      </c>
      <c r="D69" s="16" t="s">
        <v>235</v>
      </c>
      <c r="E69" s="22" t="n">
        <v>2540.828</v>
      </c>
      <c r="F69" s="22" t="n">
        <v>2032.6624</v>
      </c>
      <c r="G69" s="22" t="n">
        <v>2159.7038</v>
      </c>
      <c r="H69" s="22" t="n">
        <v>2159.7038</v>
      </c>
      <c r="I69" s="22" t="n">
        <v>2032.6624</v>
      </c>
      <c r="J69" s="22" t="n">
        <v>1905.621</v>
      </c>
      <c r="K69" s="22" t="n">
        <v>2032.6624</v>
      </c>
      <c r="L69" s="22" t="n">
        <v>2032.6624</v>
      </c>
      <c r="M69" s="22" t="n">
        <v>2032.6624</v>
      </c>
      <c r="N69" s="22" t="n">
        <v>1905.621</v>
      </c>
      <c r="O69" s="22" t="n">
        <v>1778.5796</v>
      </c>
      <c r="P69" s="22" t="n">
        <v>2794.9108</v>
      </c>
      <c r="Q69" s="22" t="n">
        <f aca="false">SUM(E69:P69)</f>
        <v>25408.28</v>
      </c>
      <c r="W69" s="1"/>
      <c r="X69" s="1"/>
      <c r="Y69" s="1"/>
      <c r="Z69" s="1"/>
    </row>
    <row r="70" customFormat="false" ht="15.75" hidden="false" customHeight="true" outlineLevel="0" collapsed="false">
      <c r="A70" s="42" t="n">
        <v>2033</v>
      </c>
      <c r="B70" s="13" t="s">
        <v>777</v>
      </c>
      <c r="C70" s="13" t="s">
        <v>847</v>
      </c>
      <c r="D70" s="16" t="s">
        <v>236</v>
      </c>
      <c r="E70" s="22" t="n">
        <v>155.236</v>
      </c>
      <c r="F70" s="22" t="n">
        <v>124.1888</v>
      </c>
      <c r="G70" s="22" t="n">
        <v>131.9506</v>
      </c>
      <c r="H70" s="22" t="n">
        <v>131.9506</v>
      </c>
      <c r="I70" s="22" t="n">
        <v>124.1888</v>
      </c>
      <c r="J70" s="22" t="n">
        <v>116.427</v>
      </c>
      <c r="K70" s="22" t="n">
        <v>124.1888</v>
      </c>
      <c r="L70" s="22" t="n">
        <v>124.1888</v>
      </c>
      <c r="M70" s="22" t="n">
        <v>124.1888</v>
      </c>
      <c r="N70" s="22" t="n">
        <v>116.427</v>
      </c>
      <c r="O70" s="22" t="n">
        <v>108.6652</v>
      </c>
      <c r="P70" s="22" t="n">
        <v>170.7596</v>
      </c>
      <c r="Q70" s="22" t="n">
        <f aca="false">SUM(E70:P70)</f>
        <v>1552.36</v>
      </c>
      <c r="W70" s="1"/>
      <c r="X70" s="1"/>
      <c r="Y70" s="1"/>
      <c r="Z70" s="1"/>
    </row>
    <row r="71" customFormat="false" ht="15.75" hidden="false" customHeight="true" outlineLevel="0" collapsed="false">
      <c r="A71" s="42" t="n">
        <v>2034</v>
      </c>
      <c r="B71" s="13" t="s">
        <v>770</v>
      </c>
      <c r="C71" s="13" t="s">
        <v>846</v>
      </c>
      <c r="D71" s="16" t="s">
        <v>233</v>
      </c>
      <c r="E71" s="22" t="n">
        <v>3428.800336</v>
      </c>
      <c r="F71" s="22" t="n">
        <v>2571.600252</v>
      </c>
      <c r="G71" s="22" t="n">
        <v>2285.866891</v>
      </c>
      <c r="H71" s="22" t="n">
        <v>2143.00021</v>
      </c>
      <c r="I71" s="22" t="n">
        <v>2000.13353</v>
      </c>
      <c r="J71" s="22" t="n">
        <v>2000.13353</v>
      </c>
      <c r="K71" s="22" t="n">
        <v>2143.00021</v>
      </c>
      <c r="L71" s="22" t="n">
        <v>2143.00021</v>
      </c>
      <c r="M71" s="22" t="n">
        <v>2143.00021</v>
      </c>
      <c r="N71" s="22" t="n">
        <v>2143.00021</v>
      </c>
      <c r="O71" s="22" t="n">
        <v>2143.00021</v>
      </c>
      <c r="P71" s="22" t="n">
        <v>3428.800336</v>
      </c>
      <c r="Q71" s="22" t="n">
        <f aca="false">SUM(E71:P71)</f>
        <v>28573.336135</v>
      </c>
      <c r="W71" s="1"/>
      <c r="X71" s="1"/>
      <c r="Y71" s="1"/>
      <c r="Z71" s="1"/>
    </row>
    <row r="72" customFormat="false" ht="15.75" hidden="false" customHeight="true" outlineLevel="0" collapsed="false">
      <c r="A72" s="42" t="n">
        <v>2034</v>
      </c>
      <c r="B72" s="13" t="s">
        <v>771</v>
      </c>
      <c r="C72" s="13" t="s">
        <v>846</v>
      </c>
      <c r="D72" s="16" t="s">
        <v>234</v>
      </c>
      <c r="E72" s="22" t="n">
        <v>620.5386243</v>
      </c>
      <c r="F72" s="22" t="n">
        <v>496.4308995</v>
      </c>
      <c r="G72" s="22" t="n">
        <v>527.4578307</v>
      </c>
      <c r="H72" s="22" t="n">
        <v>527.4578307</v>
      </c>
      <c r="I72" s="22" t="n">
        <v>496.4308995</v>
      </c>
      <c r="J72" s="22" t="n">
        <v>465.4039682</v>
      </c>
      <c r="K72" s="22" t="n">
        <v>496.4308995</v>
      </c>
      <c r="L72" s="22" t="n">
        <v>496.4308995</v>
      </c>
      <c r="M72" s="22" t="n">
        <v>496.4308995</v>
      </c>
      <c r="N72" s="22" t="n">
        <v>465.4039682</v>
      </c>
      <c r="O72" s="22" t="n">
        <v>434.377037</v>
      </c>
      <c r="P72" s="22" t="n">
        <v>682.5924868</v>
      </c>
      <c r="Q72" s="22" t="n">
        <f aca="false">SUM(E72:P72)</f>
        <v>6205.3862434</v>
      </c>
      <c r="W72" s="1"/>
      <c r="X72" s="1"/>
      <c r="Y72" s="1"/>
      <c r="Z72" s="1"/>
    </row>
    <row r="73" customFormat="false" ht="15.75" hidden="false" customHeight="true" outlineLevel="0" collapsed="false">
      <c r="A73" s="42" t="n">
        <v>2034</v>
      </c>
      <c r="B73" s="13" t="s">
        <v>772</v>
      </c>
      <c r="C73" s="13" t="s">
        <v>846</v>
      </c>
      <c r="D73" s="16" t="s">
        <v>235</v>
      </c>
      <c r="E73" s="22" t="n">
        <v>2702.852455</v>
      </c>
      <c r="F73" s="22" t="n">
        <v>2162.281964</v>
      </c>
      <c r="G73" s="22" t="n">
        <v>2297.424587</v>
      </c>
      <c r="H73" s="22" t="n">
        <v>2297.424587</v>
      </c>
      <c r="I73" s="22" t="n">
        <v>2162.281964</v>
      </c>
      <c r="J73" s="22" t="n">
        <v>2027.139341</v>
      </c>
      <c r="K73" s="22" t="n">
        <v>2162.281964</v>
      </c>
      <c r="L73" s="22" t="n">
        <v>2162.281964</v>
      </c>
      <c r="M73" s="22" t="n">
        <v>2162.281964</v>
      </c>
      <c r="N73" s="22" t="n">
        <v>2027.139341</v>
      </c>
      <c r="O73" s="22" t="n">
        <v>1891.996719</v>
      </c>
      <c r="P73" s="22" t="n">
        <v>2973.137701</v>
      </c>
      <c r="Q73" s="22" t="n">
        <f aca="false">SUM(E73:P73)</f>
        <v>27028.524551</v>
      </c>
      <c r="W73" s="1"/>
      <c r="X73" s="1"/>
      <c r="Y73" s="1"/>
      <c r="Z73" s="1"/>
    </row>
    <row r="74" customFormat="false" ht="15.75" hidden="false" customHeight="true" outlineLevel="0" collapsed="false">
      <c r="A74" s="42" t="n">
        <v>2034</v>
      </c>
      <c r="B74" s="13" t="s">
        <v>773</v>
      </c>
      <c r="C74" s="13" t="s">
        <v>846</v>
      </c>
      <c r="D74" s="16" t="s">
        <v>236</v>
      </c>
      <c r="E74" s="22" t="n">
        <v>161.6270054</v>
      </c>
      <c r="F74" s="22" t="n">
        <v>129.3016043</v>
      </c>
      <c r="G74" s="22" t="n">
        <v>137.3829546</v>
      </c>
      <c r="H74" s="22" t="n">
        <v>137.3829546</v>
      </c>
      <c r="I74" s="22" t="n">
        <v>129.3016043</v>
      </c>
      <c r="J74" s="22" t="n">
        <v>121.2202541</v>
      </c>
      <c r="K74" s="22" t="n">
        <v>129.3016043</v>
      </c>
      <c r="L74" s="22" t="n">
        <v>129.3016043</v>
      </c>
      <c r="M74" s="22" t="n">
        <v>129.3016043</v>
      </c>
      <c r="N74" s="22" t="n">
        <v>121.2202541</v>
      </c>
      <c r="O74" s="22" t="n">
        <v>113.1389038</v>
      </c>
      <c r="P74" s="22" t="n">
        <v>177.789706</v>
      </c>
      <c r="Q74" s="22" t="n">
        <f aca="false">SUM(E74:P74)</f>
        <v>1616.2700541</v>
      </c>
      <c r="W74" s="1"/>
      <c r="X74" s="1"/>
      <c r="Y74" s="1"/>
      <c r="Z74" s="1"/>
    </row>
    <row r="75" customFormat="false" ht="15.75" hidden="false" customHeight="true" outlineLevel="0" collapsed="false">
      <c r="A75" s="42" t="n">
        <v>2034</v>
      </c>
      <c r="B75" s="13" t="s">
        <v>774</v>
      </c>
      <c r="C75" s="13" t="s">
        <v>847</v>
      </c>
      <c r="D75" s="16" t="s">
        <v>233</v>
      </c>
      <c r="E75" s="22" t="n">
        <v>17618.376</v>
      </c>
      <c r="F75" s="22" t="n">
        <v>13213.782</v>
      </c>
      <c r="G75" s="22" t="n">
        <v>11745.584</v>
      </c>
      <c r="H75" s="22" t="n">
        <v>11011.485</v>
      </c>
      <c r="I75" s="22" t="n">
        <v>10277.386</v>
      </c>
      <c r="J75" s="22" t="n">
        <v>10277.386</v>
      </c>
      <c r="K75" s="22" t="n">
        <v>11011.485</v>
      </c>
      <c r="L75" s="22" t="n">
        <v>11011.485</v>
      </c>
      <c r="M75" s="22" t="n">
        <v>11011.485</v>
      </c>
      <c r="N75" s="22" t="n">
        <v>11011.485</v>
      </c>
      <c r="O75" s="22" t="n">
        <v>11011.485</v>
      </c>
      <c r="P75" s="22" t="n">
        <v>17618.376</v>
      </c>
      <c r="Q75" s="22" t="n">
        <f aca="false">SUM(E75:P75)</f>
        <v>146819.8</v>
      </c>
      <c r="W75" s="1"/>
      <c r="X75" s="1"/>
      <c r="Y75" s="1"/>
      <c r="Z75" s="1"/>
    </row>
    <row r="76" customFormat="false" ht="15.75" hidden="false" customHeight="true" outlineLevel="0" collapsed="false">
      <c r="A76" s="42" t="n">
        <v>2034</v>
      </c>
      <c r="B76" s="13" t="s">
        <v>775</v>
      </c>
      <c r="C76" s="13" t="s">
        <v>847</v>
      </c>
      <c r="D76" s="16" t="s">
        <v>234</v>
      </c>
      <c r="E76" s="22" t="n">
        <v>576.24</v>
      </c>
      <c r="F76" s="22" t="n">
        <v>460.992</v>
      </c>
      <c r="G76" s="22" t="n">
        <v>489.804</v>
      </c>
      <c r="H76" s="22" t="n">
        <v>489.804</v>
      </c>
      <c r="I76" s="22" t="n">
        <v>460.992</v>
      </c>
      <c r="J76" s="22" t="n">
        <v>432.18</v>
      </c>
      <c r="K76" s="22" t="n">
        <v>460.992</v>
      </c>
      <c r="L76" s="22" t="n">
        <v>460.992</v>
      </c>
      <c r="M76" s="22" t="n">
        <v>460.992</v>
      </c>
      <c r="N76" s="22" t="n">
        <v>432.18</v>
      </c>
      <c r="O76" s="22" t="n">
        <v>403.368</v>
      </c>
      <c r="P76" s="22" t="n">
        <v>633.864</v>
      </c>
      <c r="Q76" s="22" t="n">
        <f aca="false">SUM(E76:P76)</f>
        <v>5762.4</v>
      </c>
      <c r="W76" s="1"/>
      <c r="X76" s="1"/>
      <c r="Y76" s="1"/>
      <c r="Z76" s="1"/>
    </row>
    <row r="77" customFormat="false" ht="15.75" hidden="false" customHeight="true" outlineLevel="0" collapsed="false">
      <c r="A77" s="42" t="n">
        <v>2034</v>
      </c>
      <c r="B77" s="13" t="s">
        <v>776</v>
      </c>
      <c r="C77" s="13" t="s">
        <v>847</v>
      </c>
      <c r="D77" s="16" t="s">
        <v>235</v>
      </c>
      <c r="E77" s="22" t="n">
        <v>2845.284</v>
      </c>
      <c r="F77" s="22" t="n">
        <v>2276.2272</v>
      </c>
      <c r="G77" s="22" t="n">
        <v>2418.4914</v>
      </c>
      <c r="H77" s="22" t="n">
        <v>2418.4914</v>
      </c>
      <c r="I77" s="22" t="n">
        <v>2276.2272</v>
      </c>
      <c r="J77" s="22" t="n">
        <v>2133.963</v>
      </c>
      <c r="K77" s="22" t="n">
        <v>2276.2272</v>
      </c>
      <c r="L77" s="22" t="n">
        <v>2276.2272</v>
      </c>
      <c r="M77" s="22" t="n">
        <v>2276.2272</v>
      </c>
      <c r="N77" s="22" t="n">
        <v>2133.963</v>
      </c>
      <c r="O77" s="22" t="n">
        <v>1991.6988</v>
      </c>
      <c r="P77" s="22" t="n">
        <v>3129.8124</v>
      </c>
      <c r="Q77" s="22" t="n">
        <f aca="false">SUM(E77:P77)</f>
        <v>28452.84</v>
      </c>
      <c r="W77" s="1"/>
      <c r="X77" s="1"/>
      <c r="Y77" s="1"/>
      <c r="Z77" s="1"/>
    </row>
    <row r="78" customFormat="false" ht="15.75" hidden="false" customHeight="true" outlineLevel="0" collapsed="false">
      <c r="A78" s="42" t="n">
        <v>2034</v>
      </c>
      <c r="B78" s="13" t="s">
        <v>777</v>
      </c>
      <c r="C78" s="13" t="s">
        <v>847</v>
      </c>
      <c r="D78" s="16" t="s">
        <v>236</v>
      </c>
      <c r="E78" s="22" t="n">
        <v>173.908</v>
      </c>
      <c r="F78" s="22" t="n">
        <v>139.1264</v>
      </c>
      <c r="G78" s="22" t="n">
        <v>147.8218</v>
      </c>
      <c r="H78" s="22" t="n">
        <v>147.8218</v>
      </c>
      <c r="I78" s="22" t="n">
        <v>139.1264</v>
      </c>
      <c r="J78" s="22" t="n">
        <v>130.431</v>
      </c>
      <c r="K78" s="22" t="n">
        <v>139.1264</v>
      </c>
      <c r="L78" s="22" t="n">
        <v>139.1264</v>
      </c>
      <c r="M78" s="22" t="n">
        <v>139.1264</v>
      </c>
      <c r="N78" s="22" t="n">
        <v>130.431</v>
      </c>
      <c r="O78" s="22" t="n">
        <v>121.7356</v>
      </c>
      <c r="P78" s="22" t="n">
        <v>191.2988</v>
      </c>
      <c r="Q78" s="22" t="n">
        <f aca="false">SUM(E78:P78)</f>
        <v>1739.08</v>
      </c>
      <c r="W78" s="1"/>
      <c r="X78" s="1"/>
      <c r="Y78" s="1"/>
      <c r="Z78" s="1"/>
    </row>
    <row r="79" customFormat="false" ht="15.75" hidden="false" customHeight="true" outlineLevel="0" collapsed="false">
      <c r="A79" s="42" t="n">
        <v>2035</v>
      </c>
      <c r="B79" s="13" t="s">
        <v>770</v>
      </c>
      <c r="C79" s="13" t="s">
        <v>846</v>
      </c>
      <c r="D79" s="16" t="s">
        <v>233</v>
      </c>
      <c r="E79" s="22" t="n">
        <v>3848.716696</v>
      </c>
      <c r="F79" s="22" t="n">
        <v>2886.537522</v>
      </c>
      <c r="G79" s="22" t="n">
        <v>2565.811131</v>
      </c>
      <c r="H79" s="22" t="n">
        <v>2405.447935</v>
      </c>
      <c r="I79" s="22" t="n">
        <v>2245.084739</v>
      </c>
      <c r="J79" s="22" t="n">
        <v>2245.084739</v>
      </c>
      <c r="K79" s="22" t="n">
        <v>2405.447935</v>
      </c>
      <c r="L79" s="22" t="n">
        <v>2405.447935</v>
      </c>
      <c r="M79" s="22" t="n">
        <v>2405.447935</v>
      </c>
      <c r="N79" s="22" t="n">
        <v>2405.447935</v>
      </c>
      <c r="O79" s="22" t="n">
        <v>2405.447935</v>
      </c>
      <c r="P79" s="22" t="n">
        <v>3848.716696</v>
      </c>
      <c r="Q79" s="22" t="n">
        <f aca="false">SUM(E79:P79)</f>
        <v>32072.639133</v>
      </c>
      <c r="W79" s="1"/>
      <c r="X79" s="1"/>
      <c r="Y79" s="1"/>
      <c r="Z79" s="1"/>
    </row>
    <row r="80" customFormat="false" ht="15.75" hidden="false" customHeight="true" outlineLevel="0" collapsed="false">
      <c r="A80" s="42" t="n">
        <v>2035</v>
      </c>
      <c r="B80" s="13" t="s">
        <v>771</v>
      </c>
      <c r="C80" s="13" t="s">
        <v>846</v>
      </c>
      <c r="D80" s="16" t="s">
        <v>234</v>
      </c>
      <c r="E80" s="22" t="n">
        <v>743.6458444</v>
      </c>
      <c r="F80" s="22" t="n">
        <v>594.9166755</v>
      </c>
      <c r="G80" s="22" t="n">
        <v>632.0989678</v>
      </c>
      <c r="H80" s="22" t="n">
        <v>632.0989678</v>
      </c>
      <c r="I80" s="22" t="n">
        <v>594.9166755</v>
      </c>
      <c r="J80" s="22" t="n">
        <v>557.7343833</v>
      </c>
      <c r="K80" s="22" t="n">
        <v>594.9166755</v>
      </c>
      <c r="L80" s="22" t="n">
        <v>594.9166755</v>
      </c>
      <c r="M80" s="22" t="n">
        <v>594.9166755</v>
      </c>
      <c r="N80" s="22" t="n">
        <v>557.7343833</v>
      </c>
      <c r="O80" s="22" t="n">
        <v>520.5520911</v>
      </c>
      <c r="P80" s="22" t="n">
        <v>818.0104289</v>
      </c>
      <c r="Q80" s="22" t="n">
        <f aca="false">SUM(E80:P80)</f>
        <v>7436.4584441</v>
      </c>
      <c r="W80" s="1"/>
      <c r="X80" s="1"/>
      <c r="Y80" s="1"/>
      <c r="Z80" s="1"/>
    </row>
    <row r="81" customFormat="false" ht="15.75" hidden="false" customHeight="true" outlineLevel="0" collapsed="false">
      <c r="A81" s="42" t="n">
        <v>2035</v>
      </c>
      <c r="B81" s="13" t="s">
        <v>772</v>
      </c>
      <c r="C81" s="13" t="s">
        <v>846</v>
      </c>
      <c r="D81" s="16" t="s">
        <v>235</v>
      </c>
      <c r="E81" s="22" t="n">
        <v>3081.497872</v>
      </c>
      <c r="F81" s="22" t="n">
        <v>2465.198298</v>
      </c>
      <c r="G81" s="22" t="n">
        <v>2619.273191</v>
      </c>
      <c r="H81" s="22" t="n">
        <v>2619.273191</v>
      </c>
      <c r="I81" s="22" t="n">
        <v>2465.198298</v>
      </c>
      <c r="J81" s="22" t="n">
        <v>2311.123404</v>
      </c>
      <c r="K81" s="22" t="n">
        <v>2465.198298</v>
      </c>
      <c r="L81" s="22" t="n">
        <v>2465.198298</v>
      </c>
      <c r="M81" s="22" t="n">
        <v>2465.198298</v>
      </c>
      <c r="N81" s="22" t="n">
        <v>2311.123404</v>
      </c>
      <c r="O81" s="22" t="n">
        <v>2157.04851</v>
      </c>
      <c r="P81" s="22" t="n">
        <v>3389.647659</v>
      </c>
      <c r="Q81" s="22" t="n">
        <f aca="false">SUM(E81:P81)</f>
        <v>30814.978721</v>
      </c>
      <c r="W81" s="1"/>
      <c r="X81" s="1"/>
      <c r="Y81" s="1"/>
      <c r="Z81" s="1"/>
    </row>
    <row r="82" customFormat="false" ht="15.75" hidden="false" customHeight="true" outlineLevel="0" collapsed="false">
      <c r="A82" s="42" t="n">
        <v>2035</v>
      </c>
      <c r="B82" s="13" t="s">
        <v>773</v>
      </c>
      <c r="C82" s="13" t="s">
        <v>846</v>
      </c>
      <c r="D82" s="16" t="s">
        <v>236</v>
      </c>
      <c r="E82" s="22" t="n">
        <v>184.4928079</v>
      </c>
      <c r="F82" s="22" t="n">
        <v>147.5942463</v>
      </c>
      <c r="G82" s="22" t="n">
        <v>156.8188867</v>
      </c>
      <c r="H82" s="22" t="n">
        <v>156.8188867</v>
      </c>
      <c r="I82" s="22" t="n">
        <v>147.5942463</v>
      </c>
      <c r="J82" s="22" t="n">
        <v>138.3696059</v>
      </c>
      <c r="K82" s="22" t="n">
        <v>147.5942463</v>
      </c>
      <c r="L82" s="22" t="n">
        <v>147.5942463</v>
      </c>
      <c r="M82" s="22" t="n">
        <v>147.5942463</v>
      </c>
      <c r="N82" s="22" t="n">
        <v>138.3696059</v>
      </c>
      <c r="O82" s="22" t="n">
        <v>129.1449655</v>
      </c>
      <c r="P82" s="22" t="n">
        <v>202.9420886</v>
      </c>
      <c r="Q82" s="22" t="n">
        <f aca="false">SUM(E82:P82)</f>
        <v>1844.9280787</v>
      </c>
      <c r="W82" s="1"/>
      <c r="X82" s="1"/>
      <c r="Y82" s="1"/>
      <c r="Z82" s="1"/>
    </row>
    <row r="83" customFormat="false" ht="15.75" hidden="false" customHeight="true" outlineLevel="0" collapsed="false">
      <c r="A83" s="42" t="n">
        <v>2035</v>
      </c>
      <c r="B83" s="13" t="s">
        <v>774</v>
      </c>
      <c r="C83" s="13" t="s">
        <v>847</v>
      </c>
      <c r="D83" s="16" t="s">
        <v>233</v>
      </c>
      <c r="E83" s="22" t="n">
        <v>20465.76</v>
      </c>
      <c r="F83" s="22" t="n">
        <v>15349.32</v>
      </c>
      <c r="G83" s="22" t="n">
        <v>13643.84</v>
      </c>
      <c r="H83" s="22" t="n">
        <v>12791.1</v>
      </c>
      <c r="I83" s="22" t="n">
        <v>11938.36</v>
      </c>
      <c r="J83" s="22" t="n">
        <v>11938.36</v>
      </c>
      <c r="K83" s="22" t="n">
        <v>12791.1</v>
      </c>
      <c r="L83" s="22" t="n">
        <v>12791.1</v>
      </c>
      <c r="M83" s="22" t="n">
        <v>12791.1</v>
      </c>
      <c r="N83" s="22" t="n">
        <v>12791.1</v>
      </c>
      <c r="O83" s="22" t="n">
        <v>12791.1</v>
      </c>
      <c r="P83" s="22" t="n">
        <v>20465.76</v>
      </c>
      <c r="Q83" s="22" t="n">
        <f aca="false">SUM(E83:P83)</f>
        <v>170548</v>
      </c>
      <c r="W83" s="1"/>
      <c r="X83" s="1"/>
      <c r="Y83" s="1"/>
      <c r="Z83" s="1"/>
    </row>
    <row r="84" customFormat="false" ht="15.75" hidden="false" customHeight="true" outlineLevel="0" collapsed="false">
      <c r="A84" s="42" t="n">
        <v>2035</v>
      </c>
      <c r="B84" s="13" t="s">
        <v>775</v>
      </c>
      <c r="C84" s="13" t="s">
        <v>847</v>
      </c>
      <c r="D84" s="16" t="s">
        <v>234</v>
      </c>
      <c r="E84" s="22" t="n">
        <v>668.988</v>
      </c>
      <c r="F84" s="22" t="n">
        <v>535.1904</v>
      </c>
      <c r="G84" s="22" t="n">
        <v>568.6398</v>
      </c>
      <c r="H84" s="22" t="n">
        <v>568.6398</v>
      </c>
      <c r="I84" s="22" t="n">
        <v>535.1904</v>
      </c>
      <c r="J84" s="22" t="n">
        <v>501.741</v>
      </c>
      <c r="K84" s="22" t="n">
        <v>535.1904</v>
      </c>
      <c r="L84" s="22" t="n">
        <v>535.1904</v>
      </c>
      <c r="M84" s="22" t="n">
        <v>535.1904</v>
      </c>
      <c r="N84" s="22" t="n">
        <v>501.741</v>
      </c>
      <c r="O84" s="22" t="n">
        <v>468.2916</v>
      </c>
      <c r="P84" s="22" t="n">
        <v>735.8868</v>
      </c>
      <c r="Q84" s="22" t="n">
        <f aca="false">SUM(E84:P84)</f>
        <v>6689.88</v>
      </c>
      <c r="W84" s="1"/>
      <c r="X84" s="1"/>
      <c r="Y84" s="1"/>
      <c r="Z84" s="1"/>
    </row>
    <row r="85" customFormat="false" ht="15.75" hidden="false" customHeight="true" outlineLevel="0" collapsed="false">
      <c r="A85" s="42" t="n">
        <v>2035</v>
      </c>
      <c r="B85" s="13" t="s">
        <v>776</v>
      </c>
      <c r="C85" s="13" t="s">
        <v>847</v>
      </c>
      <c r="D85" s="16" t="s">
        <v>235</v>
      </c>
      <c r="E85" s="22" t="n">
        <v>3303.768</v>
      </c>
      <c r="F85" s="22" t="n">
        <v>2643.0144</v>
      </c>
      <c r="G85" s="22" t="n">
        <v>2808.2028</v>
      </c>
      <c r="H85" s="22" t="n">
        <v>2808.2028</v>
      </c>
      <c r="I85" s="22" t="n">
        <v>2643.0144</v>
      </c>
      <c r="J85" s="22" t="n">
        <v>2477.826</v>
      </c>
      <c r="K85" s="22" t="n">
        <v>2643.0144</v>
      </c>
      <c r="L85" s="22" t="n">
        <v>2643.0144</v>
      </c>
      <c r="M85" s="22" t="n">
        <v>2643.0144</v>
      </c>
      <c r="N85" s="22" t="n">
        <v>2477.826</v>
      </c>
      <c r="O85" s="22" t="n">
        <v>2312.6376</v>
      </c>
      <c r="P85" s="22" t="n">
        <v>3634.1448</v>
      </c>
      <c r="Q85" s="22" t="n">
        <f aca="false">SUM(E85:P85)</f>
        <v>33037.68</v>
      </c>
      <c r="W85" s="1"/>
      <c r="X85" s="1"/>
      <c r="Y85" s="1"/>
      <c r="Z85" s="1"/>
    </row>
    <row r="86" customFormat="false" ht="15.75" hidden="false" customHeight="true" outlineLevel="0" collapsed="false">
      <c r="A86" s="42" t="n">
        <v>2035</v>
      </c>
      <c r="B86" s="13" t="s">
        <v>777</v>
      </c>
      <c r="C86" s="13" t="s">
        <v>847</v>
      </c>
      <c r="D86" s="16" t="s">
        <v>236</v>
      </c>
      <c r="E86" s="22" t="n">
        <v>201.8</v>
      </c>
      <c r="F86" s="22" t="n">
        <v>161.44</v>
      </c>
      <c r="G86" s="22" t="n">
        <v>171.53</v>
      </c>
      <c r="H86" s="22" t="n">
        <v>171.53</v>
      </c>
      <c r="I86" s="22" t="n">
        <v>161.44</v>
      </c>
      <c r="J86" s="22" t="n">
        <v>151.35</v>
      </c>
      <c r="K86" s="22" t="n">
        <v>161.44</v>
      </c>
      <c r="L86" s="22" t="n">
        <v>161.44</v>
      </c>
      <c r="M86" s="22" t="n">
        <v>161.44</v>
      </c>
      <c r="N86" s="22" t="n">
        <v>151.35</v>
      </c>
      <c r="O86" s="22" t="n">
        <v>141.26</v>
      </c>
      <c r="P86" s="22" t="n">
        <v>221.98</v>
      </c>
      <c r="Q86" s="22" t="n">
        <f aca="false">SUM(E86:P86)</f>
        <v>2018</v>
      </c>
      <c r="W86" s="1"/>
      <c r="X86" s="1"/>
      <c r="Y86" s="1"/>
      <c r="Z86" s="1"/>
    </row>
    <row r="87" customFormat="false" ht="15.75" hidden="false" customHeight="true" outlineLevel="0" collapsed="false">
      <c r="W87" s="1"/>
      <c r="X87" s="1"/>
      <c r="Y87" s="1"/>
      <c r="Z87" s="1"/>
    </row>
    <row r="88" customFormat="false" ht="15.75" hidden="false" customHeight="true" outlineLevel="0" collapsed="false">
      <c r="A88" s="9" t="s">
        <v>848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W88" s="1"/>
      <c r="X88" s="1"/>
      <c r="Y88" s="1"/>
      <c r="Z88" s="1"/>
    </row>
    <row r="89" customFormat="false" ht="15.75" hidden="false" customHeight="true" outlineLevel="0" collapsed="false">
      <c r="A89" s="10" t="s">
        <v>844</v>
      </c>
      <c r="B89" s="10" t="s">
        <v>273</v>
      </c>
      <c r="C89" s="10" t="s">
        <v>845</v>
      </c>
      <c r="D89" s="10" t="s">
        <v>356</v>
      </c>
      <c r="E89" s="10" t="s">
        <v>341</v>
      </c>
      <c r="F89" s="10" t="s">
        <v>342</v>
      </c>
      <c r="G89" s="10" t="s">
        <v>343</v>
      </c>
      <c r="H89" s="10" t="s">
        <v>344</v>
      </c>
      <c r="I89" s="10" t="s">
        <v>345</v>
      </c>
      <c r="J89" s="10" t="s">
        <v>346</v>
      </c>
      <c r="K89" s="10" t="s">
        <v>347</v>
      </c>
      <c r="L89" s="10" t="s">
        <v>348</v>
      </c>
      <c r="M89" s="10" t="s">
        <v>349</v>
      </c>
      <c r="N89" s="10" t="s">
        <v>350</v>
      </c>
      <c r="O89" s="10" t="s">
        <v>351</v>
      </c>
      <c r="P89" s="10" t="s">
        <v>352</v>
      </c>
      <c r="Q89" s="10" t="s">
        <v>363</v>
      </c>
      <c r="W89" s="1"/>
      <c r="X89" s="1"/>
      <c r="Y89" s="1"/>
      <c r="Z89" s="1"/>
    </row>
    <row r="90" customFormat="false" ht="15.75" hidden="false" customHeight="true" outlineLevel="0" collapsed="false">
      <c r="A90" s="42" t="n">
        <v>2026</v>
      </c>
      <c r="B90" s="13" t="s">
        <v>849</v>
      </c>
      <c r="C90" s="13" t="s">
        <v>846</v>
      </c>
      <c r="D90" s="16" t="s">
        <v>328</v>
      </c>
      <c r="E90" s="22" t="n">
        <v>2.979402266</v>
      </c>
      <c r="F90" s="22" t="n">
        <v>2.628884352</v>
      </c>
      <c r="G90" s="22" t="n">
        <v>3.154661223</v>
      </c>
      <c r="H90" s="22" t="n">
        <v>3.154661223</v>
      </c>
      <c r="I90" s="22" t="n">
        <v>3.154661223</v>
      </c>
      <c r="J90" s="22" t="n">
        <v>2.804143309</v>
      </c>
      <c r="K90" s="22" t="n">
        <v>3.154661223</v>
      </c>
      <c r="L90" s="22" t="n">
        <v>3.154661223</v>
      </c>
      <c r="M90" s="22" t="n">
        <v>2.979402266</v>
      </c>
      <c r="N90" s="22" t="n">
        <v>2.628884352</v>
      </c>
      <c r="O90" s="22" t="n">
        <v>2.453625395</v>
      </c>
      <c r="P90" s="22" t="n">
        <v>2.804143309</v>
      </c>
      <c r="Q90" s="22" t="n">
        <f aca="false">SUM(E90:P90)</f>
        <v>35.051791364</v>
      </c>
      <c r="W90" s="1"/>
      <c r="X90" s="1"/>
      <c r="Y90" s="1"/>
      <c r="Z90" s="1"/>
    </row>
    <row r="91" customFormat="false" ht="15.75" hidden="false" customHeight="true" outlineLevel="0" collapsed="false">
      <c r="A91" s="42" t="n">
        <v>2026</v>
      </c>
      <c r="B91" s="13" t="s">
        <v>850</v>
      </c>
      <c r="C91" s="13" t="s">
        <v>846</v>
      </c>
      <c r="D91" s="16" t="s">
        <v>329</v>
      </c>
      <c r="E91" s="22" t="n">
        <v>6.452684985</v>
      </c>
      <c r="F91" s="22" t="n">
        <v>5.693545575</v>
      </c>
      <c r="G91" s="22" t="n">
        <v>6.83225469</v>
      </c>
      <c r="H91" s="22" t="n">
        <v>6.83225469</v>
      </c>
      <c r="I91" s="22" t="n">
        <v>6.83225469</v>
      </c>
      <c r="J91" s="22" t="n">
        <v>6.07311528</v>
      </c>
      <c r="K91" s="22" t="n">
        <v>6.83225469</v>
      </c>
      <c r="L91" s="22" t="n">
        <v>6.83225469</v>
      </c>
      <c r="M91" s="22" t="n">
        <v>6.452684985</v>
      </c>
      <c r="N91" s="22" t="n">
        <v>5.693545575</v>
      </c>
      <c r="O91" s="22" t="n">
        <v>5.31397587</v>
      </c>
      <c r="P91" s="22" t="n">
        <v>6.07311528</v>
      </c>
      <c r="Q91" s="22" t="n">
        <f aca="false">SUM(E91:P91)</f>
        <v>75.913941</v>
      </c>
      <c r="W91" s="1"/>
      <c r="X91" s="1"/>
      <c r="Y91" s="1"/>
      <c r="Z91" s="1"/>
    </row>
    <row r="92" customFormat="false" ht="15.75" hidden="false" customHeight="true" outlineLevel="0" collapsed="false">
      <c r="A92" s="42" t="n">
        <v>2026</v>
      </c>
      <c r="B92" s="13" t="s">
        <v>851</v>
      </c>
      <c r="C92" s="13" t="s">
        <v>846</v>
      </c>
      <c r="D92" s="16" t="s">
        <v>330</v>
      </c>
      <c r="E92" s="22" t="n">
        <v>1.474313088</v>
      </c>
      <c r="F92" s="22" t="n">
        <v>1.300864489</v>
      </c>
      <c r="G92" s="22" t="n">
        <v>1.561037387</v>
      </c>
      <c r="H92" s="22" t="n">
        <v>1.561037387</v>
      </c>
      <c r="I92" s="22" t="n">
        <v>1.561037387</v>
      </c>
      <c r="J92" s="22" t="n">
        <v>1.387588788</v>
      </c>
      <c r="K92" s="22" t="n">
        <v>1.561037387</v>
      </c>
      <c r="L92" s="22" t="n">
        <v>1.561037387</v>
      </c>
      <c r="M92" s="22" t="n">
        <v>1.474313088</v>
      </c>
      <c r="N92" s="22" t="n">
        <v>1.300864489</v>
      </c>
      <c r="O92" s="22" t="n">
        <v>1.21414019</v>
      </c>
      <c r="P92" s="22" t="n">
        <v>1.387588788</v>
      </c>
      <c r="Q92" s="22" t="n">
        <f aca="false">SUM(E92:P92)</f>
        <v>17.344859855</v>
      </c>
      <c r="W92" s="1"/>
      <c r="X92" s="1"/>
      <c r="Y92" s="1"/>
      <c r="Z92" s="1"/>
    </row>
    <row r="93" customFormat="false" ht="15.75" hidden="false" customHeight="true" outlineLevel="0" collapsed="false">
      <c r="A93" s="42" t="n">
        <v>2026</v>
      </c>
      <c r="B93" s="13" t="s">
        <v>852</v>
      </c>
      <c r="C93" s="13" t="s">
        <v>846</v>
      </c>
      <c r="D93" s="16" t="s">
        <v>331</v>
      </c>
      <c r="E93" s="22" t="n">
        <v>1.011208725</v>
      </c>
      <c r="F93" s="22" t="n">
        <v>0.8922429927</v>
      </c>
      <c r="G93" s="22" t="n">
        <v>1.070691591</v>
      </c>
      <c r="H93" s="22" t="n">
        <v>1.070691591</v>
      </c>
      <c r="I93" s="22" t="n">
        <v>1.070691591</v>
      </c>
      <c r="J93" s="22" t="n">
        <v>0.9517258589</v>
      </c>
      <c r="K93" s="22" t="n">
        <v>1.070691591</v>
      </c>
      <c r="L93" s="22" t="n">
        <v>1.070691591</v>
      </c>
      <c r="M93" s="22" t="n">
        <v>1.011208725</v>
      </c>
      <c r="N93" s="22" t="n">
        <v>0.8922429927</v>
      </c>
      <c r="O93" s="22" t="n">
        <v>0.8327601265</v>
      </c>
      <c r="P93" s="22" t="n">
        <v>0.9517258589</v>
      </c>
      <c r="Q93" s="22" t="n">
        <f aca="false">SUM(E93:P93)</f>
        <v>11.8965732347</v>
      </c>
      <c r="W93" s="1"/>
      <c r="X93" s="1"/>
      <c r="Y93" s="1"/>
      <c r="Z93" s="1"/>
    </row>
    <row r="94" customFormat="false" ht="15.75" hidden="false" customHeight="true" outlineLevel="0" collapsed="false">
      <c r="A94" s="42" t="n">
        <v>2026</v>
      </c>
      <c r="B94" s="13" t="s">
        <v>853</v>
      </c>
      <c r="C94" s="13" t="s">
        <v>847</v>
      </c>
      <c r="D94" s="16" t="s">
        <v>328</v>
      </c>
      <c r="E94" s="22" t="n">
        <v>0.085</v>
      </c>
      <c r="F94" s="22" t="n">
        <v>0.075</v>
      </c>
      <c r="G94" s="22" t="n">
        <v>0.09</v>
      </c>
      <c r="H94" s="22" t="n">
        <v>0.09</v>
      </c>
      <c r="I94" s="22" t="n">
        <v>0.09</v>
      </c>
      <c r="J94" s="22" t="n">
        <v>0.08</v>
      </c>
      <c r="K94" s="22" t="n">
        <v>0.09</v>
      </c>
      <c r="L94" s="22" t="n">
        <v>0.09</v>
      </c>
      <c r="M94" s="22" t="n">
        <v>0.085</v>
      </c>
      <c r="N94" s="22" t="n">
        <v>0.075</v>
      </c>
      <c r="O94" s="22" t="n">
        <v>0.07</v>
      </c>
      <c r="P94" s="22" t="n">
        <v>0.08</v>
      </c>
      <c r="Q94" s="22" t="n">
        <f aca="false">SUM(E94:P94)</f>
        <v>1</v>
      </c>
      <c r="W94" s="1"/>
      <c r="X94" s="1"/>
      <c r="Y94" s="1"/>
      <c r="Z94" s="1"/>
    </row>
    <row r="95" customFormat="false" ht="15.75" hidden="false" customHeight="true" outlineLevel="0" collapsed="false">
      <c r="A95" s="42" t="n">
        <v>2026</v>
      </c>
      <c r="B95" s="13" t="s">
        <v>854</v>
      </c>
      <c r="C95" s="13" t="s">
        <v>847</v>
      </c>
      <c r="D95" s="16" t="s">
        <v>329</v>
      </c>
      <c r="E95" s="22" t="n">
        <v>0.085</v>
      </c>
      <c r="F95" s="22" t="n">
        <v>0.075</v>
      </c>
      <c r="G95" s="22" t="n">
        <v>0.09</v>
      </c>
      <c r="H95" s="22" t="n">
        <v>0.09</v>
      </c>
      <c r="I95" s="22" t="n">
        <v>0.09</v>
      </c>
      <c r="J95" s="22" t="n">
        <v>0.08</v>
      </c>
      <c r="K95" s="22" t="n">
        <v>0.09</v>
      </c>
      <c r="L95" s="22" t="n">
        <v>0.09</v>
      </c>
      <c r="M95" s="22" t="n">
        <v>0.085</v>
      </c>
      <c r="N95" s="22" t="n">
        <v>0.075</v>
      </c>
      <c r="O95" s="22" t="n">
        <v>0.07</v>
      </c>
      <c r="P95" s="22" t="n">
        <v>0.08</v>
      </c>
      <c r="Q95" s="22" t="n">
        <f aca="false">SUM(E95:P95)</f>
        <v>1</v>
      </c>
      <c r="W95" s="1"/>
      <c r="X95" s="1"/>
      <c r="Y95" s="1"/>
      <c r="Z95" s="1"/>
    </row>
    <row r="96" customFormat="false" ht="15.75" hidden="false" customHeight="true" outlineLevel="0" collapsed="false">
      <c r="A96" s="42" t="n">
        <v>2026</v>
      </c>
      <c r="B96" s="13" t="s">
        <v>855</v>
      </c>
      <c r="C96" s="13" t="s">
        <v>847</v>
      </c>
      <c r="D96" s="16" t="s">
        <v>330</v>
      </c>
      <c r="E96" s="22" t="n">
        <v>0.085</v>
      </c>
      <c r="F96" s="22" t="n">
        <v>0.075</v>
      </c>
      <c r="G96" s="22" t="n">
        <v>0.09</v>
      </c>
      <c r="H96" s="22" t="n">
        <v>0.09</v>
      </c>
      <c r="I96" s="22" t="n">
        <v>0.09</v>
      </c>
      <c r="J96" s="22" t="n">
        <v>0.08</v>
      </c>
      <c r="K96" s="22" t="n">
        <v>0.09</v>
      </c>
      <c r="L96" s="22" t="n">
        <v>0.09</v>
      </c>
      <c r="M96" s="22" t="n">
        <v>0.085</v>
      </c>
      <c r="N96" s="22" t="n">
        <v>0.075</v>
      </c>
      <c r="O96" s="22" t="n">
        <v>0.07</v>
      </c>
      <c r="P96" s="22" t="n">
        <v>0.08</v>
      </c>
      <c r="Q96" s="22" t="n">
        <f aca="false">SUM(E96:P96)</f>
        <v>1</v>
      </c>
      <c r="W96" s="1"/>
      <c r="X96" s="1"/>
      <c r="Y96" s="1"/>
      <c r="Z96" s="1"/>
    </row>
    <row r="97" customFormat="false" ht="15.75" hidden="false" customHeight="true" outlineLevel="0" collapsed="false">
      <c r="A97" s="42" t="n">
        <v>2026</v>
      </c>
      <c r="B97" s="13" t="s">
        <v>856</v>
      </c>
      <c r="C97" s="13" t="s">
        <v>847</v>
      </c>
      <c r="D97" s="16" t="s">
        <v>331</v>
      </c>
      <c r="E97" s="22" t="n">
        <v>0.085</v>
      </c>
      <c r="F97" s="22" t="n">
        <v>0.075</v>
      </c>
      <c r="G97" s="22" t="n">
        <v>0.09</v>
      </c>
      <c r="H97" s="22" t="n">
        <v>0.09</v>
      </c>
      <c r="I97" s="22" t="n">
        <v>0.09</v>
      </c>
      <c r="J97" s="22" t="n">
        <v>0.08</v>
      </c>
      <c r="K97" s="22" t="n">
        <v>0.09</v>
      </c>
      <c r="L97" s="22" t="n">
        <v>0.09</v>
      </c>
      <c r="M97" s="22" t="n">
        <v>0.085</v>
      </c>
      <c r="N97" s="22" t="n">
        <v>0.075</v>
      </c>
      <c r="O97" s="22" t="n">
        <v>0.07</v>
      </c>
      <c r="P97" s="22" t="n">
        <v>0.08</v>
      </c>
      <c r="Q97" s="22" t="n">
        <f aca="false">SUM(E97:P97)</f>
        <v>1</v>
      </c>
      <c r="W97" s="1"/>
      <c r="X97" s="1"/>
      <c r="Y97" s="1"/>
      <c r="Z97" s="1"/>
    </row>
    <row r="98" customFormat="false" ht="15.75" hidden="false" customHeight="true" outlineLevel="0" collapsed="false">
      <c r="A98" s="42" t="n">
        <v>2027</v>
      </c>
      <c r="B98" s="13" t="s">
        <v>849</v>
      </c>
      <c r="C98" s="13" t="s">
        <v>846</v>
      </c>
      <c r="D98" s="16" t="s">
        <v>328</v>
      </c>
      <c r="E98" s="22" t="n">
        <v>4.976082534</v>
      </c>
      <c r="F98" s="22" t="n">
        <v>4.390661059</v>
      </c>
      <c r="G98" s="22" t="n">
        <v>5.268793271</v>
      </c>
      <c r="H98" s="22" t="n">
        <v>5.268793271</v>
      </c>
      <c r="I98" s="22" t="n">
        <v>5.268793271</v>
      </c>
      <c r="J98" s="22" t="n">
        <v>4.683371796</v>
      </c>
      <c r="K98" s="22" t="n">
        <v>5.268793271</v>
      </c>
      <c r="L98" s="22" t="n">
        <v>5.268793271</v>
      </c>
      <c r="M98" s="22" t="n">
        <v>4.976082534</v>
      </c>
      <c r="N98" s="22" t="n">
        <v>4.390661059</v>
      </c>
      <c r="O98" s="22" t="n">
        <v>4.097950322</v>
      </c>
      <c r="P98" s="22" t="n">
        <v>4.683371796</v>
      </c>
      <c r="Q98" s="22" t="n">
        <f aca="false">SUM(E98:P98)</f>
        <v>58.542147455</v>
      </c>
      <c r="W98" s="1"/>
      <c r="X98" s="1"/>
      <c r="Y98" s="1"/>
      <c r="Z98" s="1"/>
    </row>
    <row r="99" customFormat="false" ht="15.75" hidden="false" customHeight="true" outlineLevel="0" collapsed="false">
      <c r="A99" s="42" t="n">
        <v>2027</v>
      </c>
      <c r="B99" s="13" t="s">
        <v>850</v>
      </c>
      <c r="C99" s="13" t="s">
        <v>846</v>
      </c>
      <c r="D99" s="16" t="s">
        <v>329</v>
      </c>
      <c r="E99" s="22" t="n">
        <v>10.93922157</v>
      </c>
      <c r="F99" s="22" t="n">
        <v>9.65225433</v>
      </c>
      <c r="G99" s="22" t="n">
        <v>11.5827052</v>
      </c>
      <c r="H99" s="22" t="n">
        <v>11.5827052</v>
      </c>
      <c r="I99" s="22" t="n">
        <v>11.5827052</v>
      </c>
      <c r="J99" s="22" t="n">
        <v>10.29573795</v>
      </c>
      <c r="K99" s="22" t="n">
        <v>11.5827052</v>
      </c>
      <c r="L99" s="22" t="n">
        <v>11.5827052</v>
      </c>
      <c r="M99" s="22" t="n">
        <v>10.93922157</v>
      </c>
      <c r="N99" s="22" t="n">
        <v>9.65225433</v>
      </c>
      <c r="O99" s="22" t="n">
        <v>9.008770708</v>
      </c>
      <c r="P99" s="22" t="n">
        <v>10.29573795</v>
      </c>
      <c r="Q99" s="22" t="n">
        <f aca="false">SUM(E99:P99)</f>
        <v>128.696724408</v>
      </c>
      <c r="W99" s="1"/>
      <c r="X99" s="1"/>
      <c r="Y99" s="1"/>
      <c r="Z99" s="1"/>
    </row>
    <row r="100" customFormat="false" ht="15.75" hidden="false" customHeight="true" outlineLevel="0" collapsed="false">
      <c r="A100" s="42" t="n">
        <v>2027</v>
      </c>
      <c r="B100" s="13" t="s">
        <v>851</v>
      </c>
      <c r="C100" s="13" t="s">
        <v>846</v>
      </c>
      <c r="D100" s="16" t="s">
        <v>330</v>
      </c>
      <c r="E100" s="22" t="n">
        <v>2.392055616</v>
      </c>
      <c r="F100" s="22" t="n">
        <v>2.110637308</v>
      </c>
      <c r="G100" s="22" t="n">
        <v>2.53276477</v>
      </c>
      <c r="H100" s="22" t="n">
        <v>2.53276477</v>
      </c>
      <c r="I100" s="22" t="n">
        <v>2.53276477</v>
      </c>
      <c r="J100" s="22" t="n">
        <v>2.251346462</v>
      </c>
      <c r="K100" s="22" t="n">
        <v>2.53276477</v>
      </c>
      <c r="L100" s="22" t="n">
        <v>2.53276477</v>
      </c>
      <c r="M100" s="22" t="n">
        <v>2.392055616</v>
      </c>
      <c r="N100" s="22" t="n">
        <v>2.110637308</v>
      </c>
      <c r="O100" s="22" t="n">
        <v>1.969928154</v>
      </c>
      <c r="P100" s="22" t="n">
        <v>2.251346462</v>
      </c>
      <c r="Q100" s="22" t="n">
        <f aca="false">SUM(E100:P100)</f>
        <v>28.141830776</v>
      </c>
      <c r="W100" s="1"/>
      <c r="X100" s="1"/>
      <c r="Y100" s="1"/>
      <c r="Z100" s="1"/>
    </row>
    <row r="101" customFormat="false" ht="15.75" hidden="false" customHeight="true" outlineLevel="0" collapsed="false">
      <c r="A101" s="42" t="n">
        <v>2027</v>
      </c>
      <c r="B101" s="13" t="s">
        <v>852</v>
      </c>
      <c r="C101" s="13" t="s">
        <v>846</v>
      </c>
      <c r="D101" s="16" t="s">
        <v>331</v>
      </c>
      <c r="E101" s="22" t="n">
        <v>1.596970411</v>
      </c>
      <c r="F101" s="22" t="n">
        <v>1.409091539</v>
      </c>
      <c r="G101" s="22" t="n">
        <v>1.690909847</v>
      </c>
      <c r="H101" s="22" t="n">
        <v>1.690909847</v>
      </c>
      <c r="I101" s="22" t="n">
        <v>1.690909847</v>
      </c>
      <c r="J101" s="22" t="n">
        <v>1.503030975</v>
      </c>
      <c r="K101" s="22" t="n">
        <v>1.690909847</v>
      </c>
      <c r="L101" s="22" t="n">
        <v>1.690909847</v>
      </c>
      <c r="M101" s="22" t="n">
        <v>1.596970411</v>
      </c>
      <c r="N101" s="22" t="n">
        <v>1.409091539</v>
      </c>
      <c r="O101" s="22" t="n">
        <v>1.315152103</v>
      </c>
      <c r="P101" s="22" t="n">
        <v>1.503030975</v>
      </c>
      <c r="Q101" s="22" t="n">
        <f aca="false">SUM(E101:P101)</f>
        <v>18.787887188</v>
      </c>
      <c r="W101" s="1"/>
      <c r="X101" s="1"/>
      <c r="Y101" s="1"/>
      <c r="Z101" s="1"/>
    </row>
    <row r="102" customFormat="false" ht="15.75" hidden="false" customHeight="true" outlineLevel="0" collapsed="false">
      <c r="A102" s="42" t="n">
        <v>2027</v>
      </c>
      <c r="B102" s="13" t="s">
        <v>853</v>
      </c>
      <c r="C102" s="13" t="s">
        <v>847</v>
      </c>
      <c r="D102" s="16" t="s">
        <v>328</v>
      </c>
      <c r="E102" s="22" t="n">
        <v>0.0068</v>
      </c>
      <c r="F102" s="22" t="n">
        <v>0.006</v>
      </c>
      <c r="G102" s="22" t="n">
        <v>0.0072</v>
      </c>
      <c r="H102" s="22" t="n">
        <v>0.0072</v>
      </c>
      <c r="I102" s="22" t="n">
        <v>0.0072</v>
      </c>
      <c r="J102" s="22" t="n">
        <v>0.0064</v>
      </c>
      <c r="K102" s="22" t="n">
        <v>0.0072</v>
      </c>
      <c r="L102" s="22" t="n">
        <v>0.0072</v>
      </c>
      <c r="M102" s="22" t="n">
        <v>0.0068</v>
      </c>
      <c r="N102" s="22" t="n">
        <v>0.006</v>
      </c>
      <c r="O102" s="22" t="n">
        <v>0.0056</v>
      </c>
      <c r="P102" s="22" t="n">
        <v>0.0064</v>
      </c>
      <c r="Q102" s="22" t="n">
        <f aca="false">SUM(E102:P102)</f>
        <v>0.08</v>
      </c>
      <c r="W102" s="1"/>
      <c r="X102" s="1"/>
      <c r="Y102" s="1"/>
      <c r="Z102" s="1"/>
    </row>
    <row r="103" customFormat="false" ht="15.75" hidden="false" customHeight="true" outlineLevel="0" collapsed="false">
      <c r="A103" s="42" t="n">
        <v>2027</v>
      </c>
      <c r="B103" s="13" t="s">
        <v>854</v>
      </c>
      <c r="C103" s="13" t="s">
        <v>847</v>
      </c>
      <c r="D103" s="16" t="s">
        <v>329</v>
      </c>
      <c r="E103" s="22" t="n">
        <v>0.0918</v>
      </c>
      <c r="F103" s="22" t="n">
        <v>0.081</v>
      </c>
      <c r="G103" s="22" t="n">
        <v>0.0972</v>
      </c>
      <c r="H103" s="22" t="n">
        <v>0.0972</v>
      </c>
      <c r="I103" s="22" t="n">
        <v>0.0972</v>
      </c>
      <c r="J103" s="22" t="n">
        <v>0.0864</v>
      </c>
      <c r="K103" s="22" t="n">
        <v>0.0972</v>
      </c>
      <c r="L103" s="22" t="n">
        <v>0.0972</v>
      </c>
      <c r="M103" s="22" t="n">
        <v>0.0918</v>
      </c>
      <c r="N103" s="22" t="n">
        <v>0.081</v>
      </c>
      <c r="O103" s="22" t="n">
        <v>0.0756</v>
      </c>
      <c r="P103" s="22" t="n">
        <v>0.0864</v>
      </c>
      <c r="Q103" s="22" t="n">
        <f aca="false">SUM(E103:P103)</f>
        <v>1.08</v>
      </c>
      <c r="W103" s="1"/>
      <c r="X103" s="1"/>
      <c r="Y103" s="1"/>
      <c r="Z103" s="1"/>
    </row>
    <row r="104" customFormat="false" ht="15.75" hidden="false" customHeight="true" outlineLevel="0" collapsed="false">
      <c r="A104" s="42" t="n">
        <v>2027</v>
      </c>
      <c r="B104" s="13" t="s">
        <v>855</v>
      </c>
      <c r="C104" s="13" t="s">
        <v>847</v>
      </c>
      <c r="D104" s="16" t="s">
        <v>330</v>
      </c>
      <c r="E104" s="22" t="n">
        <v>0.0068</v>
      </c>
      <c r="F104" s="22" t="n">
        <v>0.006</v>
      </c>
      <c r="G104" s="22" t="n">
        <v>0.0072</v>
      </c>
      <c r="H104" s="22" t="n">
        <v>0.0072</v>
      </c>
      <c r="I104" s="22" t="n">
        <v>0.0072</v>
      </c>
      <c r="J104" s="22" t="n">
        <v>0.0064</v>
      </c>
      <c r="K104" s="22" t="n">
        <v>0.0072</v>
      </c>
      <c r="L104" s="22" t="n">
        <v>0.0072</v>
      </c>
      <c r="M104" s="22" t="n">
        <v>0.0068</v>
      </c>
      <c r="N104" s="22" t="n">
        <v>0.006</v>
      </c>
      <c r="O104" s="22" t="n">
        <v>0.0056</v>
      </c>
      <c r="P104" s="22" t="n">
        <v>0.0064</v>
      </c>
      <c r="Q104" s="22" t="n">
        <f aca="false">SUM(E104:P104)</f>
        <v>0.08</v>
      </c>
      <c r="W104" s="1"/>
      <c r="X104" s="1"/>
      <c r="Y104" s="1"/>
      <c r="Z104" s="1"/>
    </row>
    <row r="105" customFormat="false" ht="15.75" hidden="false" customHeight="true" outlineLevel="0" collapsed="false">
      <c r="A105" s="42" t="n">
        <v>2027</v>
      </c>
      <c r="B105" s="13" t="s">
        <v>856</v>
      </c>
      <c r="C105" s="13" t="s">
        <v>847</v>
      </c>
      <c r="D105" s="16" t="s">
        <v>331</v>
      </c>
      <c r="E105" s="22" t="n">
        <v>0.0068</v>
      </c>
      <c r="F105" s="22" t="n">
        <v>0.006</v>
      </c>
      <c r="G105" s="22" t="n">
        <v>0.0072</v>
      </c>
      <c r="H105" s="22" t="n">
        <v>0.0072</v>
      </c>
      <c r="I105" s="22" t="n">
        <v>0.0072</v>
      </c>
      <c r="J105" s="22" t="n">
        <v>0.0064</v>
      </c>
      <c r="K105" s="22" t="n">
        <v>0.0072</v>
      </c>
      <c r="L105" s="22" t="n">
        <v>0.0072</v>
      </c>
      <c r="M105" s="22" t="n">
        <v>0.0068</v>
      </c>
      <c r="N105" s="22" t="n">
        <v>0.006</v>
      </c>
      <c r="O105" s="22" t="n">
        <v>0.0056</v>
      </c>
      <c r="P105" s="22" t="n">
        <v>0.0064</v>
      </c>
      <c r="Q105" s="22" t="n">
        <f aca="false">SUM(E105:P105)</f>
        <v>0.08</v>
      </c>
      <c r="W105" s="1"/>
      <c r="X105" s="1"/>
      <c r="Y105" s="1"/>
      <c r="Z105" s="1"/>
    </row>
    <row r="106" customFormat="false" ht="15.75" hidden="false" customHeight="true" outlineLevel="0" collapsed="false">
      <c r="A106" s="42" t="n">
        <v>2028</v>
      </c>
      <c r="B106" s="13" t="s">
        <v>849</v>
      </c>
      <c r="C106" s="13" t="s">
        <v>846</v>
      </c>
      <c r="D106" s="16" t="s">
        <v>328</v>
      </c>
      <c r="E106" s="22" t="n">
        <v>6.399525898</v>
      </c>
      <c r="F106" s="22" t="n">
        <v>5.646640498</v>
      </c>
      <c r="G106" s="22" t="n">
        <v>6.775968598</v>
      </c>
      <c r="H106" s="22" t="n">
        <v>6.775968598</v>
      </c>
      <c r="I106" s="22" t="n">
        <v>6.775968598</v>
      </c>
      <c r="J106" s="22" t="n">
        <v>6.023083198</v>
      </c>
      <c r="K106" s="22" t="n">
        <v>6.775968598</v>
      </c>
      <c r="L106" s="22" t="n">
        <v>6.775968598</v>
      </c>
      <c r="M106" s="22" t="n">
        <v>6.399525898</v>
      </c>
      <c r="N106" s="22" t="n">
        <v>5.646640498</v>
      </c>
      <c r="O106" s="22" t="n">
        <v>5.270197799</v>
      </c>
      <c r="P106" s="22" t="n">
        <v>6.023083198</v>
      </c>
      <c r="Q106" s="22" t="n">
        <f aca="false">SUM(E106:P106)</f>
        <v>75.288539977</v>
      </c>
      <c r="W106" s="1"/>
      <c r="X106" s="1"/>
      <c r="Y106" s="1"/>
      <c r="Z106" s="1"/>
    </row>
    <row r="107" customFormat="false" ht="15.75" hidden="false" customHeight="true" outlineLevel="0" collapsed="false">
      <c r="A107" s="42" t="n">
        <v>2028</v>
      </c>
      <c r="B107" s="13" t="s">
        <v>850</v>
      </c>
      <c r="C107" s="13" t="s">
        <v>846</v>
      </c>
      <c r="D107" s="16" t="s">
        <v>329</v>
      </c>
      <c r="E107" s="22" t="n">
        <v>14.15579698</v>
      </c>
      <c r="F107" s="22" t="n">
        <v>12.4904091</v>
      </c>
      <c r="G107" s="22" t="n">
        <v>14.98849092</v>
      </c>
      <c r="H107" s="22" t="n">
        <v>14.98849092</v>
      </c>
      <c r="I107" s="22" t="n">
        <v>14.98849092</v>
      </c>
      <c r="J107" s="22" t="n">
        <v>13.32310304</v>
      </c>
      <c r="K107" s="22" t="n">
        <v>14.98849092</v>
      </c>
      <c r="L107" s="22" t="n">
        <v>14.98849092</v>
      </c>
      <c r="M107" s="22" t="n">
        <v>14.15579698</v>
      </c>
      <c r="N107" s="22" t="n">
        <v>12.4904091</v>
      </c>
      <c r="O107" s="22" t="n">
        <v>11.65771516</v>
      </c>
      <c r="P107" s="22" t="n">
        <v>13.32310304</v>
      </c>
      <c r="Q107" s="22" t="n">
        <f aca="false">SUM(E107:P107)</f>
        <v>166.538788</v>
      </c>
      <c r="W107" s="1"/>
      <c r="X107" s="1"/>
      <c r="Y107" s="1"/>
      <c r="Z107" s="1"/>
    </row>
    <row r="108" customFormat="false" ht="15.75" hidden="false" customHeight="true" outlineLevel="0" collapsed="false">
      <c r="A108" s="42" t="n">
        <v>2028</v>
      </c>
      <c r="B108" s="13" t="s">
        <v>851</v>
      </c>
      <c r="C108" s="13" t="s">
        <v>846</v>
      </c>
      <c r="D108" s="16" t="s">
        <v>330</v>
      </c>
      <c r="E108" s="22" t="n">
        <v>3.075308431</v>
      </c>
      <c r="F108" s="22" t="n">
        <v>2.713507439</v>
      </c>
      <c r="G108" s="22" t="n">
        <v>3.256208927</v>
      </c>
      <c r="H108" s="22" t="n">
        <v>3.256208927</v>
      </c>
      <c r="I108" s="22" t="n">
        <v>3.256208927</v>
      </c>
      <c r="J108" s="22" t="n">
        <v>2.894407935</v>
      </c>
      <c r="K108" s="22" t="n">
        <v>3.256208927</v>
      </c>
      <c r="L108" s="22" t="n">
        <v>3.256208927</v>
      </c>
      <c r="M108" s="22" t="n">
        <v>3.075308431</v>
      </c>
      <c r="N108" s="22" t="n">
        <v>2.713507439</v>
      </c>
      <c r="O108" s="22" t="n">
        <v>2.532606943</v>
      </c>
      <c r="P108" s="22" t="n">
        <v>2.894407935</v>
      </c>
      <c r="Q108" s="22" t="n">
        <f aca="false">SUM(E108:P108)</f>
        <v>36.180099188</v>
      </c>
      <c r="W108" s="1"/>
      <c r="X108" s="1"/>
      <c r="Y108" s="1"/>
      <c r="Z108" s="1"/>
    </row>
    <row r="109" customFormat="false" ht="15.75" hidden="false" customHeight="true" outlineLevel="0" collapsed="false">
      <c r="A109" s="42" t="n">
        <v>2028</v>
      </c>
      <c r="B109" s="13" t="s">
        <v>852</v>
      </c>
      <c r="C109" s="13" t="s">
        <v>846</v>
      </c>
      <c r="D109" s="16" t="s">
        <v>331</v>
      </c>
      <c r="E109" s="22" t="n">
        <v>2.052472287</v>
      </c>
      <c r="F109" s="22" t="n">
        <v>1.811004959</v>
      </c>
      <c r="G109" s="22" t="n">
        <v>2.173205951</v>
      </c>
      <c r="H109" s="22" t="n">
        <v>2.173205951</v>
      </c>
      <c r="I109" s="22" t="n">
        <v>2.173205951</v>
      </c>
      <c r="J109" s="22" t="n">
        <v>1.931738623</v>
      </c>
      <c r="K109" s="22" t="n">
        <v>2.173205951</v>
      </c>
      <c r="L109" s="22" t="n">
        <v>2.173205951</v>
      </c>
      <c r="M109" s="22" t="n">
        <v>2.052472287</v>
      </c>
      <c r="N109" s="22" t="n">
        <v>1.811004959</v>
      </c>
      <c r="O109" s="22" t="n">
        <v>1.690271296</v>
      </c>
      <c r="P109" s="22" t="n">
        <v>1.931738623</v>
      </c>
      <c r="Q109" s="22" t="n">
        <f aca="false">SUM(E109:P109)</f>
        <v>24.146732789</v>
      </c>
      <c r="W109" s="1"/>
      <c r="X109" s="1"/>
      <c r="Y109" s="1"/>
      <c r="Z109" s="1"/>
    </row>
    <row r="110" customFormat="false" ht="15.75" hidden="false" customHeight="true" outlineLevel="0" collapsed="false">
      <c r="A110" s="42" t="n">
        <v>2028</v>
      </c>
      <c r="B110" s="13" t="s">
        <v>853</v>
      </c>
      <c r="C110" s="13" t="s">
        <v>847</v>
      </c>
      <c r="D110" s="16" t="s">
        <v>328</v>
      </c>
      <c r="E110" s="22" t="n">
        <v>1.3158</v>
      </c>
      <c r="F110" s="22" t="n">
        <v>1.161</v>
      </c>
      <c r="G110" s="22" t="n">
        <v>1.3932</v>
      </c>
      <c r="H110" s="22" t="n">
        <v>1.3932</v>
      </c>
      <c r="I110" s="22" t="n">
        <v>1.3932</v>
      </c>
      <c r="J110" s="22" t="n">
        <v>1.2384</v>
      </c>
      <c r="K110" s="22" t="n">
        <v>1.3932</v>
      </c>
      <c r="L110" s="22" t="n">
        <v>1.3932</v>
      </c>
      <c r="M110" s="22" t="n">
        <v>1.3158</v>
      </c>
      <c r="N110" s="22" t="n">
        <v>1.161</v>
      </c>
      <c r="O110" s="22" t="n">
        <v>1.0836</v>
      </c>
      <c r="P110" s="22" t="n">
        <v>1.2384</v>
      </c>
      <c r="Q110" s="22" t="n">
        <f aca="false">SUM(E110:P110)</f>
        <v>15.48</v>
      </c>
      <c r="W110" s="1"/>
      <c r="X110" s="1"/>
      <c r="Y110" s="1"/>
      <c r="Z110" s="1"/>
    </row>
    <row r="111" customFormat="false" ht="15.75" hidden="false" customHeight="true" outlineLevel="0" collapsed="false">
      <c r="A111" s="42" t="n">
        <v>2028</v>
      </c>
      <c r="B111" s="13" t="s">
        <v>854</v>
      </c>
      <c r="C111" s="13" t="s">
        <v>847</v>
      </c>
      <c r="D111" s="16" t="s">
        <v>329</v>
      </c>
      <c r="E111" s="22" t="n">
        <v>2.8866</v>
      </c>
      <c r="F111" s="22" t="n">
        <v>2.547</v>
      </c>
      <c r="G111" s="22" t="n">
        <v>3.0564</v>
      </c>
      <c r="H111" s="22" t="n">
        <v>3.0564</v>
      </c>
      <c r="I111" s="22" t="n">
        <v>3.0564</v>
      </c>
      <c r="J111" s="22" t="n">
        <v>2.7168</v>
      </c>
      <c r="K111" s="22" t="n">
        <v>3.0564</v>
      </c>
      <c r="L111" s="22" t="n">
        <v>3.0564</v>
      </c>
      <c r="M111" s="22" t="n">
        <v>2.8866</v>
      </c>
      <c r="N111" s="22" t="n">
        <v>2.547</v>
      </c>
      <c r="O111" s="22" t="n">
        <v>2.3772</v>
      </c>
      <c r="P111" s="22" t="n">
        <v>2.7168</v>
      </c>
      <c r="Q111" s="22" t="n">
        <f aca="false">SUM(E111:P111)</f>
        <v>33.96</v>
      </c>
      <c r="W111" s="1"/>
      <c r="X111" s="1"/>
      <c r="Y111" s="1"/>
      <c r="Z111" s="1"/>
    </row>
    <row r="112" customFormat="false" ht="15.75" hidden="false" customHeight="true" outlineLevel="0" collapsed="false">
      <c r="A112" s="42" t="n">
        <v>2028</v>
      </c>
      <c r="B112" s="13" t="s">
        <v>855</v>
      </c>
      <c r="C112" s="13" t="s">
        <v>847</v>
      </c>
      <c r="D112" s="16" t="s">
        <v>330</v>
      </c>
      <c r="E112" s="22" t="n">
        <v>0.6018</v>
      </c>
      <c r="F112" s="22" t="n">
        <v>0.531</v>
      </c>
      <c r="G112" s="22" t="n">
        <v>0.6372</v>
      </c>
      <c r="H112" s="22" t="n">
        <v>0.6372</v>
      </c>
      <c r="I112" s="22" t="n">
        <v>0.6372</v>
      </c>
      <c r="J112" s="22" t="n">
        <v>0.5664</v>
      </c>
      <c r="K112" s="22" t="n">
        <v>0.6372</v>
      </c>
      <c r="L112" s="22" t="n">
        <v>0.6372</v>
      </c>
      <c r="M112" s="22" t="n">
        <v>0.6018</v>
      </c>
      <c r="N112" s="22" t="n">
        <v>0.531</v>
      </c>
      <c r="O112" s="22" t="n">
        <v>0.4956</v>
      </c>
      <c r="P112" s="22" t="n">
        <v>0.5664</v>
      </c>
      <c r="Q112" s="22" t="n">
        <f aca="false">SUM(E112:P112)</f>
        <v>7.08</v>
      </c>
      <c r="W112" s="1"/>
      <c r="X112" s="1"/>
      <c r="Y112" s="1"/>
      <c r="Z112" s="1"/>
    </row>
    <row r="113" customFormat="false" ht="15.75" hidden="false" customHeight="true" outlineLevel="0" collapsed="false">
      <c r="A113" s="42" t="n">
        <v>2028</v>
      </c>
      <c r="B113" s="13" t="s">
        <v>856</v>
      </c>
      <c r="C113" s="13" t="s">
        <v>847</v>
      </c>
      <c r="D113" s="16" t="s">
        <v>331</v>
      </c>
      <c r="E113" s="22" t="n">
        <v>0.3978</v>
      </c>
      <c r="F113" s="22" t="n">
        <v>0.351</v>
      </c>
      <c r="G113" s="22" t="n">
        <v>0.4212</v>
      </c>
      <c r="H113" s="22" t="n">
        <v>0.4212</v>
      </c>
      <c r="I113" s="22" t="n">
        <v>0.4212</v>
      </c>
      <c r="J113" s="22" t="n">
        <v>0.3744</v>
      </c>
      <c r="K113" s="22" t="n">
        <v>0.4212</v>
      </c>
      <c r="L113" s="22" t="n">
        <v>0.4212</v>
      </c>
      <c r="M113" s="22" t="n">
        <v>0.3978</v>
      </c>
      <c r="N113" s="22" t="n">
        <v>0.351</v>
      </c>
      <c r="O113" s="22" t="n">
        <v>0.3276</v>
      </c>
      <c r="P113" s="22" t="n">
        <v>0.3744</v>
      </c>
      <c r="Q113" s="22" t="n">
        <f aca="false">SUM(E113:P113)</f>
        <v>4.68</v>
      </c>
      <c r="W113" s="1"/>
      <c r="X113" s="1"/>
      <c r="Y113" s="1"/>
      <c r="Z113" s="1"/>
    </row>
    <row r="114" customFormat="false" ht="15.75" hidden="false" customHeight="true" outlineLevel="0" collapsed="false">
      <c r="A114" s="42" t="n">
        <v>2029</v>
      </c>
      <c r="B114" s="13" t="s">
        <v>849</v>
      </c>
      <c r="C114" s="13" t="s">
        <v>846</v>
      </c>
      <c r="D114" s="16" t="s">
        <v>328</v>
      </c>
      <c r="E114" s="22" t="n">
        <v>8.6368375</v>
      </c>
      <c r="F114" s="22" t="n">
        <v>7.62073897</v>
      </c>
      <c r="G114" s="22" t="n">
        <v>9.144886764</v>
      </c>
      <c r="H114" s="22" t="n">
        <v>9.144886764</v>
      </c>
      <c r="I114" s="22" t="n">
        <v>9.144886764</v>
      </c>
      <c r="J114" s="22" t="n">
        <v>8.128788235</v>
      </c>
      <c r="K114" s="22" t="n">
        <v>9.144886764</v>
      </c>
      <c r="L114" s="22" t="n">
        <v>9.144886764</v>
      </c>
      <c r="M114" s="22" t="n">
        <v>8.6368375</v>
      </c>
      <c r="N114" s="22" t="n">
        <v>7.62073897</v>
      </c>
      <c r="O114" s="22" t="n">
        <v>7.112689706</v>
      </c>
      <c r="P114" s="22" t="n">
        <v>8.128788235</v>
      </c>
      <c r="Q114" s="22" t="n">
        <f aca="false">SUM(E114:P114)</f>
        <v>101.609852936</v>
      </c>
      <c r="W114" s="1"/>
      <c r="X114" s="1"/>
      <c r="Y114" s="1"/>
      <c r="Z114" s="1"/>
    </row>
    <row r="115" customFormat="false" ht="15.75" hidden="false" customHeight="true" outlineLevel="0" collapsed="false">
      <c r="A115" s="42" t="n">
        <v>2029</v>
      </c>
      <c r="B115" s="13" t="s">
        <v>850</v>
      </c>
      <c r="C115" s="13" t="s">
        <v>846</v>
      </c>
      <c r="D115" s="16" t="s">
        <v>329</v>
      </c>
      <c r="E115" s="22" t="n">
        <v>18.9826825</v>
      </c>
      <c r="F115" s="22" t="n">
        <v>16.74942573</v>
      </c>
      <c r="G115" s="22" t="n">
        <v>20.09931088</v>
      </c>
      <c r="H115" s="22" t="n">
        <v>20.09931088</v>
      </c>
      <c r="I115" s="22" t="n">
        <v>20.09931088</v>
      </c>
      <c r="J115" s="22" t="n">
        <v>17.86605412</v>
      </c>
      <c r="K115" s="22" t="n">
        <v>20.09931088</v>
      </c>
      <c r="L115" s="22" t="n">
        <v>20.09931088</v>
      </c>
      <c r="M115" s="22" t="n">
        <v>18.9826825</v>
      </c>
      <c r="N115" s="22" t="n">
        <v>16.74942573</v>
      </c>
      <c r="O115" s="22" t="n">
        <v>15.63279735</v>
      </c>
      <c r="P115" s="22" t="n">
        <v>17.86605412</v>
      </c>
      <c r="Q115" s="22" t="n">
        <f aca="false">SUM(E115:P115)</f>
        <v>223.32567645</v>
      </c>
      <c r="W115" s="1"/>
      <c r="X115" s="1"/>
      <c r="Y115" s="1"/>
      <c r="Z115" s="1"/>
    </row>
    <row r="116" customFormat="false" ht="15.75" hidden="false" customHeight="true" outlineLevel="0" collapsed="false">
      <c r="A116" s="42" t="n">
        <v>2029</v>
      </c>
      <c r="B116" s="13" t="s">
        <v>851</v>
      </c>
      <c r="C116" s="13" t="s">
        <v>846</v>
      </c>
      <c r="D116" s="16" t="s">
        <v>330</v>
      </c>
      <c r="E116" s="22" t="n">
        <v>4.108418</v>
      </c>
      <c r="F116" s="22" t="n">
        <v>3.625074706</v>
      </c>
      <c r="G116" s="22" t="n">
        <v>4.350089647</v>
      </c>
      <c r="H116" s="22" t="n">
        <v>4.350089647</v>
      </c>
      <c r="I116" s="22" t="n">
        <v>4.350089647</v>
      </c>
      <c r="J116" s="22" t="n">
        <v>3.866746353</v>
      </c>
      <c r="K116" s="22" t="n">
        <v>4.350089647</v>
      </c>
      <c r="L116" s="22" t="n">
        <v>4.350089647</v>
      </c>
      <c r="M116" s="22" t="n">
        <v>4.108418</v>
      </c>
      <c r="N116" s="22" t="n">
        <v>3.625074706</v>
      </c>
      <c r="O116" s="22" t="n">
        <v>3.383403059</v>
      </c>
      <c r="P116" s="22" t="n">
        <v>3.866746353</v>
      </c>
      <c r="Q116" s="22" t="n">
        <f aca="false">SUM(E116:P116)</f>
        <v>48.334329412</v>
      </c>
      <c r="W116" s="1"/>
      <c r="X116" s="1"/>
      <c r="Y116" s="1"/>
      <c r="Z116" s="1"/>
    </row>
    <row r="117" customFormat="false" ht="15.75" hidden="false" customHeight="true" outlineLevel="0" collapsed="false">
      <c r="A117" s="42" t="n">
        <v>2029</v>
      </c>
      <c r="B117" s="13" t="s">
        <v>852</v>
      </c>
      <c r="C117" s="13" t="s">
        <v>846</v>
      </c>
      <c r="D117" s="16" t="s">
        <v>331</v>
      </c>
      <c r="E117" s="22" t="n">
        <v>2.741212</v>
      </c>
      <c r="F117" s="22" t="n">
        <v>2.418716471</v>
      </c>
      <c r="G117" s="22" t="n">
        <v>2.902459765</v>
      </c>
      <c r="H117" s="22" t="n">
        <v>2.902459765</v>
      </c>
      <c r="I117" s="22" t="n">
        <v>2.902459765</v>
      </c>
      <c r="J117" s="22" t="n">
        <v>2.579964235</v>
      </c>
      <c r="K117" s="22" t="n">
        <v>2.902459765</v>
      </c>
      <c r="L117" s="22" t="n">
        <v>2.902459765</v>
      </c>
      <c r="M117" s="22" t="n">
        <v>2.741212</v>
      </c>
      <c r="N117" s="22" t="n">
        <v>2.418716471</v>
      </c>
      <c r="O117" s="22" t="n">
        <v>2.257468706</v>
      </c>
      <c r="P117" s="22" t="n">
        <v>2.579964235</v>
      </c>
      <c r="Q117" s="22" t="n">
        <f aca="false">SUM(E117:P117)</f>
        <v>32.249552943</v>
      </c>
      <c r="W117" s="1"/>
      <c r="X117" s="1"/>
      <c r="Y117" s="1"/>
      <c r="Z117" s="1"/>
    </row>
    <row r="118" customFormat="false" ht="15.75" hidden="false" customHeight="true" outlineLevel="0" collapsed="false">
      <c r="A118" s="42" t="n">
        <v>2029</v>
      </c>
      <c r="B118" s="13" t="s">
        <v>853</v>
      </c>
      <c r="C118" s="13" t="s">
        <v>847</v>
      </c>
      <c r="D118" s="16" t="s">
        <v>328</v>
      </c>
      <c r="E118" s="22" t="n">
        <v>4.3656</v>
      </c>
      <c r="F118" s="22" t="n">
        <v>3.852</v>
      </c>
      <c r="G118" s="22" t="n">
        <v>4.6224</v>
      </c>
      <c r="H118" s="22" t="n">
        <v>4.6224</v>
      </c>
      <c r="I118" s="22" t="n">
        <v>4.6224</v>
      </c>
      <c r="J118" s="22" t="n">
        <v>4.1088</v>
      </c>
      <c r="K118" s="22" t="n">
        <v>4.6224</v>
      </c>
      <c r="L118" s="22" t="n">
        <v>4.6224</v>
      </c>
      <c r="M118" s="22" t="n">
        <v>4.3656</v>
      </c>
      <c r="N118" s="22" t="n">
        <v>3.852</v>
      </c>
      <c r="O118" s="22" t="n">
        <v>3.5952</v>
      </c>
      <c r="P118" s="22" t="n">
        <v>4.1088</v>
      </c>
      <c r="Q118" s="22" t="n">
        <f aca="false">SUM(E118:P118)</f>
        <v>51.36</v>
      </c>
      <c r="W118" s="1"/>
      <c r="X118" s="1"/>
      <c r="Y118" s="1"/>
      <c r="Z118" s="1"/>
    </row>
    <row r="119" customFormat="false" ht="15.75" hidden="false" customHeight="true" outlineLevel="0" collapsed="false">
      <c r="A119" s="42" t="n">
        <v>2029</v>
      </c>
      <c r="B119" s="13" t="s">
        <v>854</v>
      </c>
      <c r="C119" s="13" t="s">
        <v>847</v>
      </c>
      <c r="D119" s="16" t="s">
        <v>329</v>
      </c>
      <c r="E119" s="22" t="n">
        <v>9.7002</v>
      </c>
      <c r="F119" s="22" t="n">
        <v>8.559</v>
      </c>
      <c r="G119" s="22" t="n">
        <v>10.2708</v>
      </c>
      <c r="H119" s="22" t="n">
        <v>10.2708</v>
      </c>
      <c r="I119" s="22" t="n">
        <v>10.2708</v>
      </c>
      <c r="J119" s="22" t="n">
        <v>9.1296</v>
      </c>
      <c r="K119" s="22" t="n">
        <v>10.2708</v>
      </c>
      <c r="L119" s="22" t="n">
        <v>10.2708</v>
      </c>
      <c r="M119" s="22" t="n">
        <v>9.7002</v>
      </c>
      <c r="N119" s="22" t="n">
        <v>8.559</v>
      </c>
      <c r="O119" s="22" t="n">
        <v>7.9884</v>
      </c>
      <c r="P119" s="22" t="n">
        <v>9.1296</v>
      </c>
      <c r="Q119" s="22" t="n">
        <f aca="false">SUM(E119:P119)</f>
        <v>114.12</v>
      </c>
      <c r="W119" s="1"/>
      <c r="X119" s="1"/>
      <c r="Y119" s="1"/>
      <c r="Z119" s="1"/>
    </row>
    <row r="120" customFormat="false" ht="15.75" hidden="false" customHeight="true" outlineLevel="0" collapsed="false">
      <c r="A120" s="42" t="n">
        <v>2029</v>
      </c>
      <c r="B120" s="13" t="s">
        <v>855</v>
      </c>
      <c r="C120" s="13" t="s">
        <v>847</v>
      </c>
      <c r="D120" s="16" t="s">
        <v>330</v>
      </c>
      <c r="E120" s="22" t="n">
        <v>2.1658</v>
      </c>
      <c r="F120" s="22" t="n">
        <v>1.911</v>
      </c>
      <c r="G120" s="22" t="n">
        <v>2.2932</v>
      </c>
      <c r="H120" s="22" t="n">
        <v>2.2932</v>
      </c>
      <c r="I120" s="22" t="n">
        <v>2.2932</v>
      </c>
      <c r="J120" s="22" t="n">
        <v>2.0384</v>
      </c>
      <c r="K120" s="22" t="n">
        <v>2.2932</v>
      </c>
      <c r="L120" s="22" t="n">
        <v>2.2932</v>
      </c>
      <c r="M120" s="22" t="n">
        <v>2.1658</v>
      </c>
      <c r="N120" s="22" t="n">
        <v>1.911</v>
      </c>
      <c r="O120" s="22" t="n">
        <v>1.7836</v>
      </c>
      <c r="P120" s="22" t="n">
        <v>2.0384</v>
      </c>
      <c r="Q120" s="22" t="n">
        <f aca="false">SUM(E120:P120)</f>
        <v>25.48</v>
      </c>
      <c r="W120" s="1"/>
      <c r="X120" s="1"/>
      <c r="Y120" s="1"/>
      <c r="Z120" s="1"/>
    </row>
    <row r="121" customFormat="false" ht="15.75" hidden="false" customHeight="true" outlineLevel="0" collapsed="false">
      <c r="A121" s="42" t="n">
        <v>2029</v>
      </c>
      <c r="B121" s="13" t="s">
        <v>856</v>
      </c>
      <c r="C121" s="13" t="s">
        <v>847</v>
      </c>
      <c r="D121" s="16" t="s">
        <v>331</v>
      </c>
      <c r="E121" s="22" t="n">
        <v>1.3668</v>
      </c>
      <c r="F121" s="22" t="n">
        <v>1.206</v>
      </c>
      <c r="G121" s="22" t="n">
        <v>1.4472</v>
      </c>
      <c r="H121" s="22" t="n">
        <v>1.4472</v>
      </c>
      <c r="I121" s="22" t="n">
        <v>1.4472</v>
      </c>
      <c r="J121" s="22" t="n">
        <v>1.2864</v>
      </c>
      <c r="K121" s="22" t="n">
        <v>1.4472</v>
      </c>
      <c r="L121" s="22" t="n">
        <v>1.4472</v>
      </c>
      <c r="M121" s="22" t="n">
        <v>1.3668</v>
      </c>
      <c r="N121" s="22" t="n">
        <v>1.206</v>
      </c>
      <c r="O121" s="22" t="n">
        <v>1.1256</v>
      </c>
      <c r="P121" s="22" t="n">
        <v>1.2864</v>
      </c>
      <c r="Q121" s="22" t="n">
        <f aca="false">SUM(E121:P121)</f>
        <v>16.08</v>
      </c>
      <c r="W121" s="1"/>
      <c r="X121" s="1"/>
      <c r="Y121" s="1"/>
      <c r="Z121" s="1"/>
    </row>
    <row r="122" customFormat="false" ht="15.75" hidden="false" customHeight="true" outlineLevel="0" collapsed="false">
      <c r="A122" s="42" t="n">
        <v>2030</v>
      </c>
      <c r="B122" s="13" t="s">
        <v>849</v>
      </c>
      <c r="C122" s="13" t="s">
        <v>846</v>
      </c>
      <c r="D122" s="16" t="s">
        <v>328</v>
      </c>
      <c r="E122" s="22" t="n">
        <v>13.3480603</v>
      </c>
      <c r="F122" s="22" t="n">
        <v>11.77770026</v>
      </c>
      <c r="G122" s="22" t="n">
        <v>14.13324031</v>
      </c>
      <c r="H122" s="22" t="n">
        <v>14.13324031</v>
      </c>
      <c r="I122" s="22" t="n">
        <v>14.13324031</v>
      </c>
      <c r="J122" s="22" t="n">
        <v>12.56288028</v>
      </c>
      <c r="K122" s="22" t="n">
        <v>14.13324031</v>
      </c>
      <c r="L122" s="22" t="n">
        <v>14.13324031</v>
      </c>
      <c r="M122" s="22" t="n">
        <v>13.3480603</v>
      </c>
      <c r="N122" s="22" t="n">
        <v>11.77770026</v>
      </c>
      <c r="O122" s="22" t="n">
        <v>10.99252024</v>
      </c>
      <c r="P122" s="22" t="n">
        <v>12.56288028</v>
      </c>
      <c r="Q122" s="22" t="n">
        <f aca="false">SUM(E122:P122)</f>
        <v>157.03600347</v>
      </c>
      <c r="W122" s="1"/>
      <c r="X122" s="1"/>
      <c r="Y122" s="1"/>
      <c r="Z122" s="1"/>
    </row>
    <row r="123" customFormat="false" ht="15.75" hidden="false" customHeight="true" outlineLevel="0" collapsed="false">
      <c r="A123" s="42" t="n">
        <v>2030</v>
      </c>
      <c r="B123" s="13" t="s">
        <v>850</v>
      </c>
      <c r="C123" s="13" t="s">
        <v>846</v>
      </c>
      <c r="D123" s="16" t="s">
        <v>329</v>
      </c>
      <c r="E123" s="22" t="n">
        <v>29.34601265</v>
      </c>
      <c r="F123" s="22" t="n">
        <v>25.89354058</v>
      </c>
      <c r="G123" s="22" t="n">
        <v>31.07224869</v>
      </c>
      <c r="H123" s="22" t="n">
        <v>31.07224869</v>
      </c>
      <c r="I123" s="22" t="n">
        <v>31.07224869</v>
      </c>
      <c r="J123" s="22" t="n">
        <v>27.61977661</v>
      </c>
      <c r="K123" s="22" t="n">
        <v>31.07224869</v>
      </c>
      <c r="L123" s="22" t="n">
        <v>31.07224869</v>
      </c>
      <c r="M123" s="22" t="n">
        <v>29.34601265</v>
      </c>
      <c r="N123" s="22" t="n">
        <v>25.89354058</v>
      </c>
      <c r="O123" s="22" t="n">
        <v>24.16730454</v>
      </c>
      <c r="P123" s="22" t="n">
        <v>27.61977661</v>
      </c>
      <c r="Q123" s="22" t="n">
        <f aca="false">SUM(E123:P123)</f>
        <v>345.24720767</v>
      </c>
      <c r="W123" s="1"/>
      <c r="X123" s="1"/>
      <c r="Y123" s="1"/>
      <c r="Z123" s="1"/>
    </row>
    <row r="124" customFormat="false" ht="15.75" hidden="false" customHeight="true" outlineLevel="0" collapsed="false">
      <c r="A124" s="42" t="n">
        <v>2030</v>
      </c>
      <c r="B124" s="13" t="s">
        <v>851</v>
      </c>
      <c r="C124" s="13" t="s">
        <v>846</v>
      </c>
      <c r="D124" s="16" t="s">
        <v>330</v>
      </c>
      <c r="E124" s="22" t="n">
        <v>6.451540942</v>
      </c>
      <c r="F124" s="22" t="n">
        <v>5.692536126</v>
      </c>
      <c r="G124" s="22" t="n">
        <v>6.831043351</v>
      </c>
      <c r="H124" s="22" t="n">
        <v>6.831043351</v>
      </c>
      <c r="I124" s="22" t="n">
        <v>6.831043351</v>
      </c>
      <c r="J124" s="22" t="n">
        <v>6.072038534</v>
      </c>
      <c r="K124" s="22" t="n">
        <v>6.831043351</v>
      </c>
      <c r="L124" s="22" t="n">
        <v>6.831043351</v>
      </c>
      <c r="M124" s="22" t="n">
        <v>6.451540942</v>
      </c>
      <c r="N124" s="22" t="n">
        <v>5.692536126</v>
      </c>
      <c r="O124" s="22" t="n">
        <v>5.313033717</v>
      </c>
      <c r="P124" s="22" t="n">
        <v>6.072038534</v>
      </c>
      <c r="Q124" s="22" t="n">
        <f aca="false">SUM(E124:P124)</f>
        <v>75.900481676</v>
      </c>
      <c r="W124" s="1"/>
      <c r="X124" s="1"/>
      <c r="Y124" s="1"/>
      <c r="Z124" s="1"/>
    </row>
    <row r="125" customFormat="false" ht="15.75" hidden="false" customHeight="true" outlineLevel="0" collapsed="false">
      <c r="A125" s="42" t="n">
        <v>2030</v>
      </c>
      <c r="B125" s="13" t="s">
        <v>852</v>
      </c>
      <c r="C125" s="13" t="s">
        <v>846</v>
      </c>
      <c r="D125" s="16" t="s">
        <v>331</v>
      </c>
      <c r="E125" s="22" t="n">
        <v>4.246627295</v>
      </c>
      <c r="F125" s="22" t="n">
        <v>3.747024084</v>
      </c>
      <c r="G125" s="22" t="n">
        <v>4.4964289</v>
      </c>
      <c r="H125" s="22" t="n">
        <v>4.4964289</v>
      </c>
      <c r="I125" s="22" t="n">
        <v>4.4964289</v>
      </c>
      <c r="J125" s="22" t="n">
        <v>3.996825689</v>
      </c>
      <c r="K125" s="22" t="n">
        <v>4.4964289</v>
      </c>
      <c r="L125" s="22" t="n">
        <v>4.4964289</v>
      </c>
      <c r="M125" s="22" t="n">
        <v>4.246627295</v>
      </c>
      <c r="N125" s="22" t="n">
        <v>3.747024084</v>
      </c>
      <c r="O125" s="22" t="n">
        <v>3.497222478</v>
      </c>
      <c r="P125" s="22" t="n">
        <v>3.996825689</v>
      </c>
      <c r="Q125" s="22" t="n">
        <f aca="false">SUM(E125:P125)</f>
        <v>49.960321114</v>
      </c>
      <c r="W125" s="1"/>
      <c r="X125" s="1"/>
      <c r="Y125" s="1"/>
      <c r="Z125" s="1"/>
    </row>
    <row r="126" customFormat="false" ht="15.75" hidden="false" customHeight="true" outlineLevel="0" collapsed="false">
      <c r="A126" s="42" t="n">
        <v>2030</v>
      </c>
      <c r="B126" s="13" t="s">
        <v>853</v>
      </c>
      <c r="C126" s="13" t="s">
        <v>847</v>
      </c>
      <c r="D126" s="16" t="s">
        <v>328</v>
      </c>
      <c r="E126" s="22" t="n">
        <v>8.0954</v>
      </c>
      <c r="F126" s="22" t="n">
        <v>7.143</v>
      </c>
      <c r="G126" s="22" t="n">
        <v>8.5716</v>
      </c>
      <c r="H126" s="22" t="n">
        <v>8.5716</v>
      </c>
      <c r="I126" s="22" t="n">
        <v>8.5716</v>
      </c>
      <c r="J126" s="22" t="n">
        <v>7.6192</v>
      </c>
      <c r="K126" s="22" t="n">
        <v>8.5716</v>
      </c>
      <c r="L126" s="22" t="n">
        <v>8.5716</v>
      </c>
      <c r="M126" s="22" t="n">
        <v>8.0954</v>
      </c>
      <c r="N126" s="22" t="n">
        <v>7.143</v>
      </c>
      <c r="O126" s="22" t="n">
        <v>6.6668</v>
      </c>
      <c r="P126" s="22" t="n">
        <v>7.6192</v>
      </c>
      <c r="Q126" s="22" t="n">
        <f aca="false">SUM(E126:P126)</f>
        <v>95.24</v>
      </c>
      <c r="W126" s="1"/>
      <c r="X126" s="1"/>
      <c r="Y126" s="1"/>
      <c r="Z126" s="1"/>
    </row>
    <row r="127" customFormat="false" ht="15.75" hidden="false" customHeight="true" outlineLevel="0" collapsed="false">
      <c r="A127" s="42" t="n">
        <v>2030</v>
      </c>
      <c r="B127" s="13" t="s">
        <v>854</v>
      </c>
      <c r="C127" s="13" t="s">
        <v>847</v>
      </c>
      <c r="D127" s="16" t="s">
        <v>329</v>
      </c>
      <c r="E127" s="22" t="n">
        <v>17.7446</v>
      </c>
      <c r="F127" s="22" t="n">
        <v>15.657</v>
      </c>
      <c r="G127" s="22" t="n">
        <v>18.7884</v>
      </c>
      <c r="H127" s="22" t="n">
        <v>18.7884</v>
      </c>
      <c r="I127" s="22" t="n">
        <v>18.7884</v>
      </c>
      <c r="J127" s="22" t="n">
        <v>16.7008</v>
      </c>
      <c r="K127" s="22" t="n">
        <v>18.7884</v>
      </c>
      <c r="L127" s="22" t="n">
        <v>18.7884</v>
      </c>
      <c r="M127" s="22" t="n">
        <v>17.7446</v>
      </c>
      <c r="N127" s="22" t="n">
        <v>15.657</v>
      </c>
      <c r="O127" s="22" t="n">
        <v>14.6132</v>
      </c>
      <c r="P127" s="22" t="n">
        <v>16.7008</v>
      </c>
      <c r="Q127" s="22" t="n">
        <f aca="false">SUM(E127:P127)</f>
        <v>208.76</v>
      </c>
      <c r="W127" s="1"/>
      <c r="X127" s="1"/>
      <c r="Y127" s="1"/>
      <c r="Z127" s="1"/>
    </row>
    <row r="128" customFormat="false" ht="15.75" hidden="false" customHeight="true" outlineLevel="0" collapsed="false">
      <c r="A128" s="42" t="n">
        <v>2030</v>
      </c>
      <c r="B128" s="13" t="s">
        <v>855</v>
      </c>
      <c r="C128" s="13" t="s">
        <v>847</v>
      </c>
      <c r="D128" s="16" t="s">
        <v>330</v>
      </c>
      <c r="E128" s="22" t="n">
        <v>3.9406</v>
      </c>
      <c r="F128" s="22" t="n">
        <v>3.477</v>
      </c>
      <c r="G128" s="22" t="n">
        <v>4.1724</v>
      </c>
      <c r="H128" s="22" t="n">
        <v>4.1724</v>
      </c>
      <c r="I128" s="22" t="n">
        <v>4.1724</v>
      </c>
      <c r="J128" s="22" t="n">
        <v>3.7088</v>
      </c>
      <c r="K128" s="22" t="n">
        <v>4.1724</v>
      </c>
      <c r="L128" s="22" t="n">
        <v>4.1724</v>
      </c>
      <c r="M128" s="22" t="n">
        <v>3.9406</v>
      </c>
      <c r="N128" s="22" t="n">
        <v>3.477</v>
      </c>
      <c r="O128" s="22" t="n">
        <v>3.2452</v>
      </c>
      <c r="P128" s="22" t="n">
        <v>3.7088</v>
      </c>
      <c r="Q128" s="22" t="n">
        <f aca="false">SUM(E128:P128)</f>
        <v>46.36</v>
      </c>
      <c r="W128" s="1"/>
      <c r="X128" s="1"/>
      <c r="Y128" s="1"/>
      <c r="Z128" s="1"/>
    </row>
    <row r="129" customFormat="false" ht="15.75" hidden="false" customHeight="true" outlineLevel="0" collapsed="false">
      <c r="A129" s="42" t="n">
        <v>2030</v>
      </c>
      <c r="B129" s="13" t="s">
        <v>856</v>
      </c>
      <c r="C129" s="13" t="s">
        <v>847</v>
      </c>
      <c r="D129" s="16" t="s">
        <v>331</v>
      </c>
      <c r="E129" s="22" t="n">
        <v>2.6078</v>
      </c>
      <c r="F129" s="22" t="n">
        <v>2.301</v>
      </c>
      <c r="G129" s="22" t="n">
        <v>2.7612</v>
      </c>
      <c r="H129" s="22" t="n">
        <v>2.7612</v>
      </c>
      <c r="I129" s="22" t="n">
        <v>2.7612</v>
      </c>
      <c r="J129" s="22" t="n">
        <v>2.4544</v>
      </c>
      <c r="K129" s="22" t="n">
        <v>2.7612</v>
      </c>
      <c r="L129" s="22" t="n">
        <v>2.7612</v>
      </c>
      <c r="M129" s="22" t="n">
        <v>2.6078</v>
      </c>
      <c r="N129" s="22" t="n">
        <v>2.301</v>
      </c>
      <c r="O129" s="22" t="n">
        <v>2.1476</v>
      </c>
      <c r="P129" s="22" t="n">
        <v>2.4544</v>
      </c>
      <c r="Q129" s="22" t="n">
        <f aca="false">SUM(E129:P129)</f>
        <v>30.68</v>
      </c>
      <c r="W129" s="1"/>
      <c r="X129" s="1"/>
      <c r="Y129" s="1"/>
      <c r="Z129" s="1"/>
    </row>
    <row r="130" customFormat="false" ht="15.75" hidden="false" customHeight="true" outlineLevel="0" collapsed="false">
      <c r="A130" s="42" t="n">
        <v>2031</v>
      </c>
      <c r="B130" s="13" t="s">
        <v>849</v>
      </c>
      <c r="C130" s="13" t="s">
        <v>846</v>
      </c>
      <c r="D130" s="16" t="s">
        <v>328</v>
      </c>
      <c r="E130" s="22" t="n">
        <v>18.11983103</v>
      </c>
      <c r="F130" s="22" t="n">
        <v>15.9880862</v>
      </c>
      <c r="G130" s="22" t="n">
        <v>19.18570344</v>
      </c>
      <c r="H130" s="22" t="n">
        <v>19.18570344</v>
      </c>
      <c r="I130" s="22" t="n">
        <v>19.18570344</v>
      </c>
      <c r="J130" s="22" t="n">
        <v>17.05395862</v>
      </c>
      <c r="K130" s="22" t="n">
        <v>19.18570344</v>
      </c>
      <c r="L130" s="22" t="n">
        <v>19.18570344</v>
      </c>
      <c r="M130" s="22" t="n">
        <v>18.11983103</v>
      </c>
      <c r="N130" s="22" t="n">
        <v>15.9880862</v>
      </c>
      <c r="O130" s="22" t="n">
        <v>14.92221379</v>
      </c>
      <c r="P130" s="22" t="n">
        <v>17.05395862</v>
      </c>
      <c r="Q130" s="22" t="n">
        <f aca="false">SUM(E130:P130)</f>
        <v>213.17448269</v>
      </c>
      <c r="W130" s="1"/>
      <c r="X130" s="1"/>
      <c r="Y130" s="1"/>
      <c r="Z130" s="1"/>
    </row>
    <row r="131" customFormat="false" ht="15.75" hidden="false" customHeight="true" outlineLevel="0" collapsed="false">
      <c r="A131" s="42" t="n">
        <v>2031</v>
      </c>
      <c r="B131" s="13" t="s">
        <v>850</v>
      </c>
      <c r="C131" s="13" t="s">
        <v>846</v>
      </c>
      <c r="D131" s="16" t="s">
        <v>329</v>
      </c>
      <c r="E131" s="22" t="n">
        <v>39.75754827</v>
      </c>
      <c r="F131" s="22" t="n">
        <v>35.08018965</v>
      </c>
      <c r="G131" s="22" t="n">
        <v>42.09622758</v>
      </c>
      <c r="H131" s="22" t="n">
        <v>42.09622758</v>
      </c>
      <c r="I131" s="22" t="n">
        <v>42.09622758</v>
      </c>
      <c r="J131" s="22" t="n">
        <v>37.41886896</v>
      </c>
      <c r="K131" s="22" t="n">
        <v>42.09622758</v>
      </c>
      <c r="L131" s="22" t="n">
        <v>42.09622758</v>
      </c>
      <c r="M131" s="22" t="n">
        <v>39.75754827</v>
      </c>
      <c r="N131" s="22" t="n">
        <v>35.08018965</v>
      </c>
      <c r="O131" s="22" t="n">
        <v>32.74151034</v>
      </c>
      <c r="P131" s="22" t="n">
        <v>37.41886896</v>
      </c>
      <c r="Q131" s="22" t="n">
        <f aca="false">SUM(E131:P131)</f>
        <v>467.735862</v>
      </c>
      <c r="W131" s="1"/>
      <c r="X131" s="1"/>
      <c r="Y131" s="1"/>
      <c r="Z131" s="1"/>
    </row>
    <row r="132" customFormat="false" ht="15.75" hidden="false" customHeight="true" outlineLevel="0" collapsed="false">
      <c r="A132" s="42" t="n">
        <v>2031</v>
      </c>
      <c r="B132" s="13" t="s">
        <v>851</v>
      </c>
      <c r="C132" s="13" t="s">
        <v>846</v>
      </c>
      <c r="D132" s="16" t="s">
        <v>330</v>
      </c>
      <c r="E132" s="22" t="n">
        <v>8.660526895</v>
      </c>
      <c r="F132" s="22" t="n">
        <v>7.641641378</v>
      </c>
      <c r="G132" s="22" t="n">
        <v>9.169969653</v>
      </c>
      <c r="H132" s="22" t="n">
        <v>9.169969653</v>
      </c>
      <c r="I132" s="22" t="n">
        <v>9.169969653</v>
      </c>
      <c r="J132" s="22" t="n">
        <v>8.151084136</v>
      </c>
      <c r="K132" s="22" t="n">
        <v>9.169969653</v>
      </c>
      <c r="L132" s="22" t="n">
        <v>9.169969653</v>
      </c>
      <c r="M132" s="22" t="n">
        <v>8.660526895</v>
      </c>
      <c r="N132" s="22" t="n">
        <v>7.641641378</v>
      </c>
      <c r="O132" s="22" t="n">
        <v>7.132198619</v>
      </c>
      <c r="P132" s="22" t="n">
        <v>8.151084136</v>
      </c>
      <c r="Q132" s="22" t="n">
        <f aca="false">SUM(E132:P132)</f>
        <v>101.888551702</v>
      </c>
      <c r="W132" s="1"/>
      <c r="X132" s="1"/>
      <c r="Y132" s="1"/>
      <c r="Z132" s="1"/>
    </row>
    <row r="133" customFormat="false" ht="15.75" hidden="false" customHeight="true" outlineLevel="0" collapsed="false">
      <c r="A133" s="42" t="n">
        <v>2031</v>
      </c>
      <c r="B133" s="13" t="s">
        <v>852</v>
      </c>
      <c r="C133" s="13" t="s">
        <v>846</v>
      </c>
      <c r="D133" s="16" t="s">
        <v>331</v>
      </c>
      <c r="E133" s="22" t="n">
        <v>5.77141793</v>
      </c>
      <c r="F133" s="22" t="n">
        <v>5.092427585</v>
      </c>
      <c r="G133" s="22" t="n">
        <v>6.110913102</v>
      </c>
      <c r="H133" s="22" t="n">
        <v>6.110913102</v>
      </c>
      <c r="I133" s="22" t="n">
        <v>6.110913102</v>
      </c>
      <c r="J133" s="22" t="n">
        <v>5.431922757</v>
      </c>
      <c r="K133" s="22" t="n">
        <v>6.110913102</v>
      </c>
      <c r="L133" s="22" t="n">
        <v>6.110913102</v>
      </c>
      <c r="M133" s="22" t="n">
        <v>5.77141793</v>
      </c>
      <c r="N133" s="22" t="n">
        <v>5.092427585</v>
      </c>
      <c r="O133" s="22" t="n">
        <v>4.752932413</v>
      </c>
      <c r="P133" s="22" t="n">
        <v>5.431922757</v>
      </c>
      <c r="Q133" s="22" t="n">
        <f aca="false">SUM(E133:P133)</f>
        <v>67.899034467</v>
      </c>
      <c r="W133" s="1"/>
      <c r="X133" s="1"/>
      <c r="Y133" s="1"/>
      <c r="Z133" s="1"/>
    </row>
    <row r="134" customFormat="false" ht="15.75" hidden="false" customHeight="true" outlineLevel="0" collapsed="false">
      <c r="A134" s="42" t="n">
        <v>2031</v>
      </c>
      <c r="B134" s="13" t="s">
        <v>853</v>
      </c>
      <c r="C134" s="13" t="s">
        <v>847</v>
      </c>
      <c r="D134" s="16" t="s">
        <v>328</v>
      </c>
      <c r="E134" s="22" t="n">
        <v>11.594</v>
      </c>
      <c r="F134" s="22" t="n">
        <v>10.23</v>
      </c>
      <c r="G134" s="22" t="n">
        <v>12.276</v>
      </c>
      <c r="H134" s="22" t="n">
        <v>12.276</v>
      </c>
      <c r="I134" s="22" t="n">
        <v>12.276</v>
      </c>
      <c r="J134" s="22" t="n">
        <v>10.912</v>
      </c>
      <c r="K134" s="22" t="n">
        <v>12.276</v>
      </c>
      <c r="L134" s="22" t="n">
        <v>12.276</v>
      </c>
      <c r="M134" s="22" t="n">
        <v>11.594</v>
      </c>
      <c r="N134" s="22" t="n">
        <v>10.23</v>
      </c>
      <c r="O134" s="22" t="n">
        <v>9.548</v>
      </c>
      <c r="P134" s="22" t="n">
        <v>10.912</v>
      </c>
      <c r="Q134" s="22" t="n">
        <f aca="false">SUM(E134:P134)</f>
        <v>136.4</v>
      </c>
      <c r="W134" s="1"/>
      <c r="X134" s="1"/>
      <c r="Y134" s="1"/>
      <c r="Z134" s="1"/>
    </row>
    <row r="135" customFormat="false" ht="15.75" hidden="false" customHeight="true" outlineLevel="0" collapsed="false">
      <c r="A135" s="42" t="n">
        <v>2031</v>
      </c>
      <c r="B135" s="13" t="s">
        <v>854</v>
      </c>
      <c r="C135" s="13" t="s">
        <v>847</v>
      </c>
      <c r="D135" s="16" t="s">
        <v>329</v>
      </c>
      <c r="E135" s="22" t="n">
        <v>25.619</v>
      </c>
      <c r="F135" s="22" t="n">
        <v>22.605</v>
      </c>
      <c r="G135" s="22" t="n">
        <v>27.126</v>
      </c>
      <c r="H135" s="22" t="n">
        <v>27.126</v>
      </c>
      <c r="I135" s="22" t="n">
        <v>27.126</v>
      </c>
      <c r="J135" s="22" t="n">
        <v>24.112</v>
      </c>
      <c r="K135" s="22" t="n">
        <v>27.126</v>
      </c>
      <c r="L135" s="22" t="n">
        <v>27.126</v>
      </c>
      <c r="M135" s="22" t="n">
        <v>25.619</v>
      </c>
      <c r="N135" s="22" t="n">
        <v>22.605</v>
      </c>
      <c r="O135" s="22" t="n">
        <v>21.098</v>
      </c>
      <c r="P135" s="22" t="n">
        <v>24.112</v>
      </c>
      <c r="Q135" s="22" t="n">
        <f aca="false">SUM(E135:P135)</f>
        <v>301.4</v>
      </c>
      <c r="W135" s="1"/>
      <c r="X135" s="1"/>
      <c r="Y135" s="1"/>
      <c r="Z135" s="1"/>
    </row>
    <row r="136" customFormat="false" ht="15.75" hidden="false" customHeight="true" outlineLevel="0" collapsed="false">
      <c r="A136" s="42" t="n">
        <v>2031</v>
      </c>
      <c r="B136" s="13" t="s">
        <v>855</v>
      </c>
      <c r="C136" s="13" t="s">
        <v>847</v>
      </c>
      <c r="D136" s="16" t="s">
        <v>330</v>
      </c>
      <c r="E136" s="22" t="n">
        <v>5.5794</v>
      </c>
      <c r="F136" s="22" t="n">
        <v>4.923</v>
      </c>
      <c r="G136" s="22" t="n">
        <v>5.9076</v>
      </c>
      <c r="H136" s="22" t="n">
        <v>5.9076</v>
      </c>
      <c r="I136" s="22" t="n">
        <v>5.9076</v>
      </c>
      <c r="J136" s="22" t="n">
        <v>5.2512</v>
      </c>
      <c r="K136" s="22" t="n">
        <v>5.9076</v>
      </c>
      <c r="L136" s="22" t="n">
        <v>5.9076</v>
      </c>
      <c r="M136" s="22" t="n">
        <v>5.5794</v>
      </c>
      <c r="N136" s="22" t="n">
        <v>4.923</v>
      </c>
      <c r="O136" s="22" t="n">
        <v>4.5948</v>
      </c>
      <c r="P136" s="22" t="n">
        <v>5.2512</v>
      </c>
      <c r="Q136" s="22" t="n">
        <f aca="false">SUM(E136:P136)</f>
        <v>65.64</v>
      </c>
      <c r="W136" s="1"/>
      <c r="X136" s="1"/>
      <c r="Y136" s="1"/>
      <c r="Z136" s="1"/>
    </row>
    <row r="137" customFormat="false" ht="15.75" hidden="false" customHeight="true" outlineLevel="0" collapsed="false">
      <c r="A137" s="42" t="n">
        <v>2031</v>
      </c>
      <c r="B137" s="13" t="s">
        <v>856</v>
      </c>
      <c r="C137" s="13" t="s">
        <v>847</v>
      </c>
      <c r="D137" s="16" t="s">
        <v>331</v>
      </c>
      <c r="E137" s="22" t="n">
        <v>3.6516</v>
      </c>
      <c r="F137" s="22" t="n">
        <v>3.222</v>
      </c>
      <c r="G137" s="22" t="n">
        <v>3.8664</v>
      </c>
      <c r="H137" s="22" t="n">
        <v>3.8664</v>
      </c>
      <c r="I137" s="22" t="n">
        <v>3.8664</v>
      </c>
      <c r="J137" s="22" t="n">
        <v>3.4368</v>
      </c>
      <c r="K137" s="22" t="n">
        <v>3.8664</v>
      </c>
      <c r="L137" s="22" t="n">
        <v>3.8664</v>
      </c>
      <c r="M137" s="22" t="n">
        <v>3.6516</v>
      </c>
      <c r="N137" s="22" t="n">
        <v>3.222</v>
      </c>
      <c r="O137" s="22" t="n">
        <v>3.0072</v>
      </c>
      <c r="P137" s="22" t="n">
        <v>3.4368</v>
      </c>
      <c r="Q137" s="22" t="n">
        <f aca="false">SUM(E137:P137)</f>
        <v>42.96</v>
      </c>
      <c r="W137" s="1"/>
      <c r="X137" s="1"/>
      <c r="Y137" s="1"/>
      <c r="Z137" s="1"/>
    </row>
    <row r="138" customFormat="false" ht="15.75" hidden="false" customHeight="true" outlineLevel="0" collapsed="false">
      <c r="A138" s="42" t="n">
        <v>2032</v>
      </c>
      <c r="B138" s="13" t="s">
        <v>849</v>
      </c>
      <c r="C138" s="13" t="s">
        <v>846</v>
      </c>
      <c r="D138" s="16" t="s">
        <v>328</v>
      </c>
      <c r="E138" s="22" t="n">
        <v>23.20399982</v>
      </c>
      <c r="F138" s="22" t="n">
        <v>20.47411749</v>
      </c>
      <c r="G138" s="22" t="n">
        <v>24.56894098</v>
      </c>
      <c r="H138" s="22" t="n">
        <v>24.56894098</v>
      </c>
      <c r="I138" s="22" t="n">
        <v>24.56894098</v>
      </c>
      <c r="J138" s="22" t="n">
        <v>21.83905865</v>
      </c>
      <c r="K138" s="22" t="n">
        <v>24.56894098</v>
      </c>
      <c r="L138" s="22" t="n">
        <v>24.56894098</v>
      </c>
      <c r="M138" s="22" t="n">
        <v>23.20399982</v>
      </c>
      <c r="N138" s="22" t="n">
        <v>20.47411749</v>
      </c>
      <c r="O138" s="22" t="n">
        <v>19.10917632</v>
      </c>
      <c r="P138" s="22" t="n">
        <v>21.83905865</v>
      </c>
      <c r="Q138" s="22" t="n">
        <f aca="false">SUM(E138:P138)</f>
        <v>272.98823314</v>
      </c>
      <c r="W138" s="1"/>
      <c r="X138" s="1"/>
      <c r="Y138" s="1"/>
      <c r="Z138" s="1"/>
    </row>
    <row r="139" customFormat="false" ht="15.75" hidden="false" customHeight="true" outlineLevel="0" collapsed="false">
      <c r="A139" s="42" t="n">
        <v>2032</v>
      </c>
      <c r="B139" s="13" t="s">
        <v>850</v>
      </c>
      <c r="C139" s="13" t="s">
        <v>846</v>
      </c>
      <c r="D139" s="16" t="s">
        <v>329</v>
      </c>
      <c r="E139" s="22" t="n">
        <v>51.1215596</v>
      </c>
      <c r="F139" s="22" t="n">
        <v>45.10725847</v>
      </c>
      <c r="G139" s="22" t="n">
        <v>54.12871017</v>
      </c>
      <c r="H139" s="22" t="n">
        <v>54.12871017</v>
      </c>
      <c r="I139" s="22" t="n">
        <v>54.12871017</v>
      </c>
      <c r="J139" s="22" t="n">
        <v>48.11440904</v>
      </c>
      <c r="K139" s="22" t="n">
        <v>54.12871017</v>
      </c>
      <c r="L139" s="22" t="n">
        <v>54.12871017</v>
      </c>
      <c r="M139" s="22" t="n">
        <v>51.1215596</v>
      </c>
      <c r="N139" s="22" t="n">
        <v>45.10725847</v>
      </c>
      <c r="O139" s="22" t="n">
        <v>42.10010791</v>
      </c>
      <c r="P139" s="22" t="n">
        <v>48.11440904</v>
      </c>
      <c r="Q139" s="22" t="n">
        <f aca="false">SUM(E139:P139)</f>
        <v>601.43011298</v>
      </c>
      <c r="W139" s="1"/>
      <c r="X139" s="1"/>
      <c r="Y139" s="1"/>
      <c r="Z139" s="1"/>
    </row>
    <row r="140" customFormat="false" ht="15.75" hidden="false" customHeight="true" outlineLevel="0" collapsed="false">
      <c r="A140" s="42" t="n">
        <v>2032</v>
      </c>
      <c r="B140" s="13" t="s">
        <v>851</v>
      </c>
      <c r="C140" s="13" t="s">
        <v>846</v>
      </c>
      <c r="D140" s="16" t="s">
        <v>330</v>
      </c>
      <c r="E140" s="22" t="n">
        <v>11.13846391</v>
      </c>
      <c r="F140" s="22" t="n">
        <v>9.828056394</v>
      </c>
      <c r="G140" s="22" t="n">
        <v>11.79366767</v>
      </c>
      <c r="H140" s="22" t="n">
        <v>11.79366767</v>
      </c>
      <c r="I140" s="22" t="n">
        <v>11.79366767</v>
      </c>
      <c r="J140" s="22" t="n">
        <v>10.48326015</v>
      </c>
      <c r="K140" s="22" t="n">
        <v>11.79366767</v>
      </c>
      <c r="L140" s="22" t="n">
        <v>11.79366767</v>
      </c>
      <c r="M140" s="22" t="n">
        <v>11.13846391</v>
      </c>
      <c r="N140" s="22" t="n">
        <v>9.828056394</v>
      </c>
      <c r="O140" s="22" t="n">
        <v>9.172852634</v>
      </c>
      <c r="P140" s="22" t="n">
        <v>10.48326015</v>
      </c>
      <c r="Q140" s="22" t="n">
        <f aca="false">SUM(E140:P140)</f>
        <v>131.040751892</v>
      </c>
      <c r="W140" s="1"/>
      <c r="X140" s="1"/>
      <c r="Y140" s="1"/>
      <c r="Z140" s="1"/>
    </row>
    <row r="141" customFormat="false" ht="15.75" hidden="false" customHeight="true" outlineLevel="0" collapsed="false">
      <c r="A141" s="42" t="n">
        <v>2032</v>
      </c>
      <c r="B141" s="13" t="s">
        <v>852</v>
      </c>
      <c r="C141" s="13" t="s">
        <v>846</v>
      </c>
      <c r="D141" s="16" t="s">
        <v>331</v>
      </c>
      <c r="E141" s="22" t="n">
        <v>7.508375942</v>
      </c>
      <c r="F141" s="22" t="n">
        <v>6.625037596</v>
      </c>
      <c r="G141" s="22" t="n">
        <v>7.950045115</v>
      </c>
      <c r="H141" s="22" t="n">
        <v>7.950045115</v>
      </c>
      <c r="I141" s="22" t="n">
        <v>7.950045115</v>
      </c>
      <c r="J141" s="22" t="n">
        <v>7.066706769</v>
      </c>
      <c r="K141" s="22" t="n">
        <v>7.950045115</v>
      </c>
      <c r="L141" s="22" t="n">
        <v>7.950045115</v>
      </c>
      <c r="M141" s="22" t="n">
        <v>7.508375942</v>
      </c>
      <c r="N141" s="22" t="n">
        <v>6.625037596</v>
      </c>
      <c r="O141" s="22" t="n">
        <v>6.183368423</v>
      </c>
      <c r="P141" s="22" t="n">
        <v>7.066706769</v>
      </c>
      <c r="Q141" s="22" t="n">
        <f aca="false">SUM(E141:P141)</f>
        <v>88.333834612</v>
      </c>
      <c r="W141" s="1"/>
      <c r="X141" s="1"/>
      <c r="Y141" s="1"/>
      <c r="Z141" s="1"/>
    </row>
    <row r="142" customFormat="false" ht="15.75" hidden="false" customHeight="true" outlineLevel="0" collapsed="false">
      <c r="A142" s="42" t="n">
        <v>2032</v>
      </c>
      <c r="B142" s="13" t="s">
        <v>853</v>
      </c>
      <c r="C142" s="13" t="s">
        <v>847</v>
      </c>
      <c r="D142" s="16" t="s">
        <v>328</v>
      </c>
      <c r="E142" s="22" t="n">
        <v>16.3608</v>
      </c>
      <c r="F142" s="22" t="n">
        <v>14.436</v>
      </c>
      <c r="G142" s="22" t="n">
        <v>17.3232</v>
      </c>
      <c r="H142" s="22" t="n">
        <v>17.3232</v>
      </c>
      <c r="I142" s="22" t="n">
        <v>17.3232</v>
      </c>
      <c r="J142" s="22" t="n">
        <v>15.3984</v>
      </c>
      <c r="K142" s="22" t="n">
        <v>17.3232</v>
      </c>
      <c r="L142" s="22" t="n">
        <v>17.3232</v>
      </c>
      <c r="M142" s="22" t="n">
        <v>16.3608</v>
      </c>
      <c r="N142" s="22" t="n">
        <v>14.436</v>
      </c>
      <c r="O142" s="22" t="n">
        <v>13.4736</v>
      </c>
      <c r="P142" s="22" t="n">
        <v>15.3984</v>
      </c>
      <c r="Q142" s="22" t="n">
        <f aca="false">SUM(E142:P142)</f>
        <v>192.48</v>
      </c>
      <c r="W142" s="1"/>
      <c r="X142" s="1"/>
      <c r="Y142" s="1"/>
      <c r="Z142" s="1"/>
    </row>
    <row r="143" customFormat="false" ht="15.75" hidden="false" customHeight="true" outlineLevel="0" collapsed="false">
      <c r="A143" s="42" t="n">
        <v>2032</v>
      </c>
      <c r="B143" s="13" t="s">
        <v>854</v>
      </c>
      <c r="C143" s="13" t="s">
        <v>847</v>
      </c>
      <c r="D143" s="16" t="s">
        <v>329</v>
      </c>
      <c r="E143" s="22" t="n">
        <v>36.0264</v>
      </c>
      <c r="F143" s="22" t="n">
        <v>31.788</v>
      </c>
      <c r="G143" s="22" t="n">
        <v>38.1456</v>
      </c>
      <c r="H143" s="22" t="n">
        <v>38.1456</v>
      </c>
      <c r="I143" s="22" t="n">
        <v>38.1456</v>
      </c>
      <c r="J143" s="22" t="n">
        <v>33.9072</v>
      </c>
      <c r="K143" s="22" t="n">
        <v>38.1456</v>
      </c>
      <c r="L143" s="22" t="n">
        <v>38.1456</v>
      </c>
      <c r="M143" s="22" t="n">
        <v>36.0264</v>
      </c>
      <c r="N143" s="22" t="n">
        <v>31.788</v>
      </c>
      <c r="O143" s="22" t="n">
        <v>29.6688</v>
      </c>
      <c r="P143" s="22" t="n">
        <v>33.9072</v>
      </c>
      <c r="Q143" s="22" t="n">
        <f aca="false">SUM(E143:P143)</f>
        <v>423.84</v>
      </c>
      <c r="W143" s="1"/>
      <c r="X143" s="1"/>
      <c r="Y143" s="1"/>
      <c r="Z143" s="1"/>
    </row>
    <row r="144" customFormat="false" ht="15.75" hidden="false" customHeight="true" outlineLevel="0" collapsed="false">
      <c r="A144" s="42" t="n">
        <v>2032</v>
      </c>
      <c r="B144" s="13" t="s">
        <v>855</v>
      </c>
      <c r="C144" s="13" t="s">
        <v>847</v>
      </c>
      <c r="D144" s="16" t="s">
        <v>330</v>
      </c>
      <c r="E144" s="22" t="n">
        <v>7.9424</v>
      </c>
      <c r="F144" s="22" t="n">
        <v>7.008</v>
      </c>
      <c r="G144" s="22" t="n">
        <v>8.4096</v>
      </c>
      <c r="H144" s="22" t="n">
        <v>8.4096</v>
      </c>
      <c r="I144" s="22" t="n">
        <v>8.4096</v>
      </c>
      <c r="J144" s="22" t="n">
        <v>7.4752</v>
      </c>
      <c r="K144" s="22" t="n">
        <v>8.4096</v>
      </c>
      <c r="L144" s="22" t="n">
        <v>8.4096</v>
      </c>
      <c r="M144" s="22" t="n">
        <v>7.9424</v>
      </c>
      <c r="N144" s="22" t="n">
        <v>7.008</v>
      </c>
      <c r="O144" s="22" t="n">
        <v>6.5408</v>
      </c>
      <c r="P144" s="22" t="n">
        <v>7.4752</v>
      </c>
      <c r="Q144" s="22" t="n">
        <f aca="false">SUM(E144:P144)</f>
        <v>93.44</v>
      </c>
      <c r="W144" s="1"/>
      <c r="X144" s="1"/>
      <c r="Y144" s="1"/>
      <c r="Z144" s="1"/>
    </row>
    <row r="145" customFormat="false" ht="15.75" hidden="false" customHeight="true" outlineLevel="0" collapsed="false">
      <c r="A145" s="42" t="n">
        <v>2032</v>
      </c>
      <c r="B145" s="13" t="s">
        <v>856</v>
      </c>
      <c r="C145" s="13" t="s">
        <v>847</v>
      </c>
      <c r="D145" s="16" t="s">
        <v>331</v>
      </c>
      <c r="E145" s="22" t="n">
        <v>5.2326</v>
      </c>
      <c r="F145" s="22" t="n">
        <v>4.617</v>
      </c>
      <c r="G145" s="22" t="n">
        <v>5.5404</v>
      </c>
      <c r="H145" s="22" t="n">
        <v>5.5404</v>
      </c>
      <c r="I145" s="22" t="n">
        <v>5.5404</v>
      </c>
      <c r="J145" s="22" t="n">
        <v>4.9248</v>
      </c>
      <c r="K145" s="22" t="n">
        <v>5.5404</v>
      </c>
      <c r="L145" s="22" t="n">
        <v>5.5404</v>
      </c>
      <c r="M145" s="22" t="n">
        <v>5.2326</v>
      </c>
      <c r="N145" s="22" t="n">
        <v>4.617</v>
      </c>
      <c r="O145" s="22" t="n">
        <v>4.3092</v>
      </c>
      <c r="P145" s="22" t="n">
        <v>4.9248</v>
      </c>
      <c r="Q145" s="22" t="n">
        <f aca="false">SUM(E145:P145)</f>
        <v>61.56</v>
      </c>
      <c r="W145" s="1"/>
      <c r="X145" s="1"/>
      <c r="Y145" s="1"/>
      <c r="Z145" s="1"/>
    </row>
    <row r="146" customFormat="false" ht="15.75" hidden="false" customHeight="true" outlineLevel="0" collapsed="false">
      <c r="A146" s="42" t="n">
        <v>2033</v>
      </c>
      <c r="B146" s="13" t="s">
        <v>849</v>
      </c>
      <c r="C146" s="13" t="s">
        <v>846</v>
      </c>
      <c r="D146" s="16" t="s">
        <v>328</v>
      </c>
      <c r="E146" s="22" t="n">
        <v>28.74433701</v>
      </c>
      <c r="F146" s="22" t="n">
        <v>25.3626503</v>
      </c>
      <c r="G146" s="22" t="n">
        <v>30.43518036</v>
      </c>
      <c r="H146" s="22" t="n">
        <v>30.43518036</v>
      </c>
      <c r="I146" s="22" t="n">
        <v>30.43518036</v>
      </c>
      <c r="J146" s="22" t="n">
        <v>27.05349366</v>
      </c>
      <c r="K146" s="22" t="n">
        <v>30.43518036</v>
      </c>
      <c r="L146" s="22" t="n">
        <v>30.43518036</v>
      </c>
      <c r="M146" s="22" t="n">
        <v>28.74433701</v>
      </c>
      <c r="N146" s="22" t="n">
        <v>25.3626503</v>
      </c>
      <c r="O146" s="22" t="n">
        <v>23.67180695</v>
      </c>
      <c r="P146" s="22" t="n">
        <v>27.05349366</v>
      </c>
      <c r="Q146" s="22" t="n">
        <f aca="false">SUM(E146:P146)</f>
        <v>338.16867069</v>
      </c>
      <c r="W146" s="1"/>
      <c r="X146" s="1"/>
      <c r="Y146" s="1"/>
      <c r="Z146" s="1"/>
    </row>
    <row r="147" customFormat="false" ht="15.75" hidden="false" customHeight="true" outlineLevel="0" collapsed="false">
      <c r="A147" s="42" t="n">
        <v>2033</v>
      </c>
      <c r="B147" s="13" t="s">
        <v>850</v>
      </c>
      <c r="C147" s="13" t="s">
        <v>846</v>
      </c>
      <c r="D147" s="16" t="s">
        <v>329</v>
      </c>
      <c r="E147" s="22" t="n">
        <v>63.31710142</v>
      </c>
      <c r="F147" s="22" t="n">
        <v>55.86803067</v>
      </c>
      <c r="G147" s="22" t="n">
        <v>67.0416368</v>
      </c>
      <c r="H147" s="22" t="n">
        <v>67.0416368</v>
      </c>
      <c r="I147" s="22" t="n">
        <v>67.0416368</v>
      </c>
      <c r="J147" s="22" t="n">
        <v>59.59256605</v>
      </c>
      <c r="K147" s="22" t="n">
        <v>67.0416368</v>
      </c>
      <c r="L147" s="22" t="n">
        <v>67.0416368</v>
      </c>
      <c r="M147" s="22" t="n">
        <v>63.31710142</v>
      </c>
      <c r="N147" s="22" t="n">
        <v>55.86803067</v>
      </c>
      <c r="O147" s="22" t="n">
        <v>52.14349529</v>
      </c>
      <c r="P147" s="22" t="n">
        <v>59.59256605</v>
      </c>
      <c r="Q147" s="22" t="n">
        <f aca="false">SUM(E147:P147)</f>
        <v>744.90707557</v>
      </c>
      <c r="W147" s="1"/>
      <c r="X147" s="1"/>
      <c r="Y147" s="1"/>
      <c r="Z147" s="1"/>
    </row>
    <row r="148" customFormat="false" ht="15.75" hidden="false" customHeight="true" outlineLevel="0" collapsed="false">
      <c r="A148" s="42" t="n">
        <v>2033</v>
      </c>
      <c r="B148" s="13" t="s">
        <v>851</v>
      </c>
      <c r="C148" s="13" t="s">
        <v>846</v>
      </c>
      <c r="D148" s="16" t="s">
        <v>330</v>
      </c>
      <c r="E148" s="22" t="n">
        <v>13.79782577</v>
      </c>
      <c r="F148" s="22" t="n">
        <v>12.17455215</v>
      </c>
      <c r="G148" s="22" t="n">
        <v>14.60946257</v>
      </c>
      <c r="H148" s="22" t="n">
        <v>14.60946257</v>
      </c>
      <c r="I148" s="22" t="n">
        <v>14.60946257</v>
      </c>
      <c r="J148" s="22" t="n">
        <v>12.98618896</v>
      </c>
      <c r="K148" s="22" t="n">
        <v>14.60946257</v>
      </c>
      <c r="L148" s="22" t="n">
        <v>14.60946257</v>
      </c>
      <c r="M148" s="22" t="n">
        <v>13.79782577</v>
      </c>
      <c r="N148" s="22" t="n">
        <v>12.17455215</v>
      </c>
      <c r="O148" s="22" t="n">
        <v>11.36291534</v>
      </c>
      <c r="P148" s="22" t="n">
        <v>12.98618896</v>
      </c>
      <c r="Q148" s="22" t="n">
        <f aca="false">SUM(E148:P148)</f>
        <v>162.32736195</v>
      </c>
      <c r="W148" s="1"/>
      <c r="X148" s="1"/>
      <c r="Y148" s="1"/>
      <c r="Z148" s="1"/>
    </row>
    <row r="149" customFormat="false" ht="15.75" hidden="false" customHeight="true" outlineLevel="0" collapsed="false">
      <c r="A149" s="42" t="n">
        <v>2033</v>
      </c>
      <c r="B149" s="13" t="s">
        <v>852</v>
      </c>
      <c r="C149" s="13" t="s">
        <v>846</v>
      </c>
      <c r="D149" s="16" t="s">
        <v>331</v>
      </c>
      <c r="E149" s="22" t="n">
        <v>9.203083843</v>
      </c>
      <c r="F149" s="22" t="n">
        <v>8.120368097</v>
      </c>
      <c r="G149" s="22" t="n">
        <v>9.744441717</v>
      </c>
      <c r="H149" s="22" t="n">
        <v>9.744441717</v>
      </c>
      <c r="I149" s="22" t="n">
        <v>9.744441717</v>
      </c>
      <c r="J149" s="22" t="n">
        <v>8.66172597</v>
      </c>
      <c r="K149" s="22" t="n">
        <v>9.744441717</v>
      </c>
      <c r="L149" s="22" t="n">
        <v>9.744441717</v>
      </c>
      <c r="M149" s="22" t="n">
        <v>9.203083843</v>
      </c>
      <c r="N149" s="22" t="n">
        <v>8.120368097</v>
      </c>
      <c r="O149" s="22" t="n">
        <v>7.579010224</v>
      </c>
      <c r="P149" s="22" t="n">
        <v>8.66172597</v>
      </c>
      <c r="Q149" s="22" t="n">
        <f aca="false">SUM(E149:P149)</f>
        <v>108.271574629</v>
      </c>
      <c r="W149" s="1"/>
      <c r="X149" s="1"/>
      <c r="Y149" s="1"/>
      <c r="Z149" s="1"/>
    </row>
    <row r="150" customFormat="false" ht="15.75" hidden="false" customHeight="true" outlineLevel="0" collapsed="false">
      <c r="A150" s="42" t="n">
        <v>2033</v>
      </c>
      <c r="B150" s="13" t="s">
        <v>853</v>
      </c>
      <c r="C150" s="13" t="s">
        <v>847</v>
      </c>
      <c r="D150" s="16" t="s">
        <v>328</v>
      </c>
      <c r="E150" s="22" t="n">
        <v>21.1276</v>
      </c>
      <c r="F150" s="22" t="n">
        <v>18.642</v>
      </c>
      <c r="G150" s="22" t="n">
        <v>22.3704</v>
      </c>
      <c r="H150" s="22" t="n">
        <v>22.3704</v>
      </c>
      <c r="I150" s="22" t="n">
        <v>22.3704</v>
      </c>
      <c r="J150" s="22" t="n">
        <v>19.8848</v>
      </c>
      <c r="K150" s="22" t="n">
        <v>22.3704</v>
      </c>
      <c r="L150" s="22" t="n">
        <v>22.3704</v>
      </c>
      <c r="M150" s="22" t="n">
        <v>21.1276</v>
      </c>
      <c r="N150" s="22" t="n">
        <v>18.642</v>
      </c>
      <c r="O150" s="22" t="n">
        <v>17.3992</v>
      </c>
      <c r="P150" s="22" t="n">
        <v>19.8848</v>
      </c>
      <c r="Q150" s="22" t="n">
        <f aca="false">SUM(E150:P150)</f>
        <v>248.56</v>
      </c>
      <c r="W150" s="1"/>
      <c r="X150" s="1"/>
      <c r="Y150" s="1"/>
      <c r="Z150" s="1"/>
    </row>
    <row r="151" customFormat="false" ht="15.75" hidden="false" customHeight="true" outlineLevel="0" collapsed="false">
      <c r="A151" s="42" t="n">
        <v>2033</v>
      </c>
      <c r="B151" s="13" t="s">
        <v>854</v>
      </c>
      <c r="C151" s="13" t="s">
        <v>847</v>
      </c>
      <c r="D151" s="16" t="s">
        <v>329</v>
      </c>
      <c r="E151" s="22" t="n">
        <v>46.512</v>
      </c>
      <c r="F151" s="22" t="n">
        <v>41.04</v>
      </c>
      <c r="G151" s="22" t="n">
        <v>49.248</v>
      </c>
      <c r="H151" s="22" t="n">
        <v>49.248</v>
      </c>
      <c r="I151" s="22" t="n">
        <v>49.248</v>
      </c>
      <c r="J151" s="22" t="n">
        <v>43.776</v>
      </c>
      <c r="K151" s="22" t="n">
        <v>49.248</v>
      </c>
      <c r="L151" s="22" t="n">
        <v>49.248</v>
      </c>
      <c r="M151" s="22" t="n">
        <v>46.512</v>
      </c>
      <c r="N151" s="22" t="n">
        <v>41.04</v>
      </c>
      <c r="O151" s="22" t="n">
        <v>38.304</v>
      </c>
      <c r="P151" s="22" t="n">
        <v>43.776</v>
      </c>
      <c r="Q151" s="22" t="n">
        <f aca="false">SUM(E151:P151)</f>
        <v>547.2</v>
      </c>
      <c r="W151" s="1"/>
      <c r="X151" s="1"/>
      <c r="Y151" s="1"/>
      <c r="Z151" s="1"/>
    </row>
    <row r="152" customFormat="false" ht="15.75" hidden="false" customHeight="true" outlineLevel="0" collapsed="false">
      <c r="A152" s="42" t="n">
        <v>2033</v>
      </c>
      <c r="B152" s="13" t="s">
        <v>855</v>
      </c>
      <c r="C152" s="13" t="s">
        <v>847</v>
      </c>
      <c r="D152" s="16" t="s">
        <v>330</v>
      </c>
      <c r="E152" s="22" t="n">
        <v>10.1422</v>
      </c>
      <c r="F152" s="22" t="n">
        <v>8.949</v>
      </c>
      <c r="G152" s="22" t="n">
        <v>10.7388</v>
      </c>
      <c r="H152" s="22" t="n">
        <v>10.7388</v>
      </c>
      <c r="I152" s="22" t="n">
        <v>10.7388</v>
      </c>
      <c r="J152" s="22" t="n">
        <v>9.5456</v>
      </c>
      <c r="K152" s="22" t="n">
        <v>10.7388</v>
      </c>
      <c r="L152" s="22" t="n">
        <v>10.7388</v>
      </c>
      <c r="M152" s="22" t="n">
        <v>10.1422</v>
      </c>
      <c r="N152" s="22" t="n">
        <v>8.949</v>
      </c>
      <c r="O152" s="22" t="n">
        <v>8.3524</v>
      </c>
      <c r="P152" s="22" t="n">
        <v>9.5456</v>
      </c>
      <c r="Q152" s="22" t="n">
        <f aca="false">SUM(E152:P152)</f>
        <v>119.32</v>
      </c>
      <c r="W152" s="1"/>
      <c r="X152" s="1"/>
      <c r="Y152" s="1"/>
      <c r="Z152" s="1"/>
    </row>
    <row r="153" customFormat="false" ht="15.75" hidden="false" customHeight="true" outlineLevel="0" collapsed="false">
      <c r="A153" s="42" t="n">
        <v>2033</v>
      </c>
      <c r="B153" s="13" t="s">
        <v>856</v>
      </c>
      <c r="C153" s="13" t="s">
        <v>847</v>
      </c>
      <c r="D153" s="16" t="s">
        <v>331</v>
      </c>
      <c r="E153" s="22" t="n">
        <v>6.6504</v>
      </c>
      <c r="F153" s="22" t="n">
        <v>5.868</v>
      </c>
      <c r="G153" s="22" t="n">
        <v>7.0416</v>
      </c>
      <c r="H153" s="22" t="n">
        <v>7.0416</v>
      </c>
      <c r="I153" s="22" t="n">
        <v>7.0416</v>
      </c>
      <c r="J153" s="22" t="n">
        <v>6.2592</v>
      </c>
      <c r="K153" s="22" t="n">
        <v>7.0416</v>
      </c>
      <c r="L153" s="22" t="n">
        <v>7.0416</v>
      </c>
      <c r="M153" s="22" t="n">
        <v>6.6504</v>
      </c>
      <c r="N153" s="22" t="n">
        <v>5.868</v>
      </c>
      <c r="O153" s="22" t="n">
        <v>5.4768</v>
      </c>
      <c r="P153" s="22" t="n">
        <v>6.2592</v>
      </c>
      <c r="Q153" s="22" t="n">
        <f aca="false">SUM(E153:P153)</f>
        <v>78.24</v>
      </c>
      <c r="W153" s="1"/>
      <c r="X153" s="1"/>
      <c r="Y153" s="1"/>
      <c r="Z153" s="1"/>
    </row>
    <row r="154" customFormat="false" ht="15.75" hidden="false" customHeight="true" outlineLevel="0" collapsed="false">
      <c r="A154" s="42" t="n">
        <v>2034</v>
      </c>
      <c r="B154" s="13" t="s">
        <v>849</v>
      </c>
      <c r="C154" s="13" t="s">
        <v>846</v>
      </c>
      <c r="D154" s="16" t="s">
        <v>328</v>
      </c>
      <c r="E154" s="22" t="n">
        <v>33.57053032</v>
      </c>
      <c r="F154" s="22" t="n">
        <v>29.62105617</v>
      </c>
      <c r="G154" s="22" t="n">
        <v>35.5452674</v>
      </c>
      <c r="H154" s="22" t="n">
        <v>35.5452674</v>
      </c>
      <c r="I154" s="22" t="n">
        <v>35.5452674</v>
      </c>
      <c r="J154" s="22" t="n">
        <v>31.59579325</v>
      </c>
      <c r="K154" s="22" t="n">
        <v>35.5452674</v>
      </c>
      <c r="L154" s="22" t="n">
        <v>35.5452674</v>
      </c>
      <c r="M154" s="22" t="n">
        <v>33.57053032</v>
      </c>
      <c r="N154" s="22" t="n">
        <v>29.62105617</v>
      </c>
      <c r="O154" s="22" t="n">
        <v>27.64631909</v>
      </c>
      <c r="P154" s="22" t="n">
        <v>31.59579325</v>
      </c>
      <c r="Q154" s="22" t="n">
        <f aca="false">SUM(E154:P154)</f>
        <v>394.94741557</v>
      </c>
      <c r="W154" s="1"/>
      <c r="X154" s="1"/>
      <c r="Y154" s="1"/>
      <c r="Z154" s="1"/>
    </row>
    <row r="155" customFormat="false" ht="15.75" hidden="false" customHeight="true" outlineLevel="0" collapsed="false">
      <c r="A155" s="42" t="n">
        <v>2034</v>
      </c>
      <c r="B155" s="13" t="s">
        <v>850</v>
      </c>
      <c r="C155" s="13" t="s">
        <v>846</v>
      </c>
      <c r="D155" s="16" t="s">
        <v>329</v>
      </c>
      <c r="E155" s="22" t="n">
        <v>73.75452671</v>
      </c>
      <c r="F155" s="22" t="n">
        <v>65.07752357</v>
      </c>
      <c r="G155" s="22" t="n">
        <v>78.09302829</v>
      </c>
      <c r="H155" s="22" t="n">
        <v>78.09302829</v>
      </c>
      <c r="I155" s="22" t="n">
        <v>78.09302829</v>
      </c>
      <c r="J155" s="22" t="n">
        <v>69.41602514</v>
      </c>
      <c r="K155" s="22" t="n">
        <v>78.09302829</v>
      </c>
      <c r="L155" s="22" t="n">
        <v>78.09302829</v>
      </c>
      <c r="M155" s="22" t="n">
        <v>73.75452671</v>
      </c>
      <c r="N155" s="22" t="n">
        <v>65.07752357</v>
      </c>
      <c r="O155" s="22" t="n">
        <v>60.739022</v>
      </c>
      <c r="P155" s="22" t="n">
        <v>69.41602514</v>
      </c>
      <c r="Q155" s="22" t="n">
        <f aca="false">SUM(E155:P155)</f>
        <v>867.70031429</v>
      </c>
      <c r="W155" s="1"/>
      <c r="X155" s="1"/>
      <c r="Y155" s="1"/>
      <c r="Z155" s="1"/>
    </row>
    <row r="156" customFormat="false" ht="15.75" hidden="false" customHeight="true" outlineLevel="0" collapsed="false">
      <c r="A156" s="42" t="n">
        <v>2034</v>
      </c>
      <c r="B156" s="13" t="s">
        <v>851</v>
      </c>
      <c r="C156" s="13" t="s">
        <v>846</v>
      </c>
      <c r="D156" s="16" t="s">
        <v>330</v>
      </c>
      <c r="E156" s="22" t="n">
        <v>16.15859856</v>
      </c>
      <c r="F156" s="22" t="n">
        <v>14.25758696</v>
      </c>
      <c r="G156" s="22" t="n">
        <v>17.10910435</v>
      </c>
      <c r="H156" s="22" t="n">
        <v>17.10910435</v>
      </c>
      <c r="I156" s="22" t="n">
        <v>17.10910435</v>
      </c>
      <c r="J156" s="22" t="n">
        <v>15.20809276</v>
      </c>
      <c r="K156" s="22" t="n">
        <v>17.10910435</v>
      </c>
      <c r="L156" s="22" t="n">
        <v>17.10910435</v>
      </c>
      <c r="M156" s="22" t="n">
        <v>16.15859856</v>
      </c>
      <c r="N156" s="22" t="n">
        <v>14.25758696</v>
      </c>
      <c r="O156" s="22" t="n">
        <v>13.30708116</v>
      </c>
      <c r="P156" s="22" t="n">
        <v>15.20809276</v>
      </c>
      <c r="Q156" s="22" t="n">
        <f aca="false">SUM(E156:P156)</f>
        <v>190.10115947</v>
      </c>
      <c r="W156" s="1"/>
      <c r="X156" s="1"/>
      <c r="Y156" s="1"/>
      <c r="Z156" s="1"/>
    </row>
    <row r="157" customFormat="false" ht="15.75" hidden="false" customHeight="true" outlineLevel="0" collapsed="false">
      <c r="A157" s="42" t="n">
        <v>2034</v>
      </c>
      <c r="B157" s="13" t="s">
        <v>852</v>
      </c>
      <c r="C157" s="13" t="s">
        <v>846</v>
      </c>
      <c r="D157" s="16" t="s">
        <v>331</v>
      </c>
      <c r="E157" s="22" t="n">
        <v>10.7202657</v>
      </c>
      <c r="F157" s="22" t="n">
        <v>9.459057974</v>
      </c>
      <c r="G157" s="22" t="n">
        <v>11.35086957</v>
      </c>
      <c r="H157" s="22" t="n">
        <v>11.35086957</v>
      </c>
      <c r="I157" s="22" t="n">
        <v>11.35086957</v>
      </c>
      <c r="J157" s="22" t="n">
        <v>10.08966184</v>
      </c>
      <c r="K157" s="22" t="n">
        <v>11.35086957</v>
      </c>
      <c r="L157" s="22" t="n">
        <v>11.35086957</v>
      </c>
      <c r="M157" s="22" t="n">
        <v>10.7202657</v>
      </c>
      <c r="N157" s="22" t="n">
        <v>9.459057974</v>
      </c>
      <c r="O157" s="22" t="n">
        <v>8.828454109</v>
      </c>
      <c r="P157" s="22" t="n">
        <v>10.08966184</v>
      </c>
      <c r="Q157" s="22" t="n">
        <f aca="false">SUM(E157:P157)</f>
        <v>126.120772987</v>
      </c>
      <c r="W157" s="1"/>
      <c r="X157" s="1"/>
      <c r="Y157" s="1"/>
      <c r="Z157" s="1"/>
    </row>
    <row r="158" customFormat="false" ht="15.75" hidden="false" customHeight="true" outlineLevel="0" collapsed="false">
      <c r="A158" s="42" t="n">
        <v>2034</v>
      </c>
      <c r="B158" s="13" t="s">
        <v>853</v>
      </c>
      <c r="C158" s="13" t="s">
        <v>847</v>
      </c>
      <c r="D158" s="16" t="s">
        <v>328</v>
      </c>
      <c r="E158" s="22" t="n">
        <v>23.5994</v>
      </c>
      <c r="F158" s="22" t="n">
        <v>20.823</v>
      </c>
      <c r="G158" s="22" t="n">
        <v>24.9876</v>
      </c>
      <c r="H158" s="22" t="n">
        <v>24.9876</v>
      </c>
      <c r="I158" s="22" t="n">
        <v>24.9876</v>
      </c>
      <c r="J158" s="22" t="n">
        <v>22.2112</v>
      </c>
      <c r="K158" s="22" t="n">
        <v>24.9876</v>
      </c>
      <c r="L158" s="22" t="n">
        <v>24.9876</v>
      </c>
      <c r="M158" s="22" t="n">
        <v>23.5994</v>
      </c>
      <c r="N158" s="22" t="n">
        <v>20.823</v>
      </c>
      <c r="O158" s="22" t="n">
        <v>19.4348</v>
      </c>
      <c r="P158" s="22" t="n">
        <v>22.2112</v>
      </c>
      <c r="Q158" s="22" t="n">
        <f aca="false">SUM(E158:P158)</f>
        <v>277.64</v>
      </c>
      <c r="W158" s="1"/>
      <c r="X158" s="1"/>
      <c r="Y158" s="1"/>
      <c r="Z158" s="1"/>
    </row>
    <row r="159" customFormat="false" ht="15.75" hidden="false" customHeight="true" outlineLevel="0" collapsed="false">
      <c r="A159" s="42" t="n">
        <v>2034</v>
      </c>
      <c r="B159" s="13" t="s">
        <v>854</v>
      </c>
      <c r="C159" s="13" t="s">
        <v>847</v>
      </c>
      <c r="D159" s="16" t="s">
        <v>329</v>
      </c>
      <c r="E159" s="22" t="n">
        <v>52.0166</v>
      </c>
      <c r="F159" s="22" t="n">
        <v>45.897</v>
      </c>
      <c r="G159" s="22" t="n">
        <v>55.0764</v>
      </c>
      <c r="H159" s="22" t="n">
        <v>55.0764</v>
      </c>
      <c r="I159" s="22" t="n">
        <v>55.0764</v>
      </c>
      <c r="J159" s="22" t="n">
        <v>48.9568</v>
      </c>
      <c r="K159" s="22" t="n">
        <v>55.0764</v>
      </c>
      <c r="L159" s="22" t="n">
        <v>55.0764</v>
      </c>
      <c r="M159" s="22" t="n">
        <v>52.0166</v>
      </c>
      <c r="N159" s="22" t="n">
        <v>45.897</v>
      </c>
      <c r="O159" s="22" t="n">
        <v>42.8372</v>
      </c>
      <c r="P159" s="22" t="n">
        <v>48.9568</v>
      </c>
      <c r="Q159" s="22" t="n">
        <f aca="false">SUM(E159:P159)</f>
        <v>611.96</v>
      </c>
      <c r="W159" s="1"/>
      <c r="X159" s="1"/>
      <c r="Y159" s="1"/>
      <c r="Z159" s="1"/>
    </row>
    <row r="160" customFormat="false" ht="15.75" hidden="false" customHeight="true" outlineLevel="0" collapsed="false">
      <c r="A160" s="42" t="n">
        <v>2034</v>
      </c>
      <c r="B160" s="13" t="s">
        <v>855</v>
      </c>
      <c r="C160" s="13" t="s">
        <v>847</v>
      </c>
      <c r="D160" s="16" t="s">
        <v>330</v>
      </c>
      <c r="E160" s="22" t="n">
        <v>11.3662</v>
      </c>
      <c r="F160" s="22" t="n">
        <v>10.029</v>
      </c>
      <c r="G160" s="22" t="n">
        <v>12.0348</v>
      </c>
      <c r="H160" s="22" t="n">
        <v>12.0348</v>
      </c>
      <c r="I160" s="22" t="n">
        <v>12.0348</v>
      </c>
      <c r="J160" s="22" t="n">
        <v>10.6976</v>
      </c>
      <c r="K160" s="22" t="n">
        <v>12.0348</v>
      </c>
      <c r="L160" s="22" t="n">
        <v>12.0348</v>
      </c>
      <c r="M160" s="22" t="n">
        <v>11.3662</v>
      </c>
      <c r="N160" s="22" t="n">
        <v>10.029</v>
      </c>
      <c r="O160" s="22" t="n">
        <v>9.3604</v>
      </c>
      <c r="P160" s="22" t="n">
        <v>10.6976</v>
      </c>
      <c r="Q160" s="22" t="n">
        <f aca="false">SUM(E160:P160)</f>
        <v>133.72</v>
      </c>
      <c r="W160" s="1"/>
      <c r="X160" s="1"/>
      <c r="Y160" s="1"/>
      <c r="Z160" s="1"/>
    </row>
    <row r="161" customFormat="false" ht="15.75" hidden="false" customHeight="true" outlineLevel="0" collapsed="false">
      <c r="A161" s="42" t="n">
        <v>2034</v>
      </c>
      <c r="B161" s="13" t="s">
        <v>856</v>
      </c>
      <c r="C161" s="13" t="s">
        <v>847</v>
      </c>
      <c r="D161" s="16" t="s">
        <v>331</v>
      </c>
      <c r="E161" s="22" t="n">
        <v>7.4664</v>
      </c>
      <c r="F161" s="22" t="n">
        <v>6.588</v>
      </c>
      <c r="G161" s="22" t="n">
        <v>7.9056</v>
      </c>
      <c r="H161" s="22" t="n">
        <v>7.9056</v>
      </c>
      <c r="I161" s="22" t="n">
        <v>7.9056</v>
      </c>
      <c r="J161" s="22" t="n">
        <v>7.0272</v>
      </c>
      <c r="K161" s="22" t="n">
        <v>7.9056</v>
      </c>
      <c r="L161" s="22" t="n">
        <v>7.9056</v>
      </c>
      <c r="M161" s="22" t="n">
        <v>7.4664</v>
      </c>
      <c r="N161" s="22" t="n">
        <v>6.588</v>
      </c>
      <c r="O161" s="22" t="n">
        <v>6.1488</v>
      </c>
      <c r="P161" s="22" t="n">
        <v>7.0272</v>
      </c>
      <c r="Q161" s="22" t="n">
        <f aca="false">SUM(E161:P161)</f>
        <v>87.84</v>
      </c>
      <c r="W161" s="1"/>
      <c r="X161" s="1"/>
      <c r="Y161" s="1"/>
      <c r="Z161" s="1"/>
    </row>
    <row r="162" customFormat="false" ht="15.75" hidden="false" customHeight="true" outlineLevel="0" collapsed="false">
      <c r="A162" s="42" t="n">
        <v>2035</v>
      </c>
      <c r="B162" s="13" t="s">
        <v>849</v>
      </c>
      <c r="C162" s="13" t="s">
        <v>846</v>
      </c>
      <c r="D162" s="16" t="s">
        <v>328</v>
      </c>
      <c r="E162" s="22" t="n">
        <v>38.56199533</v>
      </c>
      <c r="F162" s="22" t="n">
        <v>34.02528999</v>
      </c>
      <c r="G162" s="22" t="n">
        <v>40.83034799</v>
      </c>
      <c r="H162" s="22" t="n">
        <v>40.83034799</v>
      </c>
      <c r="I162" s="22" t="n">
        <v>40.83034799</v>
      </c>
      <c r="J162" s="22" t="n">
        <v>36.29364266</v>
      </c>
      <c r="K162" s="22" t="n">
        <v>40.83034799</v>
      </c>
      <c r="L162" s="22" t="n">
        <v>40.83034799</v>
      </c>
      <c r="M162" s="22" t="n">
        <v>38.56199533</v>
      </c>
      <c r="N162" s="22" t="n">
        <v>34.02528999</v>
      </c>
      <c r="O162" s="22" t="n">
        <v>31.75693733</v>
      </c>
      <c r="P162" s="22" t="n">
        <v>36.29364266</v>
      </c>
      <c r="Q162" s="22" t="n">
        <f aca="false">SUM(E162:P162)</f>
        <v>453.67053324</v>
      </c>
      <c r="W162" s="1"/>
      <c r="X162" s="1"/>
      <c r="Y162" s="1"/>
      <c r="Z162" s="1"/>
    </row>
    <row r="163" customFormat="false" ht="15.75" hidden="false" customHeight="true" outlineLevel="0" collapsed="false">
      <c r="A163" s="42" t="n">
        <v>2035</v>
      </c>
      <c r="B163" s="13" t="s">
        <v>850</v>
      </c>
      <c r="C163" s="13" t="s">
        <v>846</v>
      </c>
      <c r="D163" s="16" t="s">
        <v>329</v>
      </c>
      <c r="E163" s="22" t="n">
        <v>84.82958972</v>
      </c>
      <c r="F163" s="22" t="n">
        <v>74.84963799</v>
      </c>
      <c r="G163" s="22" t="n">
        <v>89.81956558</v>
      </c>
      <c r="H163" s="22" t="n">
        <v>89.81956558</v>
      </c>
      <c r="I163" s="22" t="n">
        <v>89.81956558</v>
      </c>
      <c r="J163" s="22" t="n">
        <v>79.83961385</v>
      </c>
      <c r="K163" s="22" t="n">
        <v>89.81956558</v>
      </c>
      <c r="L163" s="22" t="n">
        <v>89.81956558</v>
      </c>
      <c r="M163" s="22" t="n">
        <v>84.82958972</v>
      </c>
      <c r="N163" s="22" t="n">
        <v>74.84963799</v>
      </c>
      <c r="O163" s="22" t="n">
        <v>69.85966212</v>
      </c>
      <c r="P163" s="22" t="n">
        <v>79.83961385</v>
      </c>
      <c r="Q163" s="22" t="n">
        <f aca="false">SUM(E163:P163)</f>
        <v>997.99517314</v>
      </c>
      <c r="W163" s="1"/>
      <c r="X163" s="1"/>
      <c r="Y163" s="1"/>
      <c r="Z163" s="1"/>
    </row>
    <row r="164" customFormat="false" ht="15.75" hidden="false" customHeight="true" outlineLevel="0" collapsed="false">
      <c r="A164" s="42" t="n">
        <v>2035</v>
      </c>
      <c r="B164" s="13" t="s">
        <v>851</v>
      </c>
      <c r="C164" s="13" t="s">
        <v>846</v>
      </c>
      <c r="D164" s="16" t="s">
        <v>330</v>
      </c>
      <c r="E164" s="22" t="n">
        <v>18.51383776</v>
      </c>
      <c r="F164" s="22" t="n">
        <v>16.3357392</v>
      </c>
      <c r="G164" s="22" t="n">
        <v>19.60288704</v>
      </c>
      <c r="H164" s="22" t="n">
        <v>19.60288704</v>
      </c>
      <c r="I164" s="22" t="n">
        <v>19.60288704</v>
      </c>
      <c r="J164" s="22" t="n">
        <v>17.42478848</v>
      </c>
      <c r="K164" s="22" t="n">
        <v>19.60288704</v>
      </c>
      <c r="L164" s="22" t="n">
        <v>19.60288704</v>
      </c>
      <c r="M164" s="22" t="n">
        <v>18.51383776</v>
      </c>
      <c r="N164" s="22" t="n">
        <v>16.3357392</v>
      </c>
      <c r="O164" s="22" t="n">
        <v>15.24668992</v>
      </c>
      <c r="P164" s="22" t="n">
        <v>17.42478848</v>
      </c>
      <c r="Q164" s="22" t="n">
        <f aca="false">SUM(E164:P164)</f>
        <v>217.809856</v>
      </c>
      <c r="W164" s="1"/>
      <c r="X164" s="1"/>
      <c r="Y164" s="1"/>
      <c r="Z164" s="1"/>
    </row>
    <row r="165" customFormat="false" ht="15.75" hidden="false" customHeight="true" outlineLevel="0" collapsed="false">
      <c r="A165" s="42" t="n">
        <v>2035</v>
      </c>
      <c r="B165" s="13" t="s">
        <v>852</v>
      </c>
      <c r="C165" s="13" t="s">
        <v>846</v>
      </c>
      <c r="D165" s="16" t="s">
        <v>331</v>
      </c>
      <c r="E165" s="22" t="n">
        <v>12.3425585</v>
      </c>
      <c r="F165" s="22" t="n">
        <v>10.8904928</v>
      </c>
      <c r="G165" s="22" t="n">
        <v>13.06859136</v>
      </c>
      <c r="H165" s="22" t="n">
        <v>13.06859136</v>
      </c>
      <c r="I165" s="22" t="n">
        <v>13.06859136</v>
      </c>
      <c r="J165" s="22" t="n">
        <v>11.61652565</v>
      </c>
      <c r="K165" s="22" t="n">
        <v>13.06859136</v>
      </c>
      <c r="L165" s="22" t="n">
        <v>13.06859136</v>
      </c>
      <c r="M165" s="22" t="n">
        <v>12.3425585</v>
      </c>
      <c r="N165" s="22" t="n">
        <v>10.8904928</v>
      </c>
      <c r="O165" s="22" t="n">
        <v>10.16445994</v>
      </c>
      <c r="P165" s="22" t="n">
        <v>11.61652565</v>
      </c>
      <c r="Q165" s="22" t="n">
        <f aca="false">SUM(E165:P165)</f>
        <v>145.20657064</v>
      </c>
      <c r="W165" s="1"/>
      <c r="X165" s="1"/>
      <c r="Y165" s="1"/>
      <c r="Z165" s="1"/>
    </row>
    <row r="166" customFormat="false" ht="15.75" hidden="false" customHeight="true" outlineLevel="0" collapsed="false">
      <c r="A166" s="42" t="n">
        <v>2035</v>
      </c>
      <c r="B166" s="13" t="s">
        <v>853</v>
      </c>
      <c r="C166" s="13" t="s">
        <v>847</v>
      </c>
      <c r="D166" s="16" t="s">
        <v>328</v>
      </c>
      <c r="E166" s="22" t="n">
        <v>27.5094</v>
      </c>
      <c r="F166" s="22" t="n">
        <v>24.273</v>
      </c>
      <c r="G166" s="22" t="n">
        <v>29.1276</v>
      </c>
      <c r="H166" s="22" t="n">
        <v>29.1276</v>
      </c>
      <c r="I166" s="22" t="n">
        <v>29.1276</v>
      </c>
      <c r="J166" s="22" t="n">
        <v>25.8912</v>
      </c>
      <c r="K166" s="22" t="n">
        <v>29.1276</v>
      </c>
      <c r="L166" s="22" t="n">
        <v>29.1276</v>
      </c>
      <c r="M166" s="22" t="n">
        <v>27.5094</v>
      </c>
      <c r="N166" s="22" t="n">
        <v>24.273</v>
      </c>
      <c r="O166" s="22" t="n">
        <v>22.6548</v>
      </c>
      <c r="P166" s="22" t="n">
        <v>25.8912</v>
      </c>
      <c r="Q166" s="22" t="n">
        <f aca="false">SUM(E166:P166)</f>
        <v>323.64</v>
      </c>
      <c r="W166" s="1"/>
      <c r="X166" s="1"/>
      <c r="Y166" s="1"/>
      <c r="Z166" s="1"/>
    </row>
    <row r="167" customFormat="false" ht="15.75" hidden="false" customHeight="true" outlineLevel="0" collapsed="false">
      <c r="A167" s="42" t="n">
        <v>2035</v>
      </c>
      <c r="B167" s="13" t="s">
        <v>854</v>
      </c>
      <c r="C167" s="13" t="s">
        <v>847</v>
      </c>
      <c r="D167" s="16" t="s">
        <v>329</v>
      </c>
      <c r="E167" s="22" t="n">
        <v>60.3874</v>
      </c>
      <c r="F167" s="22" t="n">
        <v>53.283</v>
      </c>
      <c r="G167" s="22" t="n">
        <v>63.9396</v>
      </c>
      <c r="H167" s="22" t="n">
        <v>63.9396</v>
      </c>
      <c r="I167" s="22" t="n">
        <v>63.9396</v>
      </c>
      <c r="J167" s="22" t="n">
        <v>56.8352</v>
      </c>
      <c r="K167" s="22" t="n">
        <v>63.9396</v>
      </c>
      <c r="L167" s="22" t="n">
        <v>63.9396</v>
      </c>
      <c r="M167" s="22" t="n">
        <v>60.3874</v>
      </c>
      <c r="N167" s="22" t="n">
        <v>53.283</v>
      </c>
      <c r="O167" s="22" t="n">
        <v>49.7308</v>
      </c>
      <c r="P167" s="22" t="n">
        <v>56.8352</v>
      </c>
      <c r="Q167" s="22" t="n">
        <f aca="false">SUM(E167:P167)</f>
        <v>710.44</v>
      </c>
      <c r="W167" s="1"/>
      <c r="X167" s="1"/>
      <c r="Y167" s="1"/>
      <c r="Z167" s="1"/>
    </row>
    <row r="168" customFormat="false" ht="15.75" hidden="false" customHeight="true" outlineLevel="0" collapsed="false">
      <c r="A168" s="42" t="n">
        <v>2035</v>
      </c>
      <c r="B168" s="13" t="s">
        <v>855</v>
      </c>
      <c r="C168" s="13" t="s">
        <v>847</v>
      </c>
      <c r="D168" s="16" t="s">
        <v>330</v>
      </c>
      <c r="E168" s="22" t="n">
        <v>13.2872</v>
      </c>
      <c r="F168" s="22" t="n">
        <v>11.724</v>
      </c>
      <c r="G168" s="22" t="n">
        <v>14.0688</v>
      </c>
      <c r="H168" s="22" t="n">
        <v>14.0688</v>
      </c>
      <c r="I168" s="22" t="n">
        <v>14.0688</v>
      </c>
      <c r="J168" s="22" t="n">
        <v>12.5056</v>
      </c>
      <c r="K168" s="22" t="n">
        <v>14.0688</v>
      </c>
      <c r="L168" s="22" t="n">
        <v>14.0688</v>
      </c>
      <c r="M168" s="22" t="n">
        <v>13.2872</v>
      </c>
      <c r="N168" s="22" t="n">
        <v>11.724</v>
      </c>
      <c r="O168" s="22" t="n">
        <v>10.9424</v>
      </c>
      <c r="P168" s="22" t="n">
        <v>12.5056</v>
      </c>
      <c r="Q168" s="22" t="n">
        <f aca="false">SUM(E168:P168)</f>
        <v>156.32</v>
      </c>
      <c r="W168" s="1"/>
      <c r="X168" s="1"/>
      <c r="Y168" s="1"/>
      <c r="Z168" s="1"/>
    </row>
    <row r="169" customFormat="false" ht="15.75" hidden="false" customHeight="true" outlineLevel="0" collapsed="false">
      <c r="A169" s="42" t="n">
        <v>2035</v>
      </c>
      <c r="B169" s="13" t="s">
        <v>856</v>
      </c>
      <c r="C169" s="13" t="s">
        <v>847</v>
      </c>
      <c r="D169" s="16" t="s">
        <v>331</v>
      </c>
      <c r="E169" s="22" t="n">
        <v>8.6904</v>
      </c>
      <c r="F169" s="22" t="n">
        <v>7.668</v>
      </c>
      <c r="G169" s="22" t="n">
        <v>9.2016</v>
      </c>
      <c r="H169" s="22" t="n">
        <v>9.2016</v>
      </c>
      <c r="I169" s="22" t="n">
        <v>9.2016</v>
      </c>
      <c r="J169" s="22" t="n">
        <v>8.1792</v>
      </c>
      <c r="K169" s="22" t="n">
        <v>9.2016</v>
      </c>
      <c r="L169" s="22" t="n">
        <v>9.2016</v>
      </c>
      <c r="M169" s="22" t="n">
        <v>8.6904</v>
      </c>
      <c r="N169" s="22" t="n">
        <v>7.668</v>
      </c>
      <c r="O169" s="22" t="n">
        <v>7.1568</v>
      </c>
      <c r="P169" s="22" t="n">
        <v>8.1792</v>
      </c>
      <c r="Q169" s="22" t="n">
        <f aca="false">SUM(E169:P169)</f>
        <v>102.24</v>
      </c>
      <c r="W169" s="1"/>
      <c r="X169" s="1"/>
      <c r="Y169" s="1"/>
      <c r="Z169" s="1"/>
    </row>
    <row r="170" customFormat="false" ht="15.75" hidden="false" customHeight="true" outlineLevel="0" collapsed="false">
      <c r="W170" s="1"/>
      <c r="X170" s="1"/>
      <c r="Y170" s="1"/>
      <c r="Z170" s="1"/>
    </row>
    <row r="171" customFormat="false" ht="15.75" hidden="false" customHeight="true" outlineLevel="0" collapsed="false">
      <c r="A171" s="9" t="s">
        <v>857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W171" s="1"/>
      <c r="X171" s="1"/>
      <c r="Y171" s="1"/>
      <c r="Z171" s="1"/>
    </row>
    <row r="172" customFormat="false" ht="15.75" hidden="false" customHeight="true" outlineLevel="0" collapsed="false">
      <c r="A172" s="10"/>
      <c r="B172" s="10"/>
      <c r="C172" s="10"/>
      <c r="D172" s="10" t="s">
        <v>356</v>
      </c>
      <c r="E172" s="10" t="s">
        <v>341</v>
      </c>
      <c r="F172" s="10" t="s">
        <v>342</v>
      </c>
      <c r="G172" s="10" t="s">
        <v>343</v>
      </c>
      <c r="H172" s="10" t="s">
        <v>344</v>
      </c>
      <c r="I172" s="10" t="s">
        <v>345</v>
      </c>
      <c r="J172" s="10" t="s">
        <v>346</v>
      </c>
      <c r="K172" s="10" t="s">
        <v>347</v>
      </c>
      <c r="L172" s="10" t="s">
        <v>348</v>
      </c>
      <c r="M172" s="10" t="s">
        <v>349</v>
      </c>
      <c r="N172" s="10" t="s">
        <v>350</v>
      </c>
      <c r="O172" s="10" t="s">
        <v>351</v>
      </c>
      <c r="P172" s="10" t="s">
        <v>352</v>
      </c>
      <c r="Q172" s="10" t="s">
        <v>363</v>
      </c>
      <c r="W172" s="1"/>
      <c r="X172" s="1"/>
      <c r="Y172" s="1"/>
      <c r="Z172" s="1"/>
    </row>
    <row r="173" customFormat="false" ht="15.75" hidden="false" customHeight="true" outlineLevel="0" collapsed="false">
      <c r="A173" s="5"/>
      <c r="B173" s="5"/>
      <c r="C173" s="5"/>
      <c r="D173" s="16" t="s">
        <v>233</v>
      </c>
      <c r="E173" s="52" t="n">
        <v>0.09</v>
      </c>
      <c r="F173" s="52" t="n">
        <v>0.09</v>
      </c>
      <c r="G173" s="52" t="n">
        <v>0.08</v>
      </c>
      <c r="H173" s="52" t="n">
        <v>0.075</v>
      </c>
      <c r="I173" s="52" t="n">
        <v>0.07</v>
      </c>
      <c r="J173" s="52" t="n">
        <v>0.07</v>
      </c>
      <c r="K173" s="52" t="n">
        <v>0.075</v>
      </c>
      <c r="L173" s="52" t="n">
        <v>0.09</v>
      </c>
      <c r="M173" s="52" t="n">
        <v>0.09</v>
      </c>
      <c r="N173" s="52" t="n">
        <v>0.09</v>
      </c>
      <c r="O173" s="52" t="n">
        <v>0.09</v>
      </c>
      <c r="P173" s="52" t="n">
        <v>0.09</v>
      </c>
      <c r="Q173" s="18" t="n">
        <f aca="false">SUM(E173:P173)</f>
        <v>1</v>
      </c>
      <c r="W173" s="1"/>
      <c r="X173" s="1"/>
      <c r="Y173" s="1"/>
      <c r="Z173" s="1"/>
    </row>
    <row r="174" customFormat="false" ht="15.75" hidden="false" customHeight="true" outlineLevel="0" collapsed="false">
      <c r="A174" s="5"/>
      <c r="B174" s="5"/>
      <c r="C174" s="5"/>
      <c r="D174" s="16" t="s">
        <v>234</v>
      </c>
      <c r="E174" s="52" t="n">
        <v>0.09</v>
      </c>
      <c r="F174" s="52" t="n">
        <v>0.08</v>
      </c>
      <c r="G174" s="52" t="n">
        <v>0.085</v>
      </c>
      <c r="H174" s="52" t="n">
        <v>0.085</v>
      </c>
      <c r="I174" s="52" t="n">
        <v>0.08</v>
      </c>
      <c r="J174" s="52" t="n">
        <v>0.075</v>
      </c>
      <c r="K174" s="52" t="n">
        <v>0.08</v>
      </c>
      <c r="L174" s="52" t="n">
        <v>0.08</v>
      </c>
      <c r="M174" s="52" t="n">
        <v>0.08</v>
      </c>
      <c r="N174" s="52" t="n">
        <v>0.085</v>
      </c>
      <c r="O174" s="52" t="n">
        <v>0.09</v>
      </c>
      <c r="P174" s="52" t="n">
        <v>0.09</v>
      </c>
      <c r="Q174" s="18" t="n">
        <f aca="false">SUM(E174:P174)</f>
        <v>1</v>
      </c>
      <c r="W174" s="1"/>
      <c r="X174" s="1"/>
      <c r="Y174" s="1"/>
      <c r="Z174" s="1"/>
    </row>
    <row r="175" customFormat="false" ht="15.75" hidden="false" customHeight="true" outlineLevel="0" collapsed="false">
      <c r="A175" s="5"/>
      <c r="B175" s="5"/>
      <c r="C175" s="5"/>
      <c r="D175" s="16" t="s">
        <v>235</v>
      </c>
      <c r="E175" s="52" t="n">
        <v>0.09</v>
      </c>
      <c r="F175" s="52" t="n">
        <v>0.08</v>
      </c>
      <c r="G175" s="52" t="n">
        <v>0.085</v>
      </c>
      <c r="H175" s="52" t="n">
        <v>0.085</v>
      </c>
      <c r="I175" s="52" t="n">
        <v>0.08</v>
      </c>
      <c r="J175" s="52" t="n">
        <v>0.075</v>
      </c>
      <c r="K175" s="52" t="n">
        <v>0.08</v>
      </c>
      <c r="L175" s="52" t="n">
        <v>0.08</v>
      </c>
      <c r="M175" s="52" t="n">
        <v>0.08</v>
      </c>
      <c r="N175" s="52" t="n">
        <v>0.085</v>
      </c>
      <c r="O175" s="52" t="n">
        <v>0.09</v>
      </c>
      <c r="P175" s="52" t="n">
        <v>0.09</v>
      </c>
      <c r="Q175" s="18" t="n">
        <f aca="false">SUM(E175:P175)</f>
        <v>1</v>
      </c>
      <c r="W175" s="1"/>
      <c r="X175" s="1"/>
      <c r="Y175" s="1"/>
      <c r="Z175" s="1"/>
    </row>
    <row r="176" customFormat="false" ht="15.75" hidden="false" customHeight="true" outlineLevel="0" collapsed="false">
      <c r="A176" s="5"/>
      <c r="B176" s="5"/>
      <c r="C176" s="5"/>
      <c r="D176" s="16" t="s">
        <v>236</v>
      </c>
      <c r="E176" s="52" t="n">
        <v>0.09</v>
      </c>
      <c r="F176" s="52" t="n">
        <v>0.08</v>
      </c>
      <c r="G176" s="52" t="n">
        <v>0.085</v>
      </c>
      <c r="H176" s="52" t="n">
        <v>0.085</v>
      </c>
      <c r="I176" s="52" t="n">
        <v>0.08</v>
      </c>
      <c r="J176" s="52" t="n">
        <v>0.075</v>
      </c>
      <c r="K176" s="52" t="n">
        <v>0.08</v>
      </c>
      <c r="L176" s="52" t="n">
        <v>0.08</v>
      </c>
      <c r="M176" s="52" t="n">
        <v>0.08</v>
      </c>
      <c r="N176" s="52" t="n">
        <v>0.085</v>
      </c>
      <c r="O176" s="52" t="n">
        <v>0.09</v>
      </c>
      <c r="P176" s="52" t="n">
        <v>0.09</v>
      </c>
      <c r="Q176" s="18" t="n">
        <f aca="false">SUM(E176:P176)</f>
        <v>1</v>
      </c>
      <c r="W176" s="1"/>
      <c r="X176" s="1"/>
      <c r="Y176" s="1"/>
      <c r="Z176" s="1"/>
    </row>
    <row r="177" customFormat="false" ht="15.75" hidden="false" customHeight="true" outlineLevel="0" collapsed="false">
      <c r="W177" s="1"/>
      <c r="X177" s="1"/>
      <c r="Y177" s="1"/>
      <c r="Z177" s="1"/>
    </row>
    <row r="178" customFormat="false" ht="15.75" hidden="false" customHeight="true" outlineLevel="0" collapsed="false">
      <c r="A178" s="9" t="s">
        <v>858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W178" s="1"/>
      <c r="X178" s="1"/>
      <c r="Y178" s="1"/>
      <c r="Z178" s="1"/>
    </row>
    <row r="179" customFormat="false" ht="15.75" hidden="false" customHeight="true" outlineLevel="0" collapsed="false">
      <c r="A179" s="10"/>
      <c r="B179" s="10"/>
      <c r="C179" s="10"/>
      <c r="D179" s="10" t="s">
        <v>356</v>
      </c>
      <c r="E179" s="10" t="s">
        <v>341</v>
      </c>
      <c r="F179" s="10" t="s">
        <v>342</v>
      </c>
      <c r="G179" s="10" t="s">
        <v>343</v>
      </c>
      <c r="H179" s="10" t="s">
        <v>344</v>
      </c>
      <c r="I179" s="10" t="s">
        <v>345</v>
      </c>
      <c r="J179" s="10" t="s">
        <v>346</v>
      </c>
      <c r="K179" s="10" t="s">
        <v>347</v>
      </c>
      <c r="L179" s="10" t="s">
        <v>348</v>
      </c>
      <c r="M179" s="10" t="s">
        <v>349</v>
      </c>
      <c r="N179" s="10" t="s">
        <v>350</v>
      </c>
      <c r="O179" s="10" t="s">
        <v>351</v>
      </c>
      <c r="P179" s="10" t="s">
        <v>352</v>
      </c>
      <c r="Q179" s="10" t="s">
        <v>363</v>
      </c>
      <c r="W179" s="1"/>
      <c r="X179" s="1"/>
      <c r="Y179" s="1"/>
      <c r="Z179" s="1"/>
    </row>
    <row r="180" customFormat="false" ht="15.75" hidden="false" customHeight="true" outlineLevel="0" collapsed="false">
      <c r="A180" s="5"/>
      <c r="B180" s="5"/>
      <c r="C180" s="5"/>
      <c r="D180" s="16" t="s">
        <v>328</v>
      </c>
      <c r="E180" s="52" t="n">
        <v>0.085</v>
      </c>
      <c r="F180" s="52" t="n">
        <v>0.075</v>
      </c>
      <c r="G180" s="52" t="n">
        <v>0.09</v>
      </c>
      <c r="H180" s="52" t="n">
        <v>0.09</v>
      </c>
      <c r="I180" s="52" t="n">
        <v>0.09</v>
      </c>
      <c r="J180" s="52" t="n">
        <v>0.08</v>
      </c>
      <c r="K180" s="52" t="n">
        <v>0.09</v>
      </c>
      <c r="L180" s="52" t="n">
        <v>0.09</v>
      </c>
      <c r="M180" s="52" t="n">
        <v>0.085</v>
      </c>
      <c r="N180" s="52" t="n">
        <v>0.075</v>
      </c>
      <c r="O180" s="52" t="n">
        <v>0.07</v>
      </c>
      <c r="P180" s="52" t="n">
        <v>0.08</v>
      </c>
      <c r="Q180" s="18" t="n">
        <f aca="false">SUM(E180:P180)</f>
        <v>1</v>
      </c>
      <c r="W180" s="1"/>
      <c r="X180" s="1"/>
      <c r="Y180" s="1"/>
      <c r="Z180" s="1"/>
    </row>
    <row r="181" customFormat="false" ht="15.75" hidden="false" customHeight="true" outlineLevel="0" collapsed="false">
      <c r="A181" s="5"/>
      <c r="B181" s="5"/>
      <c r="C181" s="5"/>
      <c r="D181" s="16" t="s">
        <v>329</v>
      </c>
      <c r="E181" s="52" t="n">
        <v>0.085</v>
      </c>
      <c r="F181" s="52" t="n">
        <v>0.075</v>
      </c>
      <c r="G181" s="52" t="n">
        <v>0.09</v>
      </c>
      <c r="H181" s="52" t="n">
        <v>0.09</v>
      </c>
      <c r="I181" s="52" t="n">
        <v>0.09</v>
      </c>
      <c r="J181" s="52" t="n">
        <v>0.08</v>
      </c>
      <c r="K181" s="52" t="n">
        <v>0.09</v>
      </c>
      <c r="L181" s="52" t="n">
        <v>0.09</v>
      </c>
      <c r="M181" s="52" t="n">
        <v>0.085</v>
      </c>
      <c r="N181" s="52" t="n">
        <v>0.075</v>
      </c>
      <c r="O181" s="52" t="n">
        <v>0.07</v>
      </c>
      <c r="P181" s="52" t="n">
        <v>0.08</v>
      </c>
      <c r="Q181" s="18" t="n">
        <f aca="false">SUM(E181:P181)</f>
        <v>1</v>
      </c>
      <c r="W181" s="1"/>
      <c r="X181" s="1"/>
      <c r="Y181" s="1"/>
      <c r="Z181" s="1"/>
    </row>
    <row r="182" customFormat="false" ht="15.75" hidden="false" customHeight="true" outlineLevel="0" collapsed="false">
      <c r="A182" s="5"/>
      <c r="B182" s="5"/>
      <c r="C182" s="5"/>
      <c r="D182" s="16" t="s">
        <v>330</v>
      </c>
      <c r="E182" s="52" t="n">
        <v>0.085</v>
      </c>
      <c r="F182" s="52" t="n">
        <v>0.075</v>
      </c>
      <c r="G182" s="52" t="n">
        <v>0.09</v>
      </c>
      <c r="H182" s="52" t="n">
        <v>0.09</v>
      </c>
      <c r="I182" s="52" t="n">
        <v>0.09</v>
      </c>
      <c r="J182" s="52" t="n">
        <v>0.08</v>
      </c>
      <c r="K182" s="52" t="n">
        <v>0.09</v>
      </c>
      <c r="L182" s="52" t="n">
        <v>0.09</v>
      </c>
      <c r="M182" s="52" t="n">
        <v>0.085</v>
      </c>
      <c r="N182" s="52" t="n">
        <v>0.075</v>
      </c>
      <c r="O182" s="52" t="n">
        <v>0.07</v>
      </c>
      <c r="P182" s="52" t="n">
        <v>0.08</v>
      </c>
      <c r="Q182" s="18" t="n">
        <f aca="false">SUM(E182:P182)</f>
        <v>1</v>
      </c>
      <c r="W182" s="1"/>
      <c r="X182" s="1"/>
      <c r="Y182" s="1"/>
      <c r="Z182" s="1"/>
    </row>
    <row r="183" customFormat="false" ht="15.75" hidden="false" customHeight="true" outlineLevel="0" collapsed="false">
      <c r="A183" s="5"/>
      <c r="B183" s="5"/>
      <c r="C183" s="5"/>
      <c r="D183" s="16" t="s">
        <v>331</v>
      </c>
      <c r="E183" s="52" t="n">
        <v>0.085</v>
      </c>
      <c r="F183" s="52" t="n">
        <v>0.075</v>
      </c>
      <c r="G183" s="52" t="n">
        <v>0.09</v>
      </c>
      <c r="H183" s="52" t="n">
        <v>0.09</v>
      </c>
      <c r="I183" s="52" t="n">
        <v>0.09</v>
      </c>
      <c r="J183" s="52" t="n">
        <v>0.08</v>
      </c>
      <c r="K183" s="52" t="n">
        <v>0.09</v>
      </c>
      <c r="L183" s="52" t="n">
        <v>0.09</v>
      </c>
      <c r="M183" s="52" t="n">
        <v>0.085</v>
      </c>
      <c r="N183" s="52" t="n">
        <v>0.075</v>
      </c>
      <c r="O183" s="52" t="n">
        <v>0.07</v>
      </c>
      <c r="P183" s="52" t="n">
        <v>0.08</v>
      </c>
      <c r="Q183" s="18" t="n">
        <f aca="false">SUM(E183:P183)</f>
        <v>1</v>
      </c>
      <c r="W183" s="1"/>
      <c r="X183" s="1"/>
      <c r="Y183" s="1"/>
      <c r="Z183" s="1"/>
    </row>
    <row r="184" customFormat="false" ht="15.75" hidden="false" customHeight="true" outlineLevel="0" collapsed="false">
      <c r="W184" s="1"/>
      <c r="X184" s="1"/>
      <c r="Y184" s="1"/>
      <c r="Z184" s="1"/>
    </row>
    <row r="185" customFormat="false" ht="15.75" hidden="false" customHeight="true" outlineLevel="0" collapsed="false">
      <c r="A185" s="9" t="s">
        <v>859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W185" s="1"/>
      <c r="X185" s="1"/>
      <c r="Y185" s="1"/>
      <c r="Z185" s="1"/>
    </row>
    <row r="186" customFormat="false" ht="30" hidden="false" customHeight="true" outlineLevel="0" collapsed="false">
      <c r="A186" s="10" t="s">
        <v>372</v>
      </c>
      <c r="B186" s="10" t="s">
        <v>860</v>
      </c>
      <c r="C186" s="10" t="s">
        <v>861</v>
      </c>
      <c r="D186" s="10" t="s">
        <v>862</v>
      </c>
      <c r="E186" s="10" t="s">
        <v>863</v>
      </c>
      <c r="F186" s="10" t="s">
        <v>864</v>
      </c>
      <c r="G186" s="10" t="s">
        <v>865</v>
      </c>
      <c r="H186" s="10" t="s">
        <v>866</v>
      </c>
      <c r="I186" s="10" t="s">
        <v>867</v>
      </c>
      <c r="J186" s="10" t="s">
        <v>868</v>
      </c>
      <c r="K186" s="10" t="s">
        <v>869</v>
      </c>
      <c r="L186" s="10" t="s">
        <v>870</v>
      </c>
      <c r="M186" s="10" t="s">
        <v>871</v>
      </c>
      <c r="N186" s="10" t="s">
        <v>872</v>
      </c>
      <c r="O186" s="10" t="s">
        <v>873</v>
      </c>
      <c r="P186" s="10" t="s">
        <v>874</v>
      </c>
      <c r="Q186" s="10" t="s">
        <v>875</v>
      </c>
      <c r="R186" s="10" t="s">
        <v>876</v>
      </c>
      <c r="S186" s="10" t="s">
        <v>877</v>
      </c>
      <c r="T186" s="10" t="s">
        <v>878</v>
      </c>
      <c r="U186" s="10" t="s">
        <v>879</v>
      </c>
      <c r="W186" s="1"/>
      <c r="X186" s="1"/>
      <c r="Y186" s="1"/>
      <c r="Z186" s="1"/>
    </row>
    <row r="187" customFormat="false" ht="15.75" hidden="false" customHeight="true" outlineLevel="0" collapsed="false">
      <c r="A187" s="13" t="s">
        <v>392</v>
      </c>
      <c r="B187" s="50" t="n">
        <v>1</v>
      </c>
      <c r="C187" s="50" t="n">
        <v>1</v>
      </c>
      <c r="D187" s="50" t="n">
        <v>1</v>
      </c>
      <c r="E187" s="50" t="n">
        <v>1</v>
      </c>
      <c r="F187" s="50" t="n">
        <v>1</v>
      </c>
      <c r="G187" s="50" t="n">
        <v>2</v>
      </c>
      <c r="H187" s="50" t="n">
        <v>2</v>
      </c>
      <c r="I187" s="50" t="n">
        <v>2</v>
      </c>
      <c r="J187" s="50" t="n">
        <v>2</v>
      </c>
      <c r="K187" s="50" t="n">
        <v>2</v>
      </c>
      <c r="L187" s="50" t="n">
        <v>1</v>
      </c>
      <c r="M187" s="50" t="n">
        <v>1</v>
      </c>
      <c r="N187" s="50" t="n">
        <v>1</v>
      </c>
      <c r="O187" s="50" t="n">
        <v>1</v>
      </c>
      <c r="P187" s="50" t="n">
        <v>1</v>
      </c>
      <c r="Q187" s="50" t="n">
        <v>1</v>
      </c>
      <c r="R187" s="50" t="n">
        <v>2</v>
      </c>
      <c r="S187" s="50" t="n">
        <v>2</v>
      </c>
      <c r="T187" s="50" t="n">
        <v>2</v>
      </c>
      <c r="U187" s="50" t="n">
        <v>2</v>
      </c>
      <c r="W187" s="1"/>
      <c r="X187" s="1"/>
      <c r="Y187" s="1"/>
      <c r="Z187" s="1"/>
    </row>
    <row r="188" customFormat="false" ht="15.75" hidden="false" customHeight="true" outlineLevel="0" collapsed="false">
      <c r="A188" s="13" t="s">
        <v>395</v>
      </c>
      <c r="B188" s="50" t="n">
        <v>1</v>
      </c>
      <c r="C188" s="50" t="n">
        <v>1</v>
      </c>
      <c r="D188" s="50" t="n">
        <v>1</v>
      </c>
      <c r="E188" s="50" t="n">
        <v>1</v>
      </c>
      <c r="F188" s="50" t="n">
        <v>1</v>
      </c>
      <c r="G188" s="50" t="n">
        <v>1</v>
      </c>
      <c r="H188" s="50" t="n">
        <v>1</v>
      </c>
      <c r="I188" s="50" t="n">
        <v>1</v>
      </c>
      <c r="J188" s="50" t="n">
        <v>1</v>
      </c>
      <c r="K188" s="50" t="n">
        <v>1</v>
      </c>
      <c r="L188" s="50" t="n">
        <v>1</v>
      </c>
      <c r="M188" s="50" t="n">
        <v>1</v>
      </c>
      <c r="N188" s="50" t="n">
        <v>1</v>
      </c>
      <c r="O188" s="50" t="n">
        <v>1</v>
      </c>
      <c r="P188" s="50" t="n">
        <v>1</v>
      </c>
      <c r="Q188" s="50" t="n">
        <v>1</v>
      </c>
      <c r="R188" s="50" t="n">
        <v>1</v>
      </c>
      <c r="S188" s="50" t="n">
        <v>1</v>
      </c>
      <c r="T188" s="50" t="n">
        <v>1</v>
      </c>
      <c r="U188" s="50" t="n">
        <v>1</v>
      </c>
      <c r="W188" s="1"/>
      <c r="X188" s="1"/>
      <c r="Y188" s="1"/>
      <c r="Z188" s="1"/>
    </row>
    <row r="189" customFormat="false" ht="15.75" hidden="false" customHeight="true" outlineLevel="0" collapsed="false">
      <c r="A189" s="13" t="s">
        <v>398</v>
      </c>
      <c r="B189" s="50" t="n">
        <v>1</v>
      </c>
      <c r="C189" s="50" t="n">
        <v>1</v>
      </c>
      <c r="D189" s="50" t="n">
        <v>1</v>
      </c>
      <c r="E189" s="50" t="n">
        <v>1</v>
      </c>
      <c r="F189" s="50" t="n">
        <v>1</v>
      </c>
      <c r="G189" s="50" t="n">
        <v>1</v>
      </c>
      <c r="H189" s="50" t="n">
        <v>1</v>
      </c>
      <c r="I189" s="50" t="n">
        <v>1</v>
      </c>
      <c r="J189" s="50" t="n">
        <v>1</v>
      </c>
      <c r="K189" s="50" t="n">
        <v>1</v>
      </c>
      <c r="L189" s="50" t="n">
        <v>1</v>
      </c>
      <c r="M189" s="50" t="n">
        <v>1</v>
      </c>
      <c r="N189" s="50" t="n">
        <v>1</v>
      </c>
      <c r="O189" s="50" t="n">
        <v>1</v>
      </c>
      <c r="P189" s="50" t="n">
        <v>1</v>
      </c>
      <c r="Q189" s="50" t="n">
        <v>1</v>
      </c>
      <c r="R189" s="50" t="n">
        <v>1</v>
      </c>
      <c r="S189" s="50" t="n">
        <v>1</v>
      </c>
      <c r="T189" s="50" t="n">
        <v>1</v>
      </c>
      <c r="U189" s="50" t="n">
        <v>1</v>
      </c>
      <c r="W189" s="1"/>
      <c r="X189" s="1"/>
      <c r="Y189" s="1"/>
      <c r="Z189" s="1"/>
    </row>
    <row r="190" customFormat="false" ht="15.75" hidden="false" customHeight="true" outlineLevel="0" collapsed="false">
      <c r="A190" s="13" t="s">
        <v>400</v>
      </c>
      <c r="B190" s="50" t="n">
        <v>1</v>
      </c>
      <c r="C190" s="50" t="n">
        <v>1</v>
      </c>
      <c r="D190" s="50" t="n">
        <v>1</v>
      </c>
      <c r="E190" s="50" t="n">
        <v>1</v>
      </c>
      <c r="F190" s="50" t="n">
        <v>1</v>
      </c>
      <c r="G190" s="50" t="n">
        <v>1</v>
      </c>
      <c r="H190" s="50" t="n">
        <v>1</v>
      </c>
      <c r="I190" s="50" t="n">
        <v>1</v>
      </c>
      <c r="J190" s="50" t="n">
        <v>1</v>
      </c>
      <c r="K190" s="50" t="n">
        <v>1</v>
      </c>
      <c r="L190" s="50" t="n">
        <v>1</v>
      </c>
      <c r="M190" s="50" t="n">
        <v>1</v>
      </c>
      <c r="N190" s="50" t="n">
        <v>1</v>
      </c>
      <c r="O190" s="50" t="n">
        <v>1</v>
      </c>
      <c r="P190" s="50" t="n">
        <v>1</v>
      </c>
      <c r="Q190" s="50" t="n">
        <v>1</v>
      </c>
      <c r="R190" s="50" t="n">
        <v>2</v>
      </c>
      <c r="S190" s="50" t="n">
        <v>2</v>
      </c>
      <c r="T190" s="50" t="n">
        <v>2</v>
      </c>
      <c r="U190" s="50" t="n">
        <v>2</v>
      </c>
      <c r="W190" s="1"/>
      <c r="X190" s="1"/>
      <c r="Y190" s="1"/>
      <c r="Z190" s="1"/>
    </row>
    <row r="191" customFormat="false" ht="15.75" hidden="false" customHeight="true" outlineLevel="0" collapsed="false">
      <c r="A191" s="13" t="s">
        <v>403</v>
      </c>
      <c r="B191" s="50" t="n">
        <v>1</v>
      </c>
      <c r="C191" s="50" t="n">
        <v>1</v>
      </c>
      <c r="D191" s="50" t="n">
        <v>1</v>
      </c>
      <c r="E191" s="50" t="n">
        <v>1</v>
      </c>
      <c r="F191" s="50" t="n">
        <v>1</v>
      </c>
      <c r="G191" s="50" t="n">
        <v>2</v>
      </c>
      <c r="H191" s="50" t="n">
        <v>2</v>
      </c>
      <c r="I191" s="50" t="n">
        <v>2</v>
      </c>
      <c r="J191" s="50" t="n">
        <v>2</v>
      </c>
      <c r="K191" s="50" t="n">
        <v>2</v>
      </c>
      <c r="L191" s="50" t="n">
        <v>1</v>
      </c>
      <c r="M191" s="50" t="n">
        <v>1</v>
      </c>
      <c r="N191" s="50" t="n">
        <v>1</v>
      </c>
      <c r="O191" s="50" t="n">
        <v>1</v>
      </c>
      <c r="P191" s="50" t="n">
        <v>1</v>
      </c>
      <c r="Q191" s="50" t="n">
        <v>1</v>
      </c>
      <c r="R191" s="50" t="n">
        <v>2</v>
      </c>
      <c r="S191" s="50" t="n">
        <v>2</v>
      </c>
      <c r="T191" s="50" t="n">
        <v>2</v>
      </c>
      <c r="U191" s="50" t="n">
        <v>2</v>
      </c>
      <c r="W191" s="1"/>
      <c r="X191" s="1"/>
      <c r="Y191" s="1"/>
      <c r="Z191" s="1"/>
    </row>
    <row r="192" customFormat="false" ht="15.75" hidden="false" customHeight="true" outlineLevel="0" collapsed="false">
      <c r="A192" s="13" t="s">
        <v>404</v>
      </c>
      <c r="B192" s="50" t="n">
        <v>1</v>
      </c>
      <c r="C192" s="50" t="n">
        <v>1</v>
      </c>
      <c r="D192" s="50" t="n">
        <v>1</v>
      </c>
      <c r="E192" s="50" t="n">
        <v>1</v>
      </c>
      <c r="F192" s="50" t="n">
        <v>1</v>
      </c>
      <c r="G192" s="50" t="n">
        <v>1</v>
      </c>
      <c r="H192" s="50" t="n">
        <v>1</v>
      </c>
      <c r="I192" s="50" t="n">
        <v>1</v>
      </c>
      <c r="J192" s="50" t="n">
        <v>2</v>
      </c>
      <c r="K192" s="50" t="n">
        <v>2</v>
      </c>
      <c r="L192" s="50" t="n">
        <v>1</v>
      </c>
      <c r="M192" s="50" t="n">
        <v>1</v>
      </c>
      <c r="N192" s="50" t="n">
        <v>1</v>
      </c>
      <c r="O192" s="50" t="n">
        <v>1</v>
      </c>
      <c r="P192" s="50" t="n">
        <v>1</v>
      </c>
      <c r="Q192" s="50" t="n">
        <v>1</v>
      </c>
      <c r="R192" s="50" t="n">
        <v>1</v>
      </c>
      <c r="S192" s="50" t="n">
        <v>1</v>
      </c>
      <c r="T192" s="50" t="n">
        <v>1</v>
      </c>
      <c r="U192" s="50" t="n">
        <v>1</v>
      </c>
      <c r="V192" s="13" t="s">
        <v>880</v>
      </c>
      <c r="W192" s="1"/>
      <c r="X192" s="1"/>
      <c r="Y192" s="1"/>
      <c r="Z192" s="1"/>
    </row>
    <row r="193" customFormat="false" ht="15.75" hidden="false" customHeight="true" outlineLevel="0" collapsed="false">
      <c r="A193" s="13" t="s">
        <v>406</v>
      </c>
      <c r="B193" s="50" t="n">
        <v>1</v>
      </c>
      <c r="C193" s="50" t="n">
        <v>1</v>
      </c>
      <c r="D193" s="50" t="n">
        <v>1</v>
      </c>
      <c r="E193" s="50" t="n">
        <v>1</v>
      </c>
      <c r="F193" s="50" t="n">
        <v>1</v>
      </c>
      <c r="G193" s="50" t="n">
        <v>1</v>
      </c>
      <c r="H193" s="50" t="n">
        <v>1</v>
      </c>
      <c r="I193" s="50" t="n">
        <v>1</v>
      </c>
      <c r="J193" s="50" t="n">
        <v>1</v>
      </c>
      <c r="K193" s="50" t="n">
        <v>1</v>
      </c>
      <c r="L193" s="50" t="n">
        <v>1</v>
      </c>
      <c r="M193" s="50" t="n">
        <v>1</v>
      </c>
      <c r="N193" s="50" t="n">
        <v>1</v>
      </c>
      <c r="O193" s="50" t="n">
        <v>1</v>
      </c>
      <c r="P193" s="50" t="n">
        <v>1</v>
      </c>
      <c r="Q193" s="50" t="n">
        <v>1</v>
      </c>
      <c r="R193" s="50" t="n">
        <v>2</v>
      </c>
      <c r="S193" s="50" t="n">
        <v>2</v>
      </c>
      <c r="T193" s="50" t="n">
        <v>2</v>
      </c>
      <c r="U193" s="50" t="n">
        <v>2</v>
      </c>
      <c r="W193" s="1"/>
      <c r="X193" s="1"/>
      <c r="Y193" s="1"/>
      <c r="Z193" s="1"/>
    </row>
    <row r="194" customFormat="false" ht="15.75" hidden="false" customHeight="true" outlineLevel="0" collapsed="false">
      <c r="A194" s="13" t="s">
        <v>407</v>
      </c>
      <c r="B194" s="50" t="n">
        <v>1</v>
      </c>
      <c r="C194" s="50" t="n">
        <v>1</v>
      </c>
      <c r="D194" s="50" t="n">
        <v>1</v>
      </c>
      <c r="E194" s="50" t="n">
        <v>1</v>
      </c>
      <c r="F194" s="50" t="n">
        <v>1</v>
      </c>
      <c r="G194" s="50" t="n">
        <v>1</v>
      </c>
      <c r="H194" s="50" t="n">
        <v>1</v>
      </c>
      <c r="I194" s="50" t="n">
        <v>1</v>
      </c>
      <c r="J194" s="50" t="n">
        <v>1</v>
      </c>
      <c r="K194" s="50" t="n">
        <v>1</v>
      </c>
      <c r="L194" s="50" t="n">
        <v>1</v>
      </c>
      <c r="M194" s="50" t="n">
        <v>1</v>
      </c>
      <c r="N194" s="50" t="n">
        <v>1</v>
      </c>
      <c r="O194" s="50" t="n">
        <v>1</v>
      </c>
      <c r="P194" s="50" t="n">
        <v>1</v>
      </c>
      <c r="Q194" s="50" t="n">
        <v>1</v>
      </c>
      <c r="R194" s="50" t="n">
        <v>1</v>
      </c>
      <c r="S194" s="50" t="n">
        <v>1</v>
      </c>
      <c r="T194" s="50" t="n">
        <v>1</v>
      </c>
      <c r="U194" s="50" t="n">
        <v>1</v>
      </c>
      <c r="W194" s="1"/>
      <c r="X194" s="1"/>
      <c r="Y194" s="1"/>
      <c r="Z194" s="1"/>
    </row>
    <row r="195" customFormat="false" ht="15.75" hidden="false" customHeight="true" outlineLevel="0" collapsed="false">
      <c r="A195" s="13" t="s">
        <v>409</v>
      </c>
      <c r="B195" s="50" t="n">
        <v>1</v>
      </c>
      <c r="C195" s="50" t="n">
        <v>1</v>
      </c>
      <c r="D195" s="50" t="n">
        <v>1</v>
      </c>
      <c r="E195" s="50" t="n">
        <v>1</v>
      </c>
      <c r="F195" s="50" t="n">
        <v>1</v>
      </c>
      <c r="G195" s="50" t="n">
        <v>1</v>
      </c>
      <c r="H195" s="50" t="n">
        <v>1</v>
      </c>
      <c r="I195" s="50" t="n">
        <v>1</v>
      </c>
      <c r="J195" s="50" t="n">
        <v>1</v>
      </c>
      <c r="K195" s="50" t="n">
        <v>1</v>
      </c>
      <c r="L195" s="50" t="n">
        <v>1</v>
      </c>
      <c r="M195" s="50" t="n">
        <v>1</v>
      </c>
      <c r="N195" s="50" t="n">
        <v>1</v>
      </c>
      <c r="O195" s="50" t="n">
        <v>1</v>
      </c>
      <c r="P195" s="50" t="n">
        <v>1</v>
      </c>
      <c r="Q195" s="50" t="n">
        <v>1</v>
      </c>
      <c r="R195" s="50" t="n">
        <v>2</v>
      </c>
      <c r="S195" s="50" t="n">
        <v>2</v>
      </c>
      <c r="T195" s="50" t="n">
        <v>2</v>
      </c>
      <c r="U195" s="50" t="n">
        <v>2</v>
      </c>
      <c r="W195" s="1"/>
      <c r="X195" s="1"/>
      <c r="Y195" s="1"/>
      <c r="Z195" s="1"/>
    </row>
    <row r="196" customFormat="false" ht="15.75" hidden="false" customHeight="true" outlineLevel="0" collapsed="false">
      <c r="A196" s="13" t="s">
        <v>411</v>
      </c>
      <c r="B196" s="50" t="n">
        <v>1</v>
      </c>
      <c r="C196" s="50" t="n">
        <v>1</v>
      </c>
      <c r="D196" s="50" t="n">
        <v>1</v>
      </c>
      <c r="E196" s="50" t="n">
        <v>1</v>
      </c>
      <c r="F196" s="50" t="n">
        <v>1</v>
      </c>
      <c r="G196" s="50" t="n">
        <v>1</v>
      </c>
      <c r="H196" s="50" t="n">
        <v>1</v>
      </c>
      <c r="I196" s="50" t="n">
        <v>1</v>
      </c>
      <c r="J196" s="50" t="n">
        <v>1</v>
      </c>
      <c r="K196" s="50" t="n">
        <v>1</v>
      </c>
      <c r="L196" s="50" t="n">
        <v>1</v>
      </c>
      <c r="M196" s="50" t="n">
        <v>1</v>
      </c>
      <c r="N196" s="50" t="n">
        <v>1</v>
      </c>
      <c r="O196" s="50" t="n">
        <v>1</v>
      </c>
      <c r="P196" s="50" t="n">
        <v>1</v>
      </c>
      <c r="Q196" s="50" t="n">
        <v>1</v>
      </c>
      <c r="R196" s="50" t="n">
        <v>2</v>
      </c>
      <c r="S196" s="50" t="n">
        <v>2</v>
      </c>
      <c r="T196" s="50" t="n">
        <v>2</v>
      </c>
      <c r="U196" s="50" t="n">
        <v>2</v>
      </c>
      <c r="W196" s="1"/>
      <c r="X196" s="1"/>
      <c r="Y196" s="1"/>
      <c r="Z196" s="1"/>
    </row>
    <row r="197" customFormat="false" ht="15.75" hidden="false" customHeight="true" outlineLevel="0" collapsed="false">
      <c r="A197" s="13" t="s">
        <v>413</v>
      </c>
      <c r="B197" s="50" t="n">
        <v>1</v>
      </c>
      <c r="C197" s="50" t="n">
        <v>1</v>
      </c>
      <c r="D197" s="50" t="n">
        <v>1</v>
      </c>
      <c r="E197" s="50" t="n">
        <v>1</v>
      </c>
      <c r="F197" s="50" t="n">
        <v>1</v>
      </c>
      <c r="G197" s="50" t="n">
        <v>1</v>
      </c>
      <c r="H197" s="50" t="n">
        <v>1</v>
      </c>
      <c r="I197" s="50" t="n">
        <v>1</v>
      </c>
      <c r="J197" s="50" t="n">
        <v>1</v>
      </c>
      <c r="K197" s="50" t="n">
        <v>1</v>
      </c>
      <c r="L197" s="50" t="n">
        <v>1</v>
      </c>
      <c r="M197" s="50" t="n">
        <v>1</v>
      </c>
      <c r="N197" s="50" t="n">
        <v>1</v>
      </c>
      <c r="O197" s="50" t="n">
        <v>1</v>
      </c>
      <c r="P197" s="50" t="n">
        <v>1</v>
      </c>
      <c r="Q197" s="50" t="n">
        <v>1</v>
      </c>
      <c r="R197" s="50" t="n">
        <v>2</v>
      </c>
      <c r="S197" s="50" t="n">
        <v>2</v>
      </c>
      <c r="T197" s="50" t="n">
        <v>2</v>
      </c>
      <c r="U197" s="50" t="n">
        <v>2</v>
      </c>
      <c r="W197" s="1"/>
      <c r="X197" s="1"/>
      <c r="Y197" s="1"/>
      <c r="Z197" s="1"/>
    </row>
    <row r="198" customFormat="false" ht="15.75" hidden="false" customHeight="true" outlineLevel="0" collapsed="false">
      <c r="A198" s="13" t="s">
        <v>415</v>
      </c>
      <c r="B198" s="50" t="n">
        <v>1</v>
      </c>
      <c r="C198" s="50" t="n">
        <v>1</v>
      </c>
      <c r="D198" s="50" t="n">
        <v>1</v>
      </c>
      <c r="E198" s="50" t="n">
        <v>1</v>
      </c>
      <c r="F198" s="50" t="n">
        <v>1</v>
      </c>
      <c r="G198" s="50" t="n">
        <v>1</v>
      </c>
      <c r="H198" s="50" t="n">
        <v>1</v>
      </c>
      <c r="I198" s="50" t="n">
        <v>1</v>
      </c>
      <c r="J198" s="50" t="n">
        <v>1</v>
      </c>
      <c r="K198" s="50" t="n">
        <v>1</v>
      </c>
      <c r="L198" s="50" t="n">
        <v>1</v>
      </c>
      <c r="M198" s="50" t="n">
        <v>1</v>
      </c>
      <c r="N198" s="50" t="n">
        <v>1</v>
      </c>
      <c r="O198" s="50" t="n">
        <v>1</v>
      </c>
      <c r="P198" s="50" t="n">
        <v>1</v>
      </c>
      <c r="Q198" s="50" t="n">
        <v>1</v>
      </c>
      <c r="R198" s="50" t="n">
        <v>2</v>
      </c>
      <c r="S198" s="50" t="n">
        <v>2</v>
      </c>
      <c r="T198" s="50" t="n">
        <v>2</v>
      </c>
      <c r="U198" s="50" t="n">
        <v>2</v>
      </c>
      <c r="W198" s="1"/>
      <c r="X198" s="1"/>
      <c r="Y198" s="1"/>
      <c r="Z198" s="1"/>
    </row>
    <row r="199" customFormat="false" ht="15.75" hidden="false" customHeight="true" outlineLevel="0" collapsed="false">
      <c r="A199" s="13" t="s">
        <v>417</v>
      </c>
      <c r="B199" s="50" t="n">
        <v>1</v>
      </c>
      <c r="C199" s="50" t="n">
        <v>1</v>
      </c>
      <c r="D199" s="50" t="n">
        <v>1</v>
      </c>
      <c r="E199" s="50" t="n">
        <v>1</v>
      </c>
      <c r="F199" s="50" t="n">
        <v>1</v>
      </c>
      <c r="G199" s="50" t="n">
        <v>2</v>
      </c>
      <c r="H199" s="50" t="n">
        <v>2</v>
      </c>
      <c r="I199" s="50" t="n">
        <v>2</v>
      </c>
      <c r="J199" s="50" t="n">
        <v>2</v>
      </c>
      <c r="K199" s="50" t="n">
        <v>2</v>
      </c>
      <c r="L199" s="50" t="n">
        <v>1</v>
      </c>
      <c r="M199" s="50" t="n">
        <v>1</v>
      </c>
      <c r="N199" s="50" t="n">
        <v>1</v>
      </c>
      <c r="O199" s="50" t="n">
        <v>1</v>
      </c>
      <c r="P199" s="50" t="n">
        <v>1</v>
      </c>
      <c r="Q199" s="50" t="n">
        <v>1</v>
      </c>
      <c r="R199" s="50" t="n">
        <v>2</v>
      </c>
      <c r="S199" s="50" t="n">
        <v>2</v>
      </c>
      <c r="T199" s="50" t="n">
        <v>2</v>
      </c>
      <c r="U199" s="50" t="n">
        <v>2</v>
      </c>
      <c r="W199" s="1"/>
      <c r="X199" s="1"/>
      <c r="Y199" s="1"/>
      <c r="Z199" s="1"/>
    </row>
    <row r="200" customFormat="false" ht="15.75" hidden="false" customHeight="true" outlineLevel="0" collapsed="false">
      <c r="A200" s="13" t="s">
        <v>420</v>
      </c>
      <c r="B200" s="50" t="n">
        <v>1</v>
      </c>
      <c r="C200" s="50" t="n">
        <v>1</v>
      </c>
      <c r="D200" s="50" t="n">
        <v>1</v>
      </c>
      <c r="E200" s="50" t="n">
        <v>1</v>
      </c>
      <c r="F200" s="50" t="n">
        <v>1</v>
      </c>
      <c r="G200" s="50" t="n">
        <v>1</v>
      </c>
      <c r="H200" s="50" t="n">
        <v>1</v>
      </c>
      <c r="I200" s="50" t="n">
        <v>1</v>
      </c>
      <c r="J200" s="50" t="n">
        <v>1</v>
      </c>
      <c r="K200" s="50" t="n">
        <v>1</v>
      </c>
      <c r="L200" s="50" t="n">
        <v>1</v>
      </c>
      <c r="M200" s="50" t="n">
        <v>1</v>
      </c>
      <c r="N200" s="50" t="n">
        <v>1</v>
      </c>
      <c r="O200" s="50" t="n">
        <v>1</v>
      </c>
      <c r="P200" s="50" t="n">
        <v>1</v>
      </c>
      <c r="Q200" s="50" t="n">
        <v>1</v>
      </c>
      <c r="R200" s="50" t="n">
        <v>1</v>
      </c>
      <c r="S200" s="50" t="n">
        <v>1</v>
      </c>
      <c r="T200" s="50" t="n">
        <v>1</v>
      </c>
      <c r="U200" s="50" t="n">
        <v>1</v>
      </c>
      <c r="W200" s="1"/>
      <c r="X200" s="1"/>
      <c r="Y200" s="1"/>
      <c r="Z200" s="1"/>
    </row>
    <row r="201" customFormat="false" ht="15.75" hidden="false" customHeight="true" outlineLevel="0" collapsed="false">
      <c r="A201" s="13" t="s">
        <v>423</v>
      </c>
      <c r="B201" s="50" t="n">
        <v>1</v>
      </c>
      <c r="C201" s="50" t="n">
        <v>1</v>
      </c>
      <c r="D201" s="50" t="n">
        <v>1</v>
      </c>
      <c r="E201" s="50" t="n">
        <v>1</v>
      </c>
      <c r="F201" s="50" t="n">
        <v>1</v>
      </c>
      <c r="G201" s="50" t="n">
        <v>2</v>
      </c>
      <c r="H201" s="50" t="n">
        <v>2</v>
      </c>
      <c r="I201" s="50" t="n">
        <v>2</v>
      </c>
      <c r="J201" s="50" t="n">
        <v>2</v>
      </c>
      <c r="K201" s="50" t="n">
        <v>2</v>
      </c>
      <c r="L201" s="50" t="n">
        <v>1</v>
      </c>
      <c r="M201" s="50" t="n">
        <v>1</v>
      </c>
      <c r="N201" s="50" t="n">
        <v>1</v>
      </c>
      <c r="O201" s="50" t="n">
        <v>1</v>
      </c>
      <c r="P201" s="50" t="n">
        <v>1</v>
      </c>
      <c r="Q201" s="50" t="n">
        <v>1</v>
      </c>
      <c r="R201" s="50" t="n">
        <v>2</v>
      </c>
      <c r="S201" s="50" t="n">
        <v>2</v>
      </c>
      <c r="T201" s="50" t="n">
        <v>2</v>
      </c>
      <c r="U201" s="50" t="n">
        <v>2</v>
      </c>
      <c r="W201" s="1"/>
      <c r="X201" s="1"/>
      <c r="Y201" s="1"/>
      <c r="Z201" s="1"/>
    </row>
    <row r="202" customFormat="false" ht="15.75" hidden="false" customHeight="true" outlineLevel="0" collapsed="false">
      <c r="A202" s="13" t="s">
        <v>424</v>
      </c>
      <c r="B202" s="50" t="n">
        <v>1</v>
      </c>
      <c r="C202" s="50" t="n">
        <v>1</v>
      </c>
      <c r="D202" s="50" t="n">
        <v>1</v>
      </c>
      <c r="E202" s="50" t="n">
        <v>2</v>
      </c>
      <c r="F202" s="50" t="n">
        <v>2</v>
      </c>
      <c r="G202" s="50" t="n">
        <v>3</v>
      </c>
      <c r="H202" s="50" t="n">
        <v>4</v>
      </c>
      <c r="I202" s="50" t="n">
        <v>4</v>
      </c>
      <c r="J202" s="50" t="n">
        <v>4</v>
      </c>
      <c r="K202" s="50" t="n">
        <v>4</v>
      </c>
      <c r="L202" s="50" t="n">
        <v>1</v>
      </c>
      <c r="M202" s="50" t="n">
        <v>1</v>
      </c>
      <c r="N202" s="50" t="n">
        <v>1</v>
      </c>
      <c r="O202" s="50" t="n">
        <v>1</v>
      </c>
      <c r="P202" s="50" t="n">
        <v>1</v>
      </c>
      <c r="Q202" s="50" t="n">
        <v>1</v>
      </c>
      <c r="R202" s="50" t="n">
        <v>2</v>
      </c>
      <c r="S202" s="50" t="n">
        <v>2</v>
      </c>
      <c r="T202" s="50" t="n">
        <v>2</v>
      </c>
      <c r="U202" s="50" t="n">
        <v>2</v>
      </c>
      <c r="W202" s="1"/>
      <c r="X202" s="1"/>
      <c r="Y202" s="1"/>
      <c r="Z202" s="1"/>
    </row>
    <row r="203" customFormat="false" ht="15.75" hidden="false" customHeight="true" outlineLevel="0" collapsed="false">
      <c r="A203" s="13" t="s">
        <v>425</v>
      </c>
      <c r="B203" s="50" t="n">
        <v>1</v>
      </c>
      <c r="C203" s="50" t="n">
        <v>1</v>
      </c>
      <c r="D203" s="50" t="n">
        <v>1</v>
      </c>
      <c r="E203" s="50" t="n">
        <v>1</v>
      </c>
      <c r="F203" s="50" t="n">
        <v>1</v>
      </c>
      <c r="G203" s="50" t="n">
        <v>1</v>
      </c>
      <c r="H203" s="50" t="n">
        <v>1</v>
      </c>
      <c r="I203" s="50" t="n">
        <v>1</v>
      </c>
      <c r="J203" s="50" t="n">
        <v>1</v>
      </c>
      <c r="K203" s="50" t="n">
        <v>1</v>
      </c>
      <c r="L203" s="50" t="n">
        <v>1</v>
      </c>
      <c r="M203" s="50" t="n">
        <v>1</v>
      </c>
      <c r="N203" s="50" t="n">
        <v>1</v>
      </c>
      <c r="O203" s="50" t="n">
        <v>1</v>
      </c>
      <c r="P203" s="50" t="n">
        <v>1</v>
      </c>
      <c r="Q203" s="50" t="n">
        <v>1</v>
      </c>
      <c r="R203" s="50" t="n">
        <v>2</v>
      </c>
      <c r="S203" s="50" t="n">
        <v>2</v>
      </c>
      <c r="T203" s="50" t="n">
        <v>2</v>
      </c>
      <c r="U203" s="50" t="n">
        <v>2</v>
      </c>
      <c r="W203" s="1"/>
      <c r="X203" s="1"/>
      <c r="Y203" s="1"/>
      <c r="Z203" s="1"/>
    </row>
    <row r="204" customFormat="false" ht="15.75" hidden="false" customHeight="true" outlineLevel="0" collapsed="false">
      <c r="A204" s="13" t="s">
        <v>426</v>
      </c>
      <c r="B204" s="50" t="n">
        <v>1</v>
      </c>
      <c r="C204" s="50" t="n">
        <v>1</v>
      </c>
      <c r="D204" s="50" t="n">
        <v>1</v>
      </c>
      <c r="E204" s="50" t="n">
        <v>1</v>
      </c>
      <c r="F204" s="50" t="n">
        <v>1</v>
      </c>
      <c r="G204" s="50" t="n">
        <v>1</v>
      </c>
      <c r="H204" s="50" t="n">
        <v>1</v>
      </c>
      <c r="I204" s="50" t="n">
        <v>1</v>
      </c>
      <c r="J204" s="50" t="n">
        <v>1</v>
      </c>
      <c r="K204" s="50" t="n">
        <v>1</v>
      </c>
      <c r="L204" s="50" t="n">
        <v>1</v>
      </c>
      <c r="M204" s="50" t="n">
        <v>1</v>
      </c>
      <c r="N204" s="50" t="n">
        <v>1</v>
      </c>
      <c r="O204" s="50" t="n">
        <v>1</v>
      </c>
      <c r="P204" s="50" t="n">
        <v>1</v>
      </c>
      <c r="Q204" s="50" t="n">
        <v>1</v>
      </c>
      <c r="R204" s="50" t="n">
        <v>2</v>
      </c>
      <c r="S204" s="50" t="n">
        <v>2</v>
      </c>
      <c r="T204" s="50" t="n">
        <v>2</v>
      </c>
      <c r="U204" s="50" t="n">
        <v>2</v>
      </c>
      <c r="W204" s="1"/>
      <c r="X204" s="1"/>
      <c r="Y204" s="1"/>
      <c r="Z204" s="1"/>
    </row>
    <row r="205" customFormat="false" ht="15.75" hidden="false" customHeight="true" outlineLevel="0" collapsed="false">
      <c r="A205" s="13" t="s">
        <v>427</v>
      </c>
      <c r="B205" s="50" t="n">
        <v>1</v>
      </c>
      <c r="C205" s="50" t="n">
        <v>1</v>
      </c>
      <c r="D205" s="50" t="n">
        <v>1</v>
      </c>
      <c r="E205" s="50" t="n">
        <v>1</v>
      </c>
      <c r="F205" s="50" t="n">
        <v>1</v>
      </c>
      <c r="G205" s="50" t="n">
        <v>1</v>
      </c>
      <c r="H205" s="50" t="n">
        <v>1</v>
      </c>
      <c r="I205" s="50" t="n">
        <v>1</v>
      </c>
      <c r="J205" s="50" t="n">
        <v>1</v>
      </c>
      <c r="K205" s="50" t="n">
        <v>1</v>
      </c>
      <c r="L205" s="50" t="n">
        <v>1</v>
      </c>
      <c r="M205" s="50" t="n">
        <v>1</v>
      </c>
      <c r="N205" s="50" t="n">
        <v>1</v>
      </c>
      <c r="O205" s="50" t="n">
        <v>1</v>
      </c>
      <c r="P205" s="50" t="n">
        <v>1</v>
      </c>
      <c r="Q205" s="50" t="n">
        <v>1</v>
      </c>
      <c r="R205" s="50" t="n">
        <v>1</v>
      </c>
      <c r="S205" s="50" t="n">
        <v>1</v>
      </c>
      <c r="T205" s="50" t="n">
        <v>1</v>
      </c>
      <c r="U205" s="50" t="n">
        <v>1</v>
      </c>
      <c r="W205" s="1"/>
      <c r="X205" s="1"/>
      <c r="Y205" s="1"/>
      <c r="Z205" s="1"/>
    </row>
    <row r="206" customFormat="false" ht="15.75" hidden="false" customHeight="true" outlineLevel="0" collapsed="false">
      <c r="A206" s="13" t="s">
        <v>429</v>
      </c>
      <c r="B206" s="50" t="n">
        <v>1</v>
      </c>
      <c r="C206" s="50" t="n">
        <v>1</v>
      </c>
      <c r="D206" s="50" t="n">
        <v>1</v>
      </c>
      <c r="E206" s="50" t="n">
        <v>1</v>
      </c>
      <c r="F206" s="50" t="n">
        <v>1</v>
      </c>
      <c r="G206" s="50" t="n">
        <v>1</v>
      </c>
      <c r="H206" s="50" t="n">
        <v>1</v>
      </c>
      <c r="I206" s="50" t="n">
        <v>1</v>
      </c>
      <c r="J206" s="50" t="n">
        <v>1</v>
      </c>
      <c r="K206" s="50" t="n">
        <v>1</v>
      </c>
      <c r="L206" s="50" t="n">
        <v>1</v>
      </c>
      <c r="M206" s="50" t="n">
        <v>1</v>
      </c>
      <c r="N206" s="50" t="n">
        <v>1</v>
      </c>
      <c r="O206" s="50" t="n">
        <v>1</v>
      </c>
      <c r="P206" s="50" t="n">
        <v>1</v>
      </c>
      <c r="Q206" s="50" t="n">
        <v>1</v>
      </c>
      <c r="R206" s="50" t="n">
        <v>2</v>
      </c>
      <c r="S206" s="50" t="n">
        <v>2</v>
      </c>
      <c r="T206" s="50" t="n">
        <v>2</v>
      </c>
      <c r="U206" s="50" t="n">
        <v>2</v>
      </c>
      <c r="W206" s="1"/>
      <c r="X206" s="1"/>
      <c r="Y206" s="1"/>
      <c r="Z206" s="1"/>
    </row>
    <row r="207" customFormat="false" ht="15.75" hidden="false" customHeight="true" outlineLevel="0" collapsed="false">
      <c r="A207" s="13" t="s">
        <v>430</v>
      </c>
      <c r="B207" s="50" t="n">
        <v>1</v>
      </c>
      <c r="C207" s="50" t="n">
        <v>1</v>
      </c>
      <c r="D207" s="50" t="n">
        <v>1</v>
      </c>
      <c r="E207" s="50" t="n">
        <v>1</v>
      </c>
      <c r="F207" s="50" t="n">
        <v>1</v>
      </c>
      <c r="G207" s="50" t="n">
        <v>1</v>
      </c>
      <c r="H207" s="50" t="n">
        <v>1</v>
      </c>
      <c r="I207" s="50" t="n">
        <v>1</v>
      </c>
      <c r="J207" s="50" t="n">
        <v>1</v>
      </c>
      <c r="K207" s="50" t="n">
        <v>1</v>
      </c>
      <c r="L207" s="50" t="n">
        <v>1</v>
      </c>
      <c r="M207" s="50" t="n">
        <v>1</v>
      </c>
      <c r="N207" s="50" t="n">
        <v>1</v>
      </c>
      <c r="O207" s="50" t="n">
        <v>1</v>
      </c>
      <c r="P207" s="50" t="n">
        <v>1</v>
      </c>
      <c r="Q207" s="50" t="n">
        <v>1</v>
      </c>
      <c r="R207" s="50" t="n">
        <v>1</v>
      </c>
      <c r="S207" s="50" t="n">
        <v>1</v>
      </c>
      <c r="T207" s="50" t="n">
        <v>1</v>
      </c>
      <c r="U207" s="50" t="n">
        <v>1</v>
      </c>
      <c r="W207" s="1"/>
      <c r="X207" s="1"/>
      <c r="Y207" s="1"/>
      <c r="Z207" s="1"/>
    </row>
    <row r="208" customFormat="false" ht="15.75" hidden="false" customHeight="true" outlineLevel="0" collapsed="false">
      <c r="A208" s="13" t="s">
        <v>433</v>
      </c>
      <c r="B208" s="50" t="n">
        <v>1</v>
      </c>
      <c r="C208" s="50" t="n">
        <v>1</v>
      </c>
      <c r="D208" s="50" t="n">
        <v>1</v>
      </c>
      <c r="E208" s="50" t="n">
        <v>1</v>
      </c>
      <c r="F208" s="50" t="n">
        <v>1</v>
      </c>
      <c r="G208" s="50" t="n">
        <v>1</v>
      </c>
      <c r="H208" s="50" t="n">
        <v>1</v>
      </c>
      <c r="I208" s="50" t="n">
        <v>1</v>
      </c>
      <c r="J208" s="50" t="n">
        <v>1</v>
      </c>
      <c r="K208" s="50" t="n">
        <v>1</v>
      </c>
      <c r="L208" s="50" t="n">
        <v>1</v>
      </c>
      <c r="M208" s="50" t="n">
        <v>1</v>
      </c>
      <c r="N208" s="50" t="n">
        <v>1</v>
      </c>
      <c r="O208" s="50" t="n">
        <v>1</v>
      </c>
      <c r="P208" s="50" t="n">
        <v>1</v>
      </c>
      <c r="Q208" s="50" t="n">
        <v>1</v>
      </c>
      <c r="R208" s="50" t="n">
        <v>2</v>
      </c>
      <c r="S208" s="50" t="n">
        <v>2</v>
      </c>
      <c r="T208" s="50" t="n">
        <v>2</v>
      </c>
      <c r="U208" s="50" t="n">
        <v>2</v>
      </c>
      <c r="W208" s="1"/>
      <c r="X208" s="1"/>
      <c r="Y208" s="1"/>
      <c r="Z208" s="1"/>
    </row>
    <row r="209" customFormat="false" ht="15.75" hidden="false" customHeight="true" outlineLevel="0" collapsed="false">
      <c r="A209" s="13" t="s">
        <v>434</v>
      </c>
      <c r="B209" s="50" t="n">
        <v>1</v>
      </c>
      <c r="C209" s="50" t="n">
        <v>1</v>
      </c>
      <c r="D209" s="50" t="n">
        <v>1</v>
      </c>
      <c r="E209" s="50" t="n">
        <v>1</v>
      </c>
      <c r="F209" s="50" t="n">
        <v>1</v>
      </c>
      <c r="G209" s="50" t="n">
        <v>1</v>
      </c>
      <c r="H209" s="50" t="n">
        <v>1</v>
      </c>
      <c r="I209" s="50" t="n">
        <v>1</v>
      </c>
      <c r="J209" s="50" t="n">
        <v>1</v>
      </c>
      <c r="K209" s="50" t="n">
        <v>1</v>
      </c>
      <c r="L209" s="50" t="n">
        <v>1</v>
      </c>
      <c r="M209" s="50" t="n">
        <v>1</v>
      </c>
      <c r="N209" s="50" t="n">
        <v>1</v>
      </c>
      <c r="O209" s="50" t="n">
        <v>1</v>
      </c>
      <c r="P209" s="50" t="n">
        <v>1</v>
      </c>
      <c r="Q209" s="50" t="n">
        <v>1</v>
      </c>
      <c r="R209" s="50" t="n">
        <v>1</v>
      </c>
      <c r="S209" s="50" t="n">
        <v>1</v>
      </c>
      <c r="T209" s="50" t="n">
        <v>1</v>
      </c>
      <c r="U209" s="50" t="n">
        <v>1</v>
      </c>
      <c r="W209" s="1"/>
      <c r="X209" s="1"/>
      <c r="Y209" s="1"/>
      <c r="Z209" s="1"/>
    </row>
    <row r="210" customFormat="false" ht="15.75" hidden="false" customHeight="true" outlineLevel="0" collapsed="false">
      <c r="A210" s="13" t="s">
        <v>435</v>
      </c>
      <c r="B210" s="50" t="n">
        <v>1</v>
      </c>
      <c r="C210" s="50" t="n">
        <v>1</v>
      </c>
      <c r="D210" s="50" t="n">
        <v>1</v>
      </c>
      <c r="E210" s="50" t="n">
        <v>1</v>
      </c>
      <c r="F210" s="50" t="n">
        <v>1</v>
      </c>
      <c r="G210" s="50" t="n">
        <v>1</v>
      </c>
      <c r="H210" s="50" t="n">
        <v>1</v>
      </c>
      <c r="I210" s="50" t="n">
        <v>1</v>
      </c>
      <c r="J210" s="50" t="n">
        <v>1</v>
      </c>
      <c r="K210" s="50" t="n">
        <v>1</v>
      </c>
      <c r="L210" s="50" t="n">
        <v>1</v>
      </c>
      <c r="M210" s="50" t="n">
        <v>1</v>
      </c>
      <c r="N210" s="50" t="n">
        <v>1</v>
      </c>
      <c r="O210" s="50" t="n">
        <v>1</v>
      </c>
      <c r="P210" s="50" t="n">
        <v>1</v>
      </c>
      <c r="Q210" s="50" t="n">
        <v>1</v>
      </c>
      <c r="R210" s="50" t="n">
        <v>1</v>
      </c>
      <c r="S210" s="50" t="n">
        <v>1</v>
      </c>
      <c r="T210" s="50" t="n">
        <v>1</v>
      </c>
      <c r="U210" s="50" t="n">
        <v>1</v>
      </c>
      <c r="W210" s="1"/>
      <c r="X210" s="1"/>
      <c r="Y210" s="1"/>
      <c r="Z210" s="1"/>
    </row>
    <row r="211" customFormat="false" ht="15.75" hidden="false" customHeight="true" outlineLevel="0" collapsed="false">
      <c r="A211" s="13" t="s">
        <v>436</v>
      </c>
      <c r="B211" s="50" t="n">
        <v>1</v>
      </c>
      <c r="C211" s="50" t="n">
        <v>1</v>
      </c>
      <c r="D211" s="50" t="n">
        <v>1</v>
      </c>
      <c r="E211" s="50" t="n">
        <v>1</v>
      </c>
      <c r="F211" s="50" t="n">
        <v>1</v>
      </c>
      <c r="G211" s="50" t="n">
        <v>1</v>
      </c>
      <c r="H211" s="50" t="n">
        <v>1</v>
      </c>
      <c r="I211" s="50" t="n">
        <v>1</v>
      </c>
      <c r="J211" s="50" t="n">
        <v>1</v>
      </c>
      <c r="K211" s="50" t="n">
        <v>1</v>
      </c>
      <c r="L211" s="50" t="n">
        <v>1</v>
      </c>
      <c r="M211" s="50" t="n">
        <v>1</v>
      </c>
      <c r="N211" s="50" t="n">
        <v>1</v>
      </c>
      <c r="O211" s="50" t="n">
        <v>1</v>
      </c>
      <c r="P211" s="50" t="n">
        <v>1</v>
      </c>
      <c r="Q211" s="50" t="n">
        <v>1</v>
      </c>
      <c r="R211" s="50" t="n">
        <v>1</v>
      </c>
      <c r="S211" s="50" t="n">
        <v>1</v>
      </c>
      <c r="T211" s="50" t="n">
        <v>1</v>
      </c>
      <c r="U211" s="50" t="n">
        <v>1</v>
      </c>
      <c r="W211" s="1"/>
      <c r="X211" s="1"/>
      <c r="Y211" s="1"/>
      <c r="Z211" s="1"/>
    </row>
    <row r="212" customFormat="false" ht="15.75" hidden="false" customHeight="true" outlineLevel="0" collapsed="false">
      <c r="A212" s="13" t="s">
        <v>437</v>
      </c>
      <c r="B212" s="50" t="n">
        <v>1</v>
      </c>
      <c r="C212" s="50" t="n">
        <v>1</v>
      </c>
      <c r="D212" s="50" t="n">
        <v>1</v>
      </c>
      <c r="E212" s="50" t="n">
        <v>1</v>
      </c>
      <c r="F212" s="50" t="n">
        <v>1</v>
      </c>
      <c r="G212" s="50" t="n">
        <v>2</v>
      </c>
      <c r="H212" s="50" t="n">
        <v>2</v>
      </c>
      <c r="I212" s="50" t="n">
        <v>2</v>
      </c>
      <c r="J212" s="50" t="n">
        <v>2</v>
      </c>
      <c r="K212" s="50" t="n">
        <v>2</v>
      </c>
      <c r="L212" s="50" t="n">
        <v>1</v>
      </c>
      <c r="M212" s="50" t="n">
        <v>1</v>
      </c>
      <c r="N212" s="50" t="n">
        <v>1</v>
      </c>
      <c r="O212" s="50" t="n">
        <v>1</v>
      </c>
      <c r="P212" s="50" t="n">
        <v>1</v>
      </c>
      <c r="Q212" s="50" t="n">
        <v>1</v>
      </c>
      <c r="R212" s="50" t="n">
        <v>2</v>
      </c>
      <c r="S212" s="50" t="n">
        <v>2</v>
      </c>
      <c r="T212" s="50" t="n">
        <v>2</v>
      </c>
      <c r="U212" s="50" t="n">
        <v>2</v>
      </c>
      <c r="W212" s="1"/>
      <c r="X212" s="1"/>
      <c r="Y212" s="1"/>
      <c r="Z212" s="1"/>
    </row>
    <row r="213" customFormat="false" ht="15.75" hidden="false" customHeight="true" outlineLevel="0" collapsed="false">
      <c r="W213" s="1"/>
      <c r="X213" s="1"/>
      <c r="Y213" s="1"/>
      <c r="Z213" s="1"/>
    </row>
    <row r="214" customFormat="false" ht="15.75" hidden="false" customHeight="true" outlineLevel="0" collapsed="false">
      <c r="A214" s="9" t="s">
        <v>881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W214" s="1"/>
      <c r="X214" s="1"/>
      <c r="Y214" s="1"/>
      <c r="Z214" s="1"/>
    </row>
    <row r="215" customFormat="false" ht="30" hidden="false" customHeight="true" outlineLevel="0" collapsed="false">
      <c r="A215" s="10" t="s">
        <v>372</v>
      </c>
      <c r="B215" s="10" t="s">
        <v>860</v>
      </c>
      <c r="C215" s="10" t="s">
        <v>861</v>
      </c>
      <c r="D215" s="10" t="s">
        <v>862</v>
      </c>
      <c r="E215" s="10" t="s">
        <v>863</v>
      </c>
      <c r="F215" s="10" t="s">
        <v>864</v>
      </c>
      <c r="G215" s="10" t="s">
        <v>865</v>
      </c>
      <c r="H215" s="10" t="s">
        <v>866</v>
      </c>
      <c r="I215" s="10" t="s">
        <v>867</v>
      </c>
      <c r="J215" s="10" t="s">
        <v>868</v>
      </c>
      <c r="K215" s="10" t="s">
        <v>869</v>
      </c>
      <c r="L215" s="10" t="s">
        <v>870</v>
      </c>
      <c r="M215" s="10" t="s">
        <v>871</v>
      </c>
      <c r="N215" s="10" t="s">
        <v>872</v>
      </c>
      <c r="O215" s="10" t="s">
        <v>873</v>
      </c>
      <c r="P215" s="10" t="s">
        <v>874</v>
      </c>
      <c r="Q215" s="10" t="s">
        <v>875</v>
      </c>
      <c r="R215" s="10" t="s">
        <v>876</v>
      </c>
      <c r="S215" s="10" t="s">
        <v>877</v>
      </c>
      <c r="T215" s="10" t="s">
        <v>878</v>
      </c>
      <c r="U215" s="10" t="s">
        <v>879</v>
      </c>
      <c r="W215" s="1"/>
      <c r="X215" s="1"/>
      <c r="Y215" s="1"/>
      <c r="Z215" s="1"/>
    </row>
    <row r="216" customFormat="false" ht="15.75" hidden="false" customHeight="true" outlineLevel="0" collapsed="false">
      <c r="A216" s="13" t="s">
        <v>392</v>
      </c>
      <c r="B216" s="50" t="n">
        <v>1</v>
      </c>
      <c r="C216" s="50" t="n">
        <v>1</v>
      </c>
      <c r="D216" s="50" t="n">
        <v>1</v>
      </c>
      <c r="E216" s="50" t="n">
        <v>1</v>
      </c>
      <c r="F216" s="50" t="n">
        <v>1</v>
      </c>
      <c r="G216" s="50" t="n">
        <v>1</v>
      </c>
      <c r="H216" s="50" t="n">
        <v>1</v>
      </c>
      <c r="I216" s="50" t="n">
        <v>1</v>
      </c>
      <c r="J216" s="50" t="n">
        <v>1</v>
      </c>
      <c r="K216" s="50" t="n">
        <v>1</v>
      </c>
      <c r="L216" s="50" t="n">
        <v>1</v>
      </c>
      <c r="M216" s="50" t="n">
        <v>1</v>
      </c>
      <c r="N216" s="50" t="n">
        <v>1</v>
      </c>
      <c r="O216" s="50" t="n">
        <v>1</v>
      </c>
      <c r="P216" s="50" t="n">
        <v>1</v>
      </c>
      <c r="Q216" s="50" t="n">
        <v>1</v>
      </c>
      <c r="R216" s="50" t="n">
        <v>1</v>
      </c>
      <c r="S216" s="50" t="n">
        <v>1</v>
      </c>
      <c r="T216" s="50" t="n">
        <v>1</v>
      </c>
      <c r="U216" s="50" t="n">
        <v>1</v>
      </c>
      <c r="W216" s="1"/>
      <c r="X216" s="1"/>
      <c r="Y216" s="1"/>
      <c r="Z216" s="1"/>
    </row>
    <row r="217" customFormat="false" ht="15.75" hidden="false" customHeight="true" outlineLevel="0" collapsed="false">
      <c r="A217" s="13" t="s">
        <v>457</v>
      </c>
      <c r="B217" s="50" t="n">
        <v>1</v>
      </c>
      <c r="C217" s="50" t="n">
        <v>1</v>
      </c>
      <c r="D217" s="50" t="n">
        <v>1</v>
      </c>
      <c r="E217" s="50" t="n">
        <v>1</v>
      </c>
      <c r="F217" s="50" t="n">
        <v>1</v>
      </c>
      <c r="G217" s="50" t="n">
        <v>1</v>
      </c>
      <c r="H217" s="50" t="n">
        <v>1</v>
      </c>
      <c r="I217" s="50" t="n">
        <v>1</v>
      </c>
      <c r="J217" s="50" t="n">
        <v>1</v>
      </c>
      <c r="K217" s="50" t="n">
        <v>1</v>
      </c>
      <c r="L217" s="50" t="n">
        <v>1</v>
      </c>
      <c r="M217" s="50" t="n">
        <v>1</v>
      </c>
      <c r="N217" s="50" t="n">
        <v>1</v>
      </c>
      <c r="O217" s="50" t="n">
        <v>1</v>
      </c>
      <c r="P217" s="50" t="n">
        <v>1</v>
      </c>
      <c r="Q217" s="50" t="n">
        <v>1</v>
      </c>
      <c r="R217" s="50" t="n">
        <v>1</v>
      </c>
      <c r="S217" s="50" t="n">
        <v>1</v>
      </c>
      <c r="T217" s="50" t="n">
        <v>1</v>
      </c>
      <c r="U217" s="50" t="n">
        <v>1</v>
      </c>
      <c r="W217" s="1"/>
      <c r="X217" s="1"/>
      <c r="Y217" s="1"/>
      <c r="Z217" s="1"/>
    </row>
    <row r="218" customFormat="false" ht="15.75" hidden="false" customHeight="true" outlineLevel="0" collapsed="false">
      <c r="A218" s="13" t="s">
        <v>460</v>
      </c>
      <c r="B218" s="50" t="n">
        <v>0</v>
      </c>
      <c r="C218" s="50" t="n">
        <v>0</v>
      </c>
      <c r="D218" s="50" t="n">
        <v>0</v>
      </c>
      <c r="E218" s="50" t="n">
        <v>0</v>
      </c>
      <c r="F218" s="50" t="n">
        <v>0</v>
      </c>
      <c r="G218" s="50" t="n">
        <v>0</v>
      </c>
      <c r="H218" s="50" t="n">
        <v>0</v>
      </c>
      <c r="I218" s="50" t="n">
        <v>0</v>
      </c>
      <c r="J218" s="50" t="n">
        <v>0</v>
      </c>
      <c r="K218" s="50" t="n">
        <v>0</v>
      </c>
      <c r="L218" s="50" t="n">
        <v>1</v>
      </c>
      <c r="M218" s="50" t="n">
        <v>1</v>
      </c>
      <c r="N218" s="50" t="n">
        <v>1</v>
      </c>
      <c r="O218" s="50" t="n">
        <v>1</v>
      </c>
      <c r="P218" s="50" t="n">
        <v>1</v>
      </c>
      <c r="Q218" s="50" t="n">
        <v>1</v>
      </c>
      <c r="R218" s="50" t="n">
        <v>1</v>
      </c>
      <c r="S218" s="50" t="n">
        <v>1</v>
      </c>
      <c r="T218" s="50" t="n">
        <v>1</v>
      </c>
      <c r="U218" s="50" t="n">
        <v>1</v>
      </c>
      <c r="V218" s="13" t="s">
        <v>882</v>
      </c>
      <c r="W218" s="1"/>
      <c r="X218" s="1"/>
      <c r="Y218" s="1"/>
      <c r="Z218" s="1"/>
    </row>
    <row r="219" customFormat="false" ht="15.75" hidden="false" customHeight="true" outlineLevel="0" collapsed="false">
      <c r="A219" s="13" t="s">
        <v>407</v>
      </c>
      <c r="B219" s="50" t="n">
        <v>1</v>
      </c>
      <c r="C219" s="50" t="n">
        <v>1</v>
      </c>
      <c r="D219" s="50" t="n">
        <v>1</v>
      </c>
      <c r="E219" s="50" t="n">
        <v>1</v>
      </c>
      <c r="F219" s="50" t="n">
        <v>1</v>
      </c>
      <c r="G219" s="50" t="n">
        <v>1</v>
      </c>
      <c r="H219" s="50" t="n">
        <v>1</v>
      </c>
      <c r="I219" s="50" t="n">
        <v>1</v>
      </c>
      <c r="J219" s="50" t="n">
        <v>1</v>
      </c>
      <c r="K219" s="50" t="n">
        <v>1</v>
      </c>
      <c r="L219" s="50" t="n">
        <v>1</v>
      </c>
      <c r="M219" s="50" t="n">
        <v>1</v>
      </c>
      <c r="N219" s="50" t="n">
        <v>1</v>
      </c>
      <c r="O219" s="50" t="n">
        <v>1</v>
      </c>
      <c r="P219" s="50" t="n">
        <v>1</v>
      </c>
      <c r="Q219" s="50" t="n">
        <v>1</v>
      </c>
      <c r="R219" s="50" t="n">
        <v>1</v>
      </c>
      <c r="S219" s="50" t="n">
        <v>1</v>
      </c>
      <c r="T219" s="50" t="n">
        <v>1</v>
      </c>
      <c r="U219" s="50" t="n">
        <v>1</v>
      </c>
      <c r="W219" s="1"/>
      <c r="X219" s="1"/>
      <c r="Y219" s="1"/>
      <c r="Z219" s="1"/>
    </row>
    <row r="220" customFormat="false" ht="15.75" hidden="false" customHeight="true" outlineLevel="0" collapsed="false">
      <c r="A220" s="13" t="s">
        <v>464</v>
      </c>
      <c r="B220" s="50" t="n">
        <v>1</v>
      </c>
      <c r="C220" s="50" t="n">
        <v>1</v>
      </c>
      <c r="D220" s="50" t="n">
        <v>1</v>
      </c>
      <c r="E220" s="50" t="n">
        <v>1</v>
      </c>
      <c r="F220" s="50" t="n">
        <v>1</v>
      </c>
      <c r="G220" s="50" t="n">
        <v>1</v>
      </c>
      <c r="H220" s="50" t="n">
        <v>1</v>
      </c>
      <c r="I220" s="50" t="n">
        <v>1</v>
      </c>
      <c r="J220" s="50" t="n">
        <v>1</v>
      </c>
      <c r="K220" s="50" t="n">
        <v>1</v>
      </c>
      <c r="L220" s="50" t="n">
        <v>1</v>
      </c>
      <c r="M220" s="50" t="n">
        <v>1</v>
      </c>
      <c r="N220" s="50" t="n">
        <v>1</v>
      </c>
      <c r="O220" s="50" t="n">
        <v>1</v>
      </c>
      <c r="P220" s="50" t="n">
        <v>1</v>
      </c>
      <c r="Q220" s="50" t="n">
        <v>1</v>
      </c>
      <c r="R220" s="50" t="n">
        <v>1</v>
      </c>
      <c r="S220" s="50" t="n">
        <v>1</v>
      </c>
      <c r="T220" s="50" t="n">
        <v>1</v>
      </c>
      <c r="U220" s="50" t="n">
        <v>1</v>
      </c>
      <c r="W220" s="1"/>
      <c r="X220" s="1"/>
      <c r="Y220" s="1"/>
      <c r="Z220" s="1"/>
    </row>
    <row r="221" customFormat="false" ht="15.75" hidden="false" customHeight="true" outlineLevel="0" collapsed="false">
      <c r="A221" s="13" t="s">
        <v>466</v>
      </c>
      <c r="B221" s="50" t="n">
        <v>1</v>
      </c>
      <c r="C221" s="50" t="n">
        <v>1</v>
      </c>
      <c r="D221" s="50" t="n">
        <v>1</v>
      </c>
      <c r="E221" s="50" t="n">
        <v>1</v>
      </c>
      <c r="F221" s="50" t="n">
        <v>1</v>
      </c>
      <c r="G221" s="50" t="n">
        <v>1</v>
      </c>
      <c r="H221" s="50" t="n">
        <v>1</v>
      </c>
      <c r="I221" s="50" t="n">
        <v>1</v>
      </c>
      <c r="J221" s="50" t="n">
        <v>1</v>
      </c>
      <c r="K221" s="50" t="n">
        <v>1</v>
      </c>
      <c r="L221" s="50" t="n">
        <v>1</v>
      </c>
      <c r="M221" s="50" t="n">
        <v>1</v>
      </c>
      <c r="N221" s="50" t="n">
        <v>1</v>
      </c>
      <c r="O221" s="50" t="n">
        <v>1</v>
      </c>
      <c r="P221" s="50" t="n">
        <v>1</v>
      </c>
      <c r="Q221" s="50" t="n">
        <v>1</v>
      </c>
      <c r="R221" s="50" t="n">
        <v>1</v>
      </c>
      <c r="S221" s="50" t="n">
        <v>1</v>
      </c>
      <c r="T221" s="50" t="n">
        <v>1</v>
      </c>
      <c r="U221" s="50" t="n">
        <v>1</v>
      </c>
      <c r="W221" s="1"/>
      <c r="X221" s="1"/>
      <c r="Y221" s="1"/>
      <c r="Z221" s="1"/>
    </row>
    <row r="222" customFormat="false" ht="15.75" hidden="false" customHeight="true" outlineLevel="0" collapsed="false">
      <c r="A222" s="13" t="s">
        <v>468</v>
      </c>
      <c r="B222" s="50" t="n">
        <v>1</v>
      </c>
      <c r="C222" s="50" t="n">
        <v>1</v>
      </c>
      <c r="D222" s="50" t="n">
        <v>1</v>
      </c>
      <c r="E222" s="50" t="n">
        <v>1</v>
      </c>
      <c r="F222" s="50" t="n">
        <v>1</v>
      </c>
      <c r="G222" s="50" t="n">
        <v>1</v>
      </c>
      <c r="H222" s="50" t="n">
        <v>1</v>
      </c>
      <c r="I222" s="50" t="n">
        <v>1</v>
      </c>
      <c r="J222" s="50" t="n">
        <v>1</v>
      </c>
      <c r="K222" s="50" t="n">
        <v>1</v>
      </c>
      <c r="L222" s="50" t="n">
        <v>1</v>
      </c>
      <c r="M222" s="50" t="n">
        <v>1</v>
      </c>
      <c r="N222" s="50" t="n">
        <v>1</v>
      </c>
      <c r="O222" s="50" t="n">
        <v>1</v>
      </c>
      <c r="P222" s="50" t="n">
        <v>1</v>
      </c>
      <c r="Q222" s="50" t="n">
        <v>1</v>
      </c>
      <c r="R222" s="50" t="n">
        <v>1</v>
      </c>
      <c r="S222" s="50" t="n">
        <v>1</v>
      </c>
      <c r="T222" s="50" t="n">
        <v>1</v>
      </c>
      <c r="U222" s="50" t="n">
        <v>1</v>
      </c>
      <c r="W222" s="1"/>
      <c r="X222" s="1"/>
      <c r="Y222" s="1"/>
      <c r="Z222" s="1"/>
    </row>
    <row r="223" customFormat="false" ht="15.75" hidden="false" customHeight="true" outlineLevel="0" collapsed="false">
      <c r="A223" s="13" t="s">
        <v>470</v>
      </c>
      <c r="B223" s="50" t="n">
        <v>1</v>
      </c>
      <c r="C223" s="50" t="n">
        <v>1</v>
      </c>
      <c r="D223" s="50" t="n">
        <v>1</v>
      </c>
      <c r="E223" s="50" t="n">
        <v>1</v>
      </c>
      <c r="F223" s="50" t="n">
        <v>1</v>
      </c>
      <c r="G223" s="50" t="n">
        <v>1</v>
      </c>
      <c r="H223" s="50" t="n">
        <v>1</v>
      </c>
      <c r="I223" s="50" t="n">
        <v>1</v>
      </c>
      <c r="J223" s="50" t="n">
        <v>1</v>
      </c>
      <c r="K223" s="50" t="n">
        <v>1</v>
      </c>
      <c r="L223" s="50" t="n">
        <v>1</v>
      </c>
      <c r="M223" s="50" t="n">
        <v>1</v>
      </c>
      <c r="N223" s="50" t="n">
        <v>1</v>
      </c>
      <c r="O223" s="50" t="n">
        <v>1</v>
      </c>
      <c r="P223" s="50" t="n">
        <v>1</v>
      </c>
      <c r="Q223" s="50" t="n">
        <v>1</v>
      </c>
      <c r="R223" s="50" t="n">
        <v>1</v>
      </c>
      <c r="S223" s="50" t="n">
        <v>1</v>
      </c>
      <c r="T223" s="50" t="n">
        <v>1</v>
      </c>
      <c r="U223" s="50" t="n">
        <v>1</v>
      </c>
      <c r="W223" s="1"/>
      <c r="X223" s="1"/>
      <c r="Y223" s="1"/>
      <c r="Z223" s="1"/>
    </row>
    <row r="224" customFormat="false" ht="15.75" hidden="false" customHeight="true" outlineLevel="0" collapsed="false">
      <c r="A224" s="13" t="s">
        <v>472</v>
      </c>
      <c r="B224" s="50" t="n">
        <v>1</v>
      </c>
      <c r="C224" s="50" t="n">
        <v>1</v>
      </c>
      <c r="D224" s="50" t="n">
        <v>1</v>
      </c>
      <c r="E224" s="50" t="n">
        <v>1</v>
      </c>
      <c r="F224" s="50" t="n">
        <v>1</v>
      </c>
      <c r="G224" s="50" t="n">
        <v>1</v>
      </c>
      <c r="H224" s="50" t="n">
        <v>1</v>
      </c>
      <c r="I224" s="50" t="n">
        <v>1</v>
      </c>
      <c r="J224" s="50" t="n">
        <v>1</v>
      </c>
      <c r="K224" s="50" t="n">
        <v>1</v>
      </c>
      <c r="L224" s="50" t="n">
        <v>1</v>
      </c>
      <c r="M224" s="50" t="n">
        <v>1</v>
      </c>
      <c r="N224" s="50" t="n">
        <v>1</v>
      </c>
      <c r="O224" s="50" t="n">
        <v>1</v>
      </c>
      <c r="P224" s="50" t="n">
        <v>1</v>
      </c>
      <c r="Q224" s="50" t="n">
        <v>1</v>
      </c>
      <c r="R224" s="50" t="n">
        <v>1</v>
      </c>
      <c r="S224" s="50" t="n">
        <v>1</v>
      </c>
      <c r="T224" s="50" t="n">
        <v>1</v>
      </c>
      <c r="U224" s="50" t="n">
        <v>1</v>
      </c>
      <c r="W224" s="1"/>
      <c r="X224" s="1"/>
      <c r="Y224" s="1"/>
      <c r="Z224" s="1"/>
    </row>
    <row r="225" customFormat="false" ht="15.75" hidden="false" customHeight="true" outlineLevel="0" collapsed="false">
      <c r="A225" s="13" t="s">
        <v>474</v>
      </c>
      <c r="B225" s="50" t="n">
        <v>1</v>
      </c>
      <c r="C225" s="50" t="n">
        <v>1</v>
      </c>
      <c r="D225" s="50" t="n">
        <v>1</v>
      </c>
      <c r="E225" s="50" t="n">
        <v>1</v>
      </c>
      <c r="F225" s="50" t="n">
        <v>1</v>
      </c>
      <c r="G225" s="50" t="n">
        <v>1</v>
      </c>
      <c r="H225" s="50" t="n">
        <v>1</v>
      </c>
      <c r="I225" s="50" t="n">
        <v>1</v>
      </c>
      <c r="J225" s="50" t="n">
        <v>1</v>
      </c>
      <c r="K225" s="50" t="n">
        <v>1</v>
      </c>
      <c r="L225" s="50" t="n">
        <v>1</v>
      </c>
      <c r="M225" s="50" t="n">
        <v>1</v>
      </c>
      <c r="N225" s="50" t="n">
        <v>1</v>
      </c>
      <c r="O225" s="50" t="n">
        <v>1</v>
      </c>
      <c r="P225" s="50" t="n">
        <v>1</v>
      </c>
      <c r="Q225" s="50" t="n">
        <v>1</v>
      </c>
      <c r="R225" s="50" t="n">
        <v>1</v>
      </c>
      <c r="S225" s="50" t="n">
        <v>1</v>
      </c>
      <c r="T225" s="50" t="n">
        <v>1</v>
      </c>
      <c r="U225" s="50" t="n">
        <v>1</v>
      </c>
      <c r="W225" s="1"/>
      <c r="X225" s="1"/>
      <c r="Y225" s="1"/>
      <c r="Z225" s="1"/>
    </row>
    <row r="226" customFormat="false" ht="15.75" hidden="false" customHeight="true" outlineLevel="0" collapsed="false">
      <c r="A226" s="13" t="s">
        <v>423</v>
      </c>
      <c r="B226" s="50" t="n">
        <v>1</v>
      </c>
      <c r="C226" s="50" t="n">
        <v>1</v>
      </c>
      <c r="D226" s="50" t="n">
        <v>1</v>
      </c>
      <c r="E226" s="50" t="n">
        <v>1</v>
      </c>
      <c r="F226" s="50" t="n">
        <v>1</v>
      </c>
      <c r="G226" s="50" t="n">
        <v>1</v>
      </c>
      <c r="H226" s="50" t="n">
        <v>1</v>
      </c>
      <c r="I226" s="50" t="n">
        <v>1</v>
      </c>
      <c r="J226" s="50" t="n">
        <v>1</v>
      </c>
      <c r="K226" s="50" t="n">
        <v>1</v>
      </c>
      <c r="L226" s="50" t="n">
        <v>1</v>
      </c>
      <c r="M226" s="50" t="n">
        <v>1</v>
      </c>
      <c r="N226" s="50" t="n">
        <v>1</v>
      </c>
      <c r="O226" s="50" t="n">
        <v>1</v>
      </c>
      <c r="P226" s="50" t="n">
        <v>1</v>
      </c>
      <c r="Q226" s="50" t="n">
        <v>1</v>
      </c>
      <c r="R226" s="50" t="n">
        <v>1</v>
      </c>
      <c r="S226" s="50" t="n">
        <v>1</v>
      </c>
      <c r="T226" s="50" t="n">
        <v>1</v>
      </c>
      <c r="U226" s="50" t="n">
        <v>1</v>
      </c>
      <c r="W226" s="1"/>
      <c r="X226" s="1"/>
      <c r="Y226" s="1"/>
      <c r="Z226" s="1"/>
    </row>
    <row r="227" customFormat="false" ht="15.75" hidden="false" customHeight="true" outlineLevel="0" collapsed="false">
      <c r="A227" s="13" t="s">
        <v>424</v>
      </c>
      <c r="B227" s="50" t="n">
        <v>1</v>
      </c>
      <c r="C227" s="50" t="n">
        <v>1</v>
      </c>
      <c r="D227" s="50" t="n">
        <v>1</v>
      </c>
      <c r="E227" s="50" t="n">
        <v>1</v>
      </c>
      <c r="F227" s="50" t="n">
        <v>1</v>
      </c>
      <c r="G227" s="50" t="n">
        <v>1</v>
      </c>
      <c r="H227" s="50" t="n">
        <v>1</v>
      </c>
      <c r="I227" s="50" t="n">
        <v>1</v>
      </c>
      <c r="J227" s="50" t="n">
        <v>1</v>
      </c>
      <c r="K227" s="50" t="n">
        <v>1</v>
      </c>
      <c r="L227" s="50" t="n">
        <v>1</v>
      </c>
      <c r="M227" s="50" t="n">
        <v>1</v>
      </c>
      <c r="N227" s="50" t="n">
        <v>1</v>
      </c>
      <c r="O227" s="50" t="n">
        <v>1</v>
      </c>
      <c r="P227" s="50" t="n">
        <v>1</v>
      </c>
      <c r="Q227" s="50" t="n">
        <v>1</v>
      </c>
      <c r="R227" s="50" t="n">
        <v>1</v>
      </c>
      <c r="S227" s="50" t="n">
        <v>1</v>
      </c>
      <c r="T227" s="50" t="n">
        <v>1</v>
      </c>
      <c r="U227" s="50" t="n">
        <v>1</v>
      </c>
      <c r="W227" s="1"/>
      <c r="X227" s="1"/>
      <c r="Y227" s="1"/>
      <c r="Z227" s="1"/>
    </row>
    <row r="228" customFormat="false" ht="15.75" hidden="false" customHeight="true" outlineLevel="0" collapsed="false">
      <c r="A228" s="13" t="s">
        <v>478</v>
      </c>
      <c r="B228" s="50" t="n">
        <v>1</v>
      </c>
      <c r="C228" s="50" t="n">
        <v>1</v>
      </c>
      <c r="D228" s="50" t="n">
        <v>1</v>
      </c>
      <c r="E228" s="50" t="n">
        <v>1</v>
      </c>
      <c r="F228" s="50" t="n">
        <v>1</v>
      </c>
      <c r="G228" s="50" t="n">
        <v>1</v>
      </c>
      <c r="H228" s="50" t="n">
        <v>1</v>
      </c>
      <c r="I228" s="50" t="n">
        <v>1</v>
      </c>
      <c r="J228" s="50" t="n">
        <v>1</v>
      </c>
      <c r="K228" s="50" t="n">
        <v>1</v>
      </c>
      <c r="L228" s="50" t="n">
        <v>1</v>
      </c>
      <c r="M228" s="50" t="n">
        <v>1</v>
      </c>
      <c r="N228" s="50" t="n">
        <v>1</v>
      </c>
      <c r="O228" s="50" t="n">
        <v>1</v>
      </c>
      <c r="P228" s="50" t="n">
        <v>1</v>
      </c>
      <c r="Q228" s="50" t="n">
        <v>1</v>
      </c>
      <c r="R228" s="50" t="n">
        <v>1</v>
      </c>
      <c r="S228" s="50" t="n">
        <v>1</v>
      </c>
      <c r="T228" s="50" t="n">
        <v>1</v>
      </c>
      <c r="U228" s="50" t="n">
        <v>1</v>
      </c>
      <c r="W228" s="1"/>
      <c r="X228" s="1"/>
      <c r="Y228" s="1"/>
      <c r="Z228" s="1"/>
    </row>
    <row r="229" customFormat="false" ht="15.75" hidden="false" customHeight="true" outlineLevel="0" collapsed="false">
      <c r="A229" s="13" t="s">
        <v>480</v>
      </c>
      <c r="B229" s="50" t="n">
        <v>1</v>
      </c>
      <c r="C229" s="50" t="n">
        <v>1</v>
      </c>
      <c r="D229" s="50" t="n">
        <v>1</v>
      </c>
      <c r="E229" s="50" t="n">
        <v>1</v>
      </c>
      <c r="F229" s="50" t="n">
        <v>1</v>
      </c>
      <c r="G229" s="50" t="n">
        <v>1</v>
      </c>
      <c r="H229" s="50" t="n">
        <v>1</v>
      </c>
      <c r="I229" s="50" t="n">
        <v>1</v>
      </c>
      <c r="J229" s="50" t="n">
        <v>1</v>
      </c>
      <c r="K229" s="50" t="n">
        <v>1</v>
      </c>
      <c r="L229" s="50" t="n">
        <v>1</v>
      </c>
      <c r="M229" s="50" t="n">
        <v>1</v>
      </c>
      <c r="N229" s="50" t="n">
        <v>1</v>
      </c>
      <c r="O229" s="50" t="n">
        <v>1</v>
      </c>
      <c r="P229" s="50" t="n">
        <v>1</v>
      </c>
      <c r="Q229" s="50" t="n">
        <v>1</v>
      </c>
      <c r="R229" s="50" t="n">
        <v>1</v>
      </c>
      <c r="S229" s="50" t="n">
        <v>1</v>
      </c>
      <c r="T229" s="50" t="n">
        <v>1</v>
      </c>
      <c r="U229" s="50" t="n">
        <v>1</v>
      </c>
      <c r="W229" s="1"/>
      <c r="X229" s="1"/>
      <c r="Y229" s="1"/>
      <c r="Z229" s="1"/>
    </row>
    <row r="230" customFormat="false" ht="15.75" hidden="false" customHeight="true" outlineLevel="0" collapsed="false">
      <c r="A230" s="13" t="s">
        <v>483</v>
      </c>
      <c r="B230" s="50" t="n">
        <v>1</v>
      </c>
      <c r="C230" s="50" t="n">
        <v>1</v>
      </c>
      <c r="D230" s="50" t="n">
        <v>1</v>
      </c>
      <c r="E230" s="50" t="n">
        <v>1</v>
      </c>
      <c r="F230" s="50" t="n">
        <v>1</v>
      </c>
      <c r="G230" s="50" t="n">
        <v>1</v>
      </c>
      <c r="H230" s="50" t="n">
        <v>1</v>
      </c>
      <c r="I230" s="50" t="n">
        <v>1</v>
      </c>
      <c r="J230" s="50" t="n">
        <v>1</v>
      </c>
      <c r="K230" s="50" t="n">
        <v>1</v>
      </c>
      <c r="L230" s="50" t="n">
        <v>1</v>
      </c>
      <c r="M230" s="50" t="n">
        <v>1</v>
      </c>
      <c r="N230" s="50" t="n">
        <v>1</v>
      </c>
      <c r="O230" s="50" t="n">
        <v>1</v>
      </c>
      <c r="P230" s="50" t="n">
        <v>1</v>
      </c>
      <c r="Q230" s="50" t="n">
        <v>1</v>
      </c>
      <c r="R230" s="50" t="n">
        <v>1</v>
      </c>
      <c r="S230" s="50" t="n">
        <v>1</v>
      </c>
      <c r="T230" s="50" t="n">
        <v>1</v>
      </c>
      <c r="U230" s="50" t="n">
        <v>1</v>
      </c>
      <c r="W230" s="1"/>
      <c r="X230" s="1"/>
      <c r="Y230" s="1"/>
      <c r="Z230" s="1"/>
    </row>
    <row r="231" customFormat="false" ht="15.75" hidden="false" customHeight="true" outlineLevel="0" collapsed="false">
      <c r="A231" s="13" t="s">
        <v>485</v>
      </c>
      <c r="B231" s="50" t="n">
        <v>1</v>
      </c>
      <c r="C231" s="50" t="n">
        <v>1</v>
      </c>
      <c r="D231" s="50" t="n">
        <v>1</v>
      </c>
      <c r="E231" s="50" t="n">
        <v>1</v>
      </c>
      <c r="F231" s="50" t="n">
        <v>1</v>
      </c>
      <c r="G231" s="50" t="n">
        <v>1</v>
      </c>
      <c r="H231" s="50" t="n">
        <v>1</v>
      </c>
      <c r="I231" s="50" t="n">
        <v>1</v>
      </c>
      <c r="J231" s="50" t="n">
        <v>1</v>
      </c>
      <c r="K231" s="50" t="n">
        <v>1</v>
      </c>
      <c r="L231" s="50" t="n">
        <v>1</v>
      </c>
      <c r="M231" s="50" t="n">
        <v>1</v>
      </c>
      <c r="N231" s="50" t="n">
        <v>1</v>
      </c>
      <c r="O231" s="50" t="n">
        <v>1</v>
      </c>
      <c r="P231" s="50" t="n">
        <v>1</v>
      </c>
      <c r="Q231" s="50" t="n">
        <v>1</v>
      </c>
      <c r="R231" s="50" t="n">
        <v>1</v>
      </c>
      <c r="S231" s="50" t="n">
        <v>1</v>
      </c>
      <c r="T231" s="50" t="n">
        <v>1</v>
      </c>
      <c r="U231" s="50" t="n">
        <v>1</v>
      </c>
      <c r="W231" s="1"/>
      <c r="X231" s="1"/>
      <c r="Y231" s="1"/>
      <c r="Z231" s="1"/>
    </row>
    <row r="232" customFormat="false" ht="15.75" hidden="false" customHeight="true" outlineLevel="0" collapsed="false">
      <c r="A232" s="13" t="s">
        <v>487</v>
      </c>
      <c r="B232" s="50" t="n">
        <v>1</v>
      </c>
      <c r="C232" s="50" t="n">
        <v>1</v>
      </c>
      <c r="D232" s="50" t="n">
        <v>1</v>
      </c>
      <c r="E232" s="50" t="n">
        <v>1</v>
      </c>
      <c r="F232" s="50" t="n">
        <v>1</v>
      </c>
      <c r="G232" s="50" t="n">
        <v>1</v>
      </c>
      <c r="H232" s="50" t="n">
        <v>1</v>
      </c>
      <c r="I232" s="50" t="n">
        <v>1</v>
      </c>
      <c r="J232" s="50" t="n">
        <v>1</v>
      </c>
      <c r="K232" s="50" t="n">
        <v>1</v>
      </c>
      <c r="L232" s="50" t="n">
        <v>1</v>
      </c>
      <c r="M232" s="50" t="n">
        <v>1</v>
      </c>
      <c r="N232" s="50" t="n">
        <v>1</v>
      </c>
      <c r="O232" s="50" t="n">
        <v>1</v>
      </c>
      <c r="P232" s="50" t="n">
        <v>1</v>
      </c>
      <c r="Q232" s="50" t="n">
        <v>1</v>
      </c>
      <c r="R232" s="50" t="n">
        <v>1</v>
      </c>
      <c r="S232" s="50" t="n">
        <v>1</v>
      </c>
      <c r="T232" s="50" t="n">
        <v>1</v>
      </c>
      <c r="U232" s="50" t="n">
        <v>1</v>
      </c>
      <c r="W232" s="1"/>
      <c r="X232" s="1"/>
      <c r="Y232" s="1"/>
      <c r="Z232" s="1"/>
    </row>
    <row r="233" customFormat="false" ht="15.75" hidden="false" customHeight="true" outlineLevel="0" collapsed="false">
      <c r="A233" s="13" t="s">
        <v>490</v>
      </c>
      <c r="B233" s="50" t="n">
        <v>1</v>
      </c>
      <c r="C233" s="50" t="n">
        <v>1</v>
      </c>
      <c r="D233" s="50" t="n">
        <v>1</v>
      </c>
      <c r="E233" s="50" t="n">
        <v>1</v>
      </c>
      <c r="F233" s="50" t="n">
        <v>1</v>
      </c>
      <c r="G233" s="50" t="n">
        <v>1</v>
      </c>
      <c r="H233" s="50" t="n">
        <v>1</v>
      </c>
      <c r="I233" s="50" t="n">
        <v>1</v>
      </c>
      <c r="J233" s="50" t="n">
        <v>1</v>
      </c>
      <c r="K233" s="50" t="n">
        <v>1</v>
      </c>
      <c r="L233" s="50" t="n">
        <v>1</v>
      </c>
      <c r="M233" s="50" t="n">
        <v>1</v>
      </c>
      <c r="N233" s="50" t="n">
        <v>1</v>
      </c>
      <c r="O233" s="50" t="n">
        <v>1</v>
      </c>
      <c r="P233" s="50" t="n">
        <v>1</v>
      </c>
      <c r="Q233" s="50" t="n">
        <v>1</v>
      </c>
      <c r="R233" s="50" t="n">
        <v>1</v>
      </c>
      <c r="S233" s="50" t="n">
        <v>1</v>
      </c>
      <c r="T233" s="50" t="n">
        <v>1</v>
      </c>
      <c r="U233" s="50" t="n">
        <v>1</v>
      </c>
      <c r="W233" s="1"/>
      <c r="X233" s="1"/>
      <c r="Y233" s="1"/>
      <c r="Z233" s="1"/>
    </row>
    <row r="234" customFormat="false" ht="15.75" hidden="false" customHeight="true" outlineLevel="0" collapsed="false">
      <c r="W234" s="1"/>
      <c r="X234" s="1"/>
      <c r="Y234" s="1"/>
      <c r="Z234" s="1"/>
    </row>
    <row r="235" customFormat="false" ht="15.75" hidden="false" customHeight="true" outlineLevel="0" collapsed="false">
      <c r="A235" s="9" t="s">
        <v>883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W235" s="1"/>
      <c r="X235" s="1"/>
      <c r="Y235" s="1"/>
      <c r="Z235" s="1"/>
    </row>
    <row r="236" customFormat="false" ht="30" hidden="false" customHeight="true" outlineLevel="0" collapsed="false">
      <c r="A236" s="10" t="s">
        <v>372</v>
      </c>
      <c r="B236" s="10" t="s">
        <v>860</v>
      </c>
      <c r="C236" s="10" t="s">
        <v>861</v>
      </c>
      <c r="D236" s="10" t="s">
        <v>862</v>
      </c>
      <c r="E236" s="10" t="s">
        <v>863</v>
      </c>
      <c r="F236" s="10" t="s">
        <v>864</v>
      </c>
      <c r="G236" s="10" t="s">
        <v>865</v>
      </c>
      <c r="H236" s="10" t="s">
        <v>866</v>
      </c>
      <c r="I236" s="10" t="s">
        <v>867</v>
      </c>
      <c r="J236" s="10" t="s">
        <v>868</v>
      </c>
      <c r="K236" s="10" t="s">
        <v>869</v>
      </c>
      <c r="L236" s="10" t="s">
        <v>870</v>
      </c>
      <c r="M236" s="10" t="s">
        <v>871</v>
      </c>
      <c r="N236" s="10" t="s">
        <v>872</v>
      </c>
      <c r="O236" s="10" t="s">
        <v>873</v>
      </c>
      <c r="P236" s="10" t="s">
        <v>874</v>
      </c>
      <c r="Q236" s="10" t="s">
        <v>875</v>
      </c>
      <c r="R236" s="10" t="s">
        <v>876</v>
      </c>
      <c r="S236" s="10" t="s">
        <v>877</v>
      </c>
      <c r="T236" s="10" t="s">
        <v>878</v>
      </c>
      <c r="U236" s="10" t="s">
        <v>879</v>
      </c>
      <c r="W236" s="1"/>
      <c r="X236" s="1"/>
      <c r="Y236" s="1"/>
      <c r="Z236" s="1"/>
    </row>
    <row r="237" customFormat="false" ht="15.75" hidden="false" customHeight="true" outlineLevel="0" collapsed="false">
      <c r="A237" s="13" t="s">
        <v>503</v>
      </c>
      <c r="B237" s="50" t="n">
        <v>1</v>
      </c>
      <c r="C237" s="50" t="n">
        <v>1</v>
      </c>
      <c r="D237" s="50" t="n">
        <v>1</v>
      </c>
      <c r="E237" s="50" t="n">
        <v>1</v>
      </c>
      <c r="F237" s="50" t="n">
        <v>1</v>
      </c>
      <c r="G237" s="50" t="n">
        <v>2</v>
      </c>
      <c r="H237" s="50" t="n">
        <v>2</v>
      </c>
      <c r="I237" s="50" t="n">
        <v>2</v>
      </c>
      <c r="J237" s="50" t="n">
        <v>2</v>
      </c>
      <c r="K237" s="50" t="n">
        <v>2</v>
      </c>
      <c r="L237" s="50" t="n">
        <v>1</v>
      </c>
      <c r="M237" s="50" t="n">
        <v>1</v>
      </c>
      <c r="N237" s="50" t="n">
        <v>1</v>
      </c>
      <c r="O237" s="50" t="n">
        <v>1</v>
      </c>
      <c r="P237" s="50" t="n">
        <v>1</v>
      </c>
      <c r="Q237" s="50" t="n">
        <v>1</v>
      </c>
      <c r="R237" s="50" t="n">
        <v>1</v>
      </c>
      <c r="S237" s="50" t="n">
        <v>1</v>
      </c>
      <c r="T237" s="50" t="n">
        <v>1</v>
      </c>
      <c r="U237" s="50" t="n">
        <v>1</v>
      </c>
      <c r="W237" s="1"/>
      <c r="X237" s="1"/>
      <c r="Y237" s="1"/>
      <c r="Z237" s="1"/>
    </row>
    <row r="238" customFormat="false" ht="15.75" hidden="false" customHeight="true" outlineLevel="0" collapsed="false">
      <c r="A238" s="13" t="s">
        <v>504</v>
      </c>
      <c r="B238" s="50" t="n">
        <v>1</v>
      </c>
      <c r="C238" s="50" t="n">
        <v>1</v>
      </c>
      <c r="D238" s="50" t="n">
        <v>1</v>
      </c>
      <c r="E238" s="50" t="n">
        <v>1</v>
      </c>
      <c r="F238" s="50" t="n">
        <v>1</v>
      </c>
      <c r="G238" s="50" t="n">
        <v>2</v>
      </c>
      <c r="H238" s="50" t="n">
        <v>2</v>
      </c>
      <c r="I238" s="50" t="n">
        <v>2</v>
      </c>
      <c r="J238" s="50" t="n">
        <v>2</v>
      </c>
      <c r="K238" s="50" t="n">
        <v>2</v>
      </c>
      <c r="L238" s="50" t="n">
        <v>1</v>
      </c>
      <c r="M238" s="50" t="n">
        <v>1</v>
      </c>
      <c r="N238" s="50" t="n">
        <v>1</v>
      </c>
      <c r="O238" s="50" t="n">
        <v>1</v>
      </c>
      <c r="P238" s="50" t="n">
        <v>1</v>
      </c>
      <c r="Q238" s="50" t="n">
        <v>1</v>
      </c>
      <c r="R238" s="50" t="n">
        <v>2</v>
      </c>
      <c r="S238" s="50" t="n">
        <v>2</v>
      </c>
      <c r="T238" s="50" t="n">
        <v>2</v>
      </c>
      <c r="U238" s="50" t="n">
        <v>2</v>
      </c>
      <c r="W238" s="1"/>
      <c r="X238" s="1"/>
      <c r="Y238" s="1"/>
      <c r="Z238" s="1"/>
    </row>
    <row r="239" customFormat="false" ht="15.75" hidden="false" customHeight="true" outlineLevel="0" collapsed="false">
      <c r="A239" s="13" t="s">
        <v>505</v>
      </c>
      <c r="B239" s="50" t="n">
        <v>1</v>
      </c>
      <c r="C239" s="50" t="n">
        <v>1</v>
      </c>
      <c r="D239" s="50" t="n">
        <v>1</v>
      </c>
      <c r="E239" s="50" t="n">
        <v>1</v>
      </c>
      <c r="F239" s="50" t="n">
        <v>1</v>
      </c>
      <c r="G239" s="50" t="n">
        <v>1</v>
      </c>
      <c r="H239" s="50" t="n">
        <v>1</v>
      </c>
      <c r="I239" s="50" t="n">
        <v>1</v>
      </c>
      <c r="J239" s="50" t="n">
        <v>1</v>
      </c>
      <c r="K239" s="50" t="n">
        <v>1</v>
      </c>
      <c r="L239" s="50" t="n">
        <v>1</v>
      </c>
      <c r="M239" s="50" t="n">
        <v>1</v>
      </c>
      <c r="N239" s="50" t="n">
        <v>1</v>
      </c>
      <c r="O239" s="50" t="n">
        <v>1</v>
      </c>
      <c r="P239" s="50" t="n">
        <v>1</v>
      </c>
      <c r="Q239" s="50" t="n">
        <v>1</v>
      </c>
      <c r="R239" s="50" t="n">
        <v>2</v>
      </c>
      <c r="S239" s="50" t="n">
        <v>2</v>
      </c>
      <c r="T239" s="50" t="n">
        <v>2</v>
      </c>
      <c r="U239" s="50" t="n">
        <v>2</v>
      </c>
      <c r="W239" s="1"/>
      <c r="X239" s="1"/>
      <c r="Y239" s="1"/>
      <c r="Z239" s="1"/>
    </row>
    <row r="240" customFormat="false" ht="15.75" hidden="false" customHeight="true" outlineLevel="0" collapsed="false">
      <c r="A240" s="13" t="s">
        <v>506</v>
      </c>
      <c r="B240" s="50" t="n">
        <v>1</v>
      </c>
      <c r="C240" s="50" t="n">
        <v>1</v>
      </c>
      <c r="D240" s="50" t="n">
        <v>1</v>
      </c>
      <c r="E240" s="50" t="n">
        <v>1</v>
      </c>
      <c r="F240" s="50" t="n">
        <v>1</v>
      </c>
      <c r="G240" s="50" t="n">
        <v>1</v>
      </c>
      <c r="H240" s="50" t="n">
        <v>1</v>
      </c>
      <c r="I240" s="50" t="n">
        <v>1</v>
      </c>
      <c r="J240" s="50" t="n">
        <v>1</v>
      </c>
      <c r="K240" s="50" t="n">
        <v>1</v>
      </c>
      <c r="L240" s="50" t="n">
        <v>1</v>
      </c>
      <c r="M240" s="50" t="n">
        <v>1</v>
      </c>
      <c r="N240" s="50" t="n">
        <v>1</v>
      </c>
      <c r="O240" s="50" t="n">
        <v>1</v>
      </c>
      <c r="P240" s="50" t="n">
        <v>1</v>
      </c>
      <c r="Q240" s="50" t="n">
        <v>1</v>
      </c>
      <c r="R240" s="50" t="n">
        <v>1</v>
      </c>
      <c r="S240" s="50" t="n">
        <v>1</v>
      </c>
      <c r="T240" s="50" t="n">
        <v>1</v>
      </c>
      <c r="U240" s="50" t="n">
        <v>1</v>
      </c>
      <c r="W240" s="1"/>
      <c r="X240" s="1"/>
      <c r="Y240" s="1"/>
      <c r="Z240" s="1"/>
    </row>
    <row r="241" customFormat="false" ht="15.75" hidden="false" customHeight="true" outlineLevel="0" collapsed="false">
      <c r="A241" s="13" t="s">
        <v>507</v>
      </c>
      <c r="B241" s="50" t="n">
        <v>1</v>
      </c>
      <c r="C241" s="50" t="n">
        <v>1</v>
      </c>
      <c r="D241" s="50" t="n">
        <v>1</v>
      </c>
      <c r="E241" s="50" t="n">
        <v>1</v>
      </c>
      <c r="F241" s="50" t="n">
        <v>1</v>
      </c>
      <c r="G241" s="50" t="n">
        <v>1</v>
      </c>
      <c r="H241" s="50" t="n">
        <v>1</v>
      </c>
      <c r="I241" s="50" t="n">
        <v>1</v>
      </c>
      <c r="J241" s="50" t="n">
        <v>1</v>
      </c>
      <c r="K241" s="50" t="n">
        <v>1</v>
      </c>
      <c r="L241" s="50" t="n">
        <v>1</v>
      </c>
      <c r="M241" s="50" t="n">
        <v>1</v>
      </c>
      <c r="N241" s="50" t="n">
        <v>1</v>
      </c>
      <c r="O241" s="50" t="n">
        <v>1</v>
      </c>
      <c r="P241" s="50" t="n">
        <v>1</v>
      </c>
      <c r="Q241" s="50" t="n">
        <v>1</v>
      </c>
      <c r="R241" s="50" t="n">
        <v>1</v>
      </c>
      <c r="S241" s="50" t="n">
        <v>1</v>
      </c>
      <c r="T241" s="50" t="n">
        <v>1</v>
      </c>
      <c r="U241" s="50" t="n">
        <v>1</v>
      </c>
      <c r="W241" s="1"/>
      <c r="X241" s="1"/>
      <c r="Y241" s="1"/>
      <c r="Z241" s="1"/>
    </row>
    <row r="242" customFormat="false" ht="15.75" hidden="false" customHeight="true" outlineLevel="0" collapsed="false">
      <c r="A242" s="13" t="s">
        <v>508</v>
      </c>
      <c r="B242" s="50" t="n">
        <v>1</v>
      </c>
      <c r="C242" s="50" t="n">
        <v>1</v>
      </c>
      <c r="D242" s="50" t="n">
        <v>1</v>
      </c>
      <c r="E242" s="50" t="n">
        <v>1</v>
      </c>
      <c r="F242" s="50" t="n">
        <v>1</v>
      </c>
      <c r="G242" s="50" t="n">
        <v>1</v>
      </c>
      <c r="H242" s="50" t="n">
        <v>1</v>
      </c>
      <c r="I242" s="50" t="n">
        <v>1</v>
      </c>
      <c r="J242" s="50" t="n">
        <v>1</v>
      </c>
      <c r="K242" s="50" t="n">
        <v>1</v>
      </c>
      <c r="L242" s="50" t="n">
        <v>1</v>
      </c>
      <c r="M242" s="50" t="n">
        <v>1</v>
      </c>
      <c r="N242" s="50" t="n">
        <v>1</v>
      </c>
      <c r="O242" s="50" t="n">
        <v>1</v>
      </c>
      <c r="P242" s="50" t="n">
        <v>1</v>
      </c>
      <c r="Q242" s="50" t="n">
        <v>1</v>
      </c>
      <c r="R242" s="50" t="n">
        <v>1</v>
      </c>
      <c r="S242" s="50" t="n">
        <v>1</v>
      </c>
      <c r="T242" s="50" t="n">
        <v>1</v>
      </c>
      <c r="U242" s="50" t="n">
        <v>1</v>
      </c>
      <c r="W242" s="1"/>
      <c r="X242" s="1"/>
      <c r="Y242" s="1"/>
      <c r="Z242" s="1"/>
    </row>
    <row r="243" customFormat="false" ht="15.75" hidden="false" customHeight="true" outlineLevel="0" collapsed="false">
      <c r="A243" s="13" t="s">
        <v>509</v>
      </c>
      <c r="B243" s="50" t="n">
        <v>1</v>
      </c>
      <c r="C243" s="50" t="n">
        <v>1</v>
      </c>
      <c r="D243" s="50" t="n">
        <v>1</v>
      </c>
      <c r="E243" s="50" t="n">
        <v>1</v>
      </c>
      <c r="F243" s="50" t="n">
        <v>1</v>
      </c>
      <c r="G243" s="50" t="n">
        <v>1</v>
      </c>
      <c r="H243" s="50" t="n">
        <v>1</v>
      </c>
      <c r="I243" s="50" t="n">
        <v>1</v>
      </c>
      <c r="J243" s="50" t="n">
        <v>1</v>
      </c>
      <c r="K243" s="50" t="n">
        <v>1</v>
      </c>
      <c r="L243" s="50" t="n">
        <v>1</v>
      </c>
      <c r="M243" s="50" t="n">
        <v>1</v>
      </c>
      <c r="N243" s="50" t="n">
        <v>1</v>
      </c>
      <c r="O243" s="50" t="n">
        <v>1</v>
      </c>
      <c r="P243" s="50" t="n">
        <v>1</v>
      </c>
      <c r="Q243" s="50" t="n">
        <v>1</v>
      </c>
      <c r="R243" s="50" t="n">
        <v>1</v>
      </c>
      <c r="S243" s="50" t="n">
        <v>1</v>
      </c>
      <c r="T243" s="50" t="n">
        <v>1</v>
      </c>
      <c r="U243" s="50" t="n">
        <v>1</v>
      </c>
      <c r="W243" s="1"/>
      <c r="X243" s="1"/>
      <c r="Y243" s="1"/>
      <c r="Z243" s="1"/>
    </row>
    <row r="244" customFormat="false" ht="15.75" hidden="false" customHeight="true" outlineLevel="0" collapsed="false">
      <c r="A244" s="13" t="s">
        <v>510</v>
      </c>
      <c r="B244" s="50" t="n">
        <v>1</v>
      </c>
      <c r="C244" s="50" t="n">
        <v>1</v>
      </c>
      <c r="D244" s="50" t="n">
        <v>1</v>
      </c>
      <c r="E244" s="50" t="n">
        <v>1</v>
      </c>
      <c r="F244" s="50" t="n">
        <v>2</v>
      </c>
      <c r="G244" s="50" t="n">
        <v>2</v>
      </c>
      <c r="H244" s="50" t="n">
        <v>2</v>
      </c>
      <c r="I244" s="50" t="n">
        <v>2</v>
      </c>
      <c r="J244" s="50" t="n">
        <v>2</v>
      </c>
      <c r="K244" s="50" t="n">
        <v>2</v>
      </c>
      <c r="L244" s="50" t="n">
        <v>1</v>
      </c>
      <c r="M244" s="50" t="n">
        <v>1</v>
      </c>
      <c r="N244" s="50" t="n">
        <v>1</v>
      </c>
      <c r="O244" s="50" t="n">
        <v>1</v>
      </c>
      <c r="P244" s="50" t="n">
        <v>1</v>
      </c>
      <c r="Q244" s="50" t="n">
        <v>1</v>
      </c>
      <c r="R244" s="50" t="n">
        <v>2</v>
      </c>
      <c r="S244" s="50" t="n">
        <v>2</v>
      </c>
      <c r="T244" s="50" t="n">
        <v>2</v>
      </c>
      <c r="U244" s="50" t="n">
        <v>2</v>
      </c>
      <c r="W244" s="1"/>
      <c r="X244" s="1"/>
      <c r="Y244" s="1"/>
      <c r="Z244" s="1"/>
    </row>
    <row r="245" customFormat="false" ht="15.75" hidden="false" customHeight="true" outlineLevel="0" collapsed="false">
      <c r="A245" s="13" t="s">
        <v>511</v>
      </c>
      <c r="B245" s="50" t="n">
        <v>1</v>
      </c>
      <c r="C245" s="50" t="n">
        <v>1</v>
      </c>
      <c r="D245" s="50" t="n">
        <v>1</v>
      </c>
      <c r="E245" s="50" t="n">
        <v>1</v>
      </c>
      <c r="F245" s="50" t="n">
        <v>1</v>
      </c>
      <c r="G245" s="50" t="n">
        <v>1</v>
      </c>
      <c r="H245" s="50" t="n">
        <v>1</v>
      </c>
      <c r="I245" s="50" t="n">
        <v>1</v>
      </c>
      <c r="J245" s="50" t="n">
        <v>1</v>
      </c>
      <c r="K245" s="50" t="n">
        <v>1</v>
      </c>
      <c r="L245" s="50" t="n">
        <v>1</v>
      </c>
      <c r="M245" s="50" t="n">
        <v>1</v>
      </c>
      <c r="N245" s="50" t="n">
        <v>1</v>
      </c>
      <c r="O245" s="50" t="n">
        <v>1</v>
      </c>
      <c r="P245" s="50" t="n">
        <v>1</v>
      </c>
      <c r="Q245" s="50" t="n">
        <v>1</v>
      </c>
      <c r="R245" s="50" t="n">
        <v>1</v>
      </c>
      <c r="S245" s="50" t="n">
        <v>1</v>
      </c>
      <c r="T245" s="50" t="n">
        <v>1</v>
      </c>
      <c r="U245" s="50" t="n">
        <v>1</v>
      </c>
      <c r="W245" s="1"/>
      <c r="X245" s="1"/>
      <c r="Y245" s="1"/>
      <c r="Z245" s="1"/>
    </row>
    <row r="246" customFormat="false" ht="15.75" hidden="false" customHeight="true" outlineLevel="0" collapsed="false">
      <c r="A246" s="13" t="s">
        <v>512</v>
      </c>
      <c r="B246" s="50" t="n">
        <v>1</v>
      </c>
      <c r="C246" s="50" t="n">
        <v>1</v>
      </c>
      <c r="D246" s="50" t="n">
        <v>1</v>
      </c>
      <c r="E246" s="50" t="n">
        <v>1</v>
      </c>
      <c r="F246" s="50" t="n">
        <v>1</v>
      </c>
      <c r="G246" s="50" t="n">
        <v>1</v>
      </c>
      <c r="H246" s="50" t="n">
        <v>1</v>
      </c>
      <c r="I246" s="50" t="n">
        <v>1</v>
      </c>
      <c r="J246" s="50" t="n">
        <v>1</v>
      </c>
      <c r="K246" s="50" t="n">
        <v>1</v>
      </c>
      <c r="L246" s="50" t="n">
        <v>1</v>
      </c>
      <c r="M246" s="50" t="n">
        <v>1</v>
      </c>
      <c r="N246" s="50" t="n">
        <v>1</v>
      </c>
      <c r="O246" s="50" t="n">
        <v>1</v>
      </c>
      <c r="P246" s="50" t="n">
        <v>1</v>
      </c>
      <c r="Q246" s="50" t="n">
        <v>1</v>
      </c>
      <c r="R246" s="50" t="n">
        <v>1</v>
      </c>
      <c r="S246" s="50" t="n">
        <v>1</v>
      </c>
      <c r="T246" s="50" t="n">
        <v>1</v>
      </c>
      <c r="U246" s="50" t="n">
        <v>1</v>
      </c>
      <c r="W246" s="1"/>
      <c r="X246" s="1"/>
      <c r="Y246" s="1"/>
      <c r="Z246" s="1"/>
    </row>
    <row r="247" customFormat="false" ht="15.75" hidden="false" customHeight="true" outlineLevel="0" collapsed="false">
      <c r="A247" s="13" t="s">
        <v>423</v>
      </c>
      <c r="B247" s="50" t="n">
        <v>1</v>
      </c>
      <c r="C247" s="50" t="n">
        <v>1</v>
      </c>
      <c r="D247" s="50" t="n">
        <v>1</v>
      </c>
      <c r="E247" s="50" t="n">
        <v>1</v>
      </c>
      <c r="F247" s="50" t="n">
        <v>1</v>
      </c>
      <c r="G247" s="50" t="n">
        <v>1</v>
      </c>
      <c r="H247" s="50" t="n">
        <v>1</v>
      </c>
      <c r="I247" s="50" t="n">
        <v>1</v>
      </c>
      <c r="J247" s="50" t="n">
        <v>1</v>
      </c>
      <c r="K247" s="50" t="n">
        <v>1</v>
      </c>
      <c r="L247" s="50" t="n">
        <v>1</v>
      </c>
      <c r="M247" s="50" t="n">
        <v>1</v>
      </c>
      <c r="N247" s="50" t="n">
        <v>1</v>
      </c>
      <c r="O247" s="50" t="n">
        <v>1</v>
      </c>
      <c r="P247" s="50" t="n">
        <v>1</v>
      </c>
      <c r="Q247" s="50" t="n">
        <v>1</v>
      </c>
      <c r="R247" s="50" t="n">
        <v>2</v>
      </c>
      <c r="S247" s="50" t="n">
        <v>2</v>
      </c>
      <c r="T247" s="50" t="n">
        <v>2</v>
      </c>
      <c r="U247" s="50" t="n">
        <v>2</v>
      </c>
      <c r="W247" s="1"/>
      <c r="X247" s="1"/>
      <c r="Y247" s="1"/>
      <c r="Z247" s="1"/>
    </row>
    <row r="248" customFormat="false" ht="15.75" hidden="false" customHeight="true" outlineLevel="0" collapsed="false">
      <c r="A248" s="13" t="s">
        <v>424</v>
      </c>
      <c r="B248" s="50" t="n">
        <v>1</v>
      </c>
      <c r="C248" s="50" t="n">
        <v>1</v>
      </c>
      <c r="D248" s="50" t="n">
        <v>1</v>
      </c>
      <c r="E248" s="50" t="n">
        <v>1</v>
      </c>
      <c r="F248" s="50" t="n">
        <v>1</v>
      </c>
      <c r="G248" s="50" t="n">
        <v>1</v>
      </c>
      <c r="H248" s="50" t="n">
        <v>1</v>
      </c>
      <c r="I248" s="50" t="n">
        <v>1</v>
      </c>
      <c r="J248" s="50" t="n">
        <v>1</v>
      </c>
      <c r="K248" s="50" t="n">
        <v>1</v>
      </c>
      <c r="L248" s="50" t="n">
        <v>1</v>
      </c>
      <c r="M248" s="50" t="n">
        <v>1</v>
      </c>
      <c r="N248" s="50" t="n">
        <v>1</v>
      </c>
      <c r="O248" s="50" t="n">
        <v>1</v>
      </c>
      <c r="P248" s="50" t="n">
        <v>1</v>
      </c>
      <c r="Q248" s="50" t="n">
        <v>1</v>
      </c>
      <c r="R248" s="50" t="n">
        <v>2</v>
      </c>
      <c r="S248" s="50" t="n">
        <v>2</v>
      </c>
      <c r="T248" s="50" t="n">
        <v>2</v>
      </c>
      <c r="U248" s="50" t="n">
        <v>2</v>
      </c>
      <c r="W248" s="1"/>
      <c r="X248" s="1"/>
      <c r="Y248" s="1"/>
      <c r="Z248" s="1"/>
    </row>
    <row r="249" customFormat="false" ht="15.75" hidden="false" customHeight="true" outlineLevel="0" collapsed="false">
      <c r="A249" s="13" t="s">
        <v>513</v>
      </c>
      <c r="B249" s="50" t="n">
        <v>1</v>
      </c>
      <c r="C249" s="50" t="n">
        <v>1</v>
      </c>
      <c r="D249" s="50" t="n">
        <v>1</v>
      </c>
      <c r="E249" s="50" t="n">
        <v>1</v>
      </c>
      <c r="F249" s="50" t="n">
        <v>1</v>
      </c>
      <c r="G249" s="50" t="n">
        <v>1</v>
      </c>
      <c r="H249" s="50" t="n">
        <v>1</v>
      </c>
      <c r="I249" s="50" t="n">
        <v>1</v>
      </c>
      <c r="J249" s="50" t="n">
        <v>1</v>
      </c>
      <c r="K249" s="50" t="n">
        <v>1</v>
      </c>
      <c r="L249" s="50" t="n">
        <v>1</v>
      </c>
      <c r="M249" s="50" t="n">
        <v>1</v>
      </c>
      <c r="N249" s="50" t="n">
        <v>1</v>
      </c>
      <c r="O249" s="50" t="n">
        <v>1</v>
      </c>
      <c r="P249" s="50" t="n">
        <v>1</v>
      </c>
      <c r="Q249" s="50" t="n">
        <v>1</v>
      </c>
      <c r="R249" s="50" t="n">
        <v>1</v>
      </c>
      <c r="S249" s="50" t="n">
        <v>1</v>
      </c>
      <c r="T249" s="50" t="n">
        <v>1</v>
      </c>
      <c r="U249" s="50" t="n">
        <v>1</v>
      </c>
      <c r="W249" s="1"/>
      <c r="X249" s="1"/>
      <c r="Y249" s="1"/>
      <c r="Z249" s="1"/>
    </row>
    <row r="250" customFormat="false" ht="15.75" hidden="false" customHeight="true" outlineLevel="0" collapsed="false">
      <c r="A250" s="13" t="s">
        <v>514</v>
      </c>
      <c r="B250" s="50" t="n">
        <v>1</v>
      </c>
      <c r="C250" s="50" t="n">
        <v>1</v>
      </c>
      <c r="D250" s="50" t="n">
        <v>1</v>
      </c>
      <c r="E250" s="50" t="n">
        <v>1</v>
      </c>
      <c r="F250" s="50" t="n">
        <v>2</v>
      </c>
      <c r="G250" s="50" t="n">
        <v>2</v>
      </c>
      <c r="H250" s="50" t="n">
        <v>2</v>
      </c>
      <c r="I250" s="50" t="n">
        <v>2</v>
      </c>
      <c r="J250" s="50" t="n">
        <v>2</v>
      </c>
      <c r="K250" s="50" t="n">
        <v>2</v>
      </c>
      <c r="L250" s="50" t="n">
        <v>1</v>
      </c>
      <c r="M250" s="50" t="n">
        <v>1</v>
      </c>
      <c r="N250" s="50" t="n">
        <v>1</v>
      </c>
      <c r="O250" s="50" t="n">
        <v>1</v>
      </c>
      <c r="P250" s="50" t="n">
        <v>1</v>
      </c>
      <c r="Q250" s="50" t="n">
        <v>1</v>
      </c>
      <c r="R250" s="50" t="n">
        <v>2</v>
      </c>
      <c r="S250" s="50" t="n">
        <v>2</v>
      </c>
      <c r="T250" s="50" t="n">
        <v>2</v>
      </c>
      <c r="U250" s="50" t="n">
        <v>2</v>
      </c>
      <c r="W250" s="1"/>
      <c r="X250" s="1"/>
      <c r="Y250" s="1"/>
      <c r="Z250" s="1"/>
    </row>
    <row r="251" customFormat="false" ht="15.75" hidden="false" customHeight="true" outlineLevel="0" collapsed="false">
      <c r="A251" s="13" t="s">
        <v>515</v>
      </c>
      <c r="B251" s="50" t="n">
        <v>1</v>
      </c>
      <c r="C251" s="50" t="n">
        <v>1</v>
      </c>
      <c r="D251" s="50" t="n">
        <v>1</v>
      </c>
      <c r="E251" s="50" t="n">
        <v>1</v>
      </c>
      <c r="F251" s="50" t="n">
        <v>1</v>
      </c>
      <c r="G251" s="50" t="n">
        <v>2</v>
      </c>
      <c r="H251" s="50" t="n">
        <v>2</v>
      </c>
      <c r="I251" s="50" t="n">
        <v>2</v>
      </c>
      <c r="J251" s="50" t="n">
        <v>2</v>
      </c>
      <c r="K251" s="50" t="n">
        <v>2</v>
      </c>
      <c r="L251" s="50" t="n">
        <v>1</v>
      </c>
      <c r="M251" s="50" t="n">
        <v>1</v>
      </c>
      <c r="N251" s="50" t="n">
        <v>1</v>
      </c>
      <c r="O251" s="50" t="n">
        <v>1</v>
      </c>
      <c r="P251" s="50" t="n">
        <v>1</v>
      </c>
      <c r="Q251" s="50" t="n">
        <v>1</v>
      </c>
      <c r="R251" s="50" t="n">
        <v>2</v>
      </c>
      <c r="S251" s="50" t="n">
        <v>2</v>
      </c>
      <c r="T251" s="50" t="n">
        <v>2</v>
      </c>
      <c r="U251" s="50" t="n">
        <v>2</v>
      </c>
      <c r="W251" s="1"/>
      <c r="X251" s="1"/>
      <c r="Y251" s="1"/>
      <c r="Z251" s="1"/>
    </row>
    <row r="252" customFormat="false" ht="15.75" hidden="false" customHeight="true" outlineLevel="0" collapsed="false">
      <c r="A252" s="13" t="s">
        <v>516</v>
      </c>
      <c r="B252" s="50" t="n">
        <v>1</v>
      </c>
      <c r="C252" s="50" t="n">
        <v>1</v>
      </c>
      <c r="D252" s="50" t="n">
        <v>1</v>
      </c>
      <c r="E252" s="50" t="n">
        <v>1</v>
      </c>
      <c r="F252" s="50" t="n">
        <v>2</v>
      </c>
      <c r="G252" s="50" t="n">
        <v>2</v>
      </c>
      <c r="H252" s="50" t="n">
        <v>2</v>
      </c>
      <c r="I252" s="50" t="n">
        <v>2</v>
      </c>
      <c r="J252" s="50" t="n">
        <v>2</v>
      </c>
      <c r="K252" s="50" t="n">
        <v>2</v>
      </c>
      <c r="L252" s="50" t="n">
        <v>1</v>
      </c>
      <c r="M252" s="50" t="n">
        <v>1</v>
      </c>
      <c r="N252" s="50" t="n">
        <v>1</v>
      </c>
      <c r="O252" s="50" t="n">
        <v>1</v>
      </c>
      <c r="P252" s="50" t="n">
        <v>1</v>
      </c>
      <c r="Q252" s="50" t="n">
        <v>1</v>
      </c>
      <c r="R252" s="50" t="n">
        <v>2</v>
      </c>
      <c r="S252" s="50" t="n">
        <v>2</v>
      </c>
      <c r="T252" s="50" t="n">
        <v>2</v>
      </c>
      <c r="U252" s="50" t="n">
        <v>2</v>
      </c>
      <c r="W252" s="1"/>
      <c r="X252" s="1"/>
      <c r="Y252" s="1"/>
      <c r="Z252" s="1"/>
    </row>
    <row r="253" customFormat="false" ht="15.75" hidden="false" customHeight="true" outlineLevel="0" collapsed="false">
      <c r="A253" s="13" t="s">
        <v>517</v>
      </c>
      <c r="B253" s="50" t="n">
        <v>1</v>
      </c>
      <c r="C253" s="50" t="n">
        <v>1</v>
      </c>
      <c r="D253" s="50" t="n">
        <v>1</v>
      </c>
      <c r="E253" s="50" t="n">
        <v>1</v>
      </c>
      <c r="F253" s="50" t="n">
        <v>1</v>
      </c>
      <c r="G253" s="50" t="n">
        <v>1</v>
      </c>
      <c r="H253" s="50" t="n">
        <v>1</v>
      </c>
      <c r="I253" s="50" t="n">
        <v>1</v>
      </c>
      <c r="J253" s="50" t="n">
        <v>1</v>
      </c>
      <c r="K253" s="50" t="n">
        <v>1</v>
      </c>
      <c r="L253" s="50" t="n">
        <v>1</v>
      </c>
      <c r="M253" s="50" t="n">
        <v>1</v>
      </c>
      <c r="N253" s="50" t="n">
        <v>1</v>
      </c>
      <c r="O253" s="50" t="n">
        <v>1</v>
      </c>
      <c r="P253" s="50" t="n">
        <v>1</v>
      </c>
      <c r="Q253" s="50" t="n">
        <v>1</v>
      </c>
      <c r="R253" s="50" t="n">
        <v>2</v>
      </c>
      <c r="S253" s="50" t="n">
        <v>2</v>
      </c>
      <c r="T253" s="50" t="n">
        <v>2</v>
      </c>
      <c r="U253" s="50" t="n">
        <v>2</v>
      </c>
      <c r="W253" s="1"/>
      <c r="X253" s="1"/>
      <c r="Y253" s="1"/>
      <c r="Z253" s="1"/>
    </row>
    <row r="254" customFormat="false" ht="15.75" hidden="false" customHeight="true" outlineLevel="0" collapsed="false">
      <c r="A254" s="13" t="s">
        <v>518</v>
      </c>
      <c r="B254" s="50" t="n">
        <v>1</v>
      </c>
      <c r="C254" s="50" t="n">
        <v>1</v>
      </c>
      <c r="D254" s="50" t="n">
        <v>1</v>
      </c>
      <c r="E254" s="50" t="n">
        <v>1</v>
      </c>
      <c r="F254" s="50" t="n">
        <v>1</v>
      </c>
      <c r="G254" s="50" t="n">
        <v>1</v>
      </c>
      <c r="H254" s="50" t="n">
        <v>1</v>
      </c>
      <c r="I254" s="50" t="n">
        <v>1</v>
      </c>
      <c r="J254" s="50" t="n">
        <v>1</v>
      </c>
      <c r="K254" s="50" t="n">
        <v>1</v>
      </c>
      <c r="L254" s="50" t="n">
        <v>1</v>
      </c>
      <c r="M254" s="50" t="n">
        <v>1</v>
      </c>
      <c r="N254" s="50" t="n">
        <v>1</v>
      </c>
      <c r="O254" s="50" t="n">
        <v>1</v>
      </c>
      <c r="P254" s="50" t="n">
        <v>1</v>
      </c>
      <c r="Q254" s="50" t="n">
        <v>1</v>
      </c>
      <c r="R254" s="50" t="n">
        <v>1</v>
      </c>
      <c r="S254" s="50" t="n">
        <v>1</v>
      </c>
      <c r="T254" s="50" t="n">
        <v>1</v>
      </c>
      <c r="U254" s="50" t="n">
        <v>1</v>
      </c>
      <c r="W254" s="1"/>
      <c r="X254" s="1"/>
      <c r="Y254" s="1"/>
      <c r="Z254" s="1"/>
    </row>
    <row r="255" customFormat="false" ht="15.75" hidden="false" customHeight="true" outlineLevel="0" collapsed="false">
      <c r="A255" s="13" t="s">
        <v>519</v>
      </c>
      <c r="B255" s="50" t="n">
        <v>1</v>
      </c>
      <c r="C255" s="50" t="n">
        <v>1</v>
      </c>
      <c r="D255" s="50" t="n">
        <v>1</v>
      </c>
      <c r="E255" s="50" t="n">
        <v>1</v>
      </c>
      <c r="F255" s="50" t="n">
        <v>1</v>
      </c>
      <c r="G255" s="50" t="n">
        <v>1</v>
      </c>
      <c r="H255" s="50" t="n">
        <v>1</v>
      </c>
      <c r="I255" s="50" t="n">
        <v>1</v>
      </c>
      <c r="J255" s="50" t="n">
        <v>1</v>
      </c>
      <c r="K255" s="50" t="n">
        <v>1</v>
      </c>
      <c r="L255" s="50" t="n">
        <v>1</v>
      </c>
      <c r="M255" s="50" t="n">
        <v>1</v>
      </c>
      <c r="N255" s="50" t="n">
        <v>1</v>
      </c>
      <c r="O255" s="50" t="n">
        <v>1</v>
      </c>
      <c r="P255" s="50" t="n">
        <v>1</v>
      </c>
      <c r="Q255" s="50" t="n">
        <v>1</v>
      </c>
      <c r="R255" s="50" t="n">
        <v>1</v>
      </c>
      <c r="S255" s="50" t="n">
        <v>1</v>
      </c>
      <c r="T255" s="50" t="n">
        <v>1</v>
      </c>
      <c r="U255" s="50" t="n">
        <v>1</v>
      </c>
      <c r="W255" s="1"/>
      <c r="X255" s="1"/>
      <c r="Y255" s="1"/>
      <c r="Z255" s="1"/>
    </row>
    <row r="256" customFormat="false" ht="15.75" hidden="false" customHeight="true" outlineLevel="0" collapsed="false">
      <c r="A256" s="13" t="s">
        <v>520</v>
      </c>
      <c r="B256" s="50" t="n">
        <v>1</v>
      </c>
      <c r="C256" s="50" t="n">
        <v>1</v>
      </c>
      <c r="D256" s="50" t="n">
        <v>1</v>
      </c>
      <c r="E256" s="50" t="n">
        <v>1</v>
      </c>
      <c r="F256" s="50" t="n">
        <v>1</v>
      </c>
      <c r="G256" s="50" t="n">
        <v>2</v>
      </c>
      <c r="H256" s="50" t="n">
        <v>2</v>
      </c>
      <c r="I256" s="50" t="n">
        <v>2</v>
      </c>
      <c r="J256" s="50" t="n">
        <v>2</v>
      </c>
      <c r="K256" s="50" t="n">
        <v>2</v>
      </c>
      <c r="L256" s="50" t="n">
        <v>1</v>
      </c>
      <c r="M256" s="50" t="n">
        <v>1</v>
      </c>
      <c r="N256" s="50" t="n">
        <v>1</v>
      </c>
      <c r="O256" s="50" t="n">
        <v>1</v>
      </c>
      <c r="P256" s="50" t="n">
        <v>1</v>
      </c>
      <c r="Q256" s="50" t="n">
        <v>1</v>
      </c>
      <c r="R256" s="50" t="n">
        <v>1</v>
      </c>
      <c r="S256" s="50" t="n">
        <v>1</v>
      </c>
      <c r="T256" s="50" t="n">
        <v>1</v>
      </c>
      <c r="U256" s="50" t="n">
        <v>1</v>
      </c>
      <c r="W256" s="1"/>
      <c r="X256" s="1"/>
      <c r="Y256" s="1"/>
      <c r="Z256" s="1"/>
    </row>
    <row r="257" customFormat="false" ht="15.75" hidden="false" customHeight="true" outlineLevel="0" collapsed="false">
      <c r="A257" s="13" t="s">
        <v>521</v>
      </c>
      <c r="B257" s="50" t="n">
        <v>1</v>
      </c>
      <c r="C257" s="50" t="n">
        <v>1</v>
      </c>
      <c r="D257" s="50" t="n">
        <v>1</v>
      </c>
      <c r="E257" s="50" t="n">
        <v>1</v>
      </c>
      <c r="F257" s="50" t="n">
        <v>1</v>
      </c>
      <c r="G257" s="50" t="n">
        <v>2</v>
      </c>
      <c r="H257" s="50" t="n">
        <v>2</v>
      </c>
      <c r="I257" s="50" t="n">
        <v>2</v>
      </c>
      <c r="J257" s="50" t="n">
        <v>2</v>
      </c>
      <c r="K257" s="50" t="n">
        <v>2</v>
      </c>
      <c r="L257" s="50" t="n">
        <v>1</v>
      </c>
      <c r="M257" s="50" t="n">
        <v>1</v>
      </c>
      <c r="N257" s="50" t="n">
        <v>1</v>
      </c>
      <c r="O257" s="50" t="n">
        <v>1</v>
      </c>
      <c r="P257" s="50" t="n">
        <v>1</v>
      </c>
      <c r="Q257" s="50" t="n">
        <v>1</v>
      </c>
      <c r="R257" s="50" t="n">
        <v>2</v>
      </c>
      <c r="S257" s="50" t="n">
        <v>2</v>
      </c>
      <c r="T257" s="50" t="n">
        <v>2</v>
      </c>
      <c r="U257" s="50" t="n">
        <v>2</v>
      </c>
      <c r="W257" s="1"/>
      <c r="X257" s="1"/>
      <c r="Y257" s="1"/>
      <c r="Z257" s="1"/>
    </row>
    <row r="258" customFormat="false" ht="15.75" hidden="false" customHeight="true" outlineLevel="0" collapsed="false">
      <c r="A258" s="13" t="s">
        <v>522</v>
      </c>
      <c r="B258" s="50" t="n">
        <v>1</v>
      </c>
      <c r="C258" s="50" t="n">
        <v>1</v>
      </c>
      <c r="D258" s="50" t="n">
        <v>1</v>
      </c>
      <c r="E258" s="50" t="n">
        <v>1</v>
      </c>
      <c r="F258" s="50" t="n">
        <v>1</v>
      </c>
      <c r="G258" s="50" t="n">
        <v>1</v>
      </c>
      <c r="H258" s="50" t="n">
        <v>1</v>
      </c>
      <c r="I258" s="50" t="n">
        <v>1</v>
      </c>
      <c r="J258" s="50" t="n">
        <v>1</v>
      </c>
      <c r="K258" s="50" t="n">
        <v>1</v>
      </c>
      <c r="L258" s="50" t="n">
        <v>1</v>
      </c>
      <c r="M258" s="50" t="n">
        <v>1</v>
      </c>
      <c r="N258" s="50" t="n">
        <v>1</v>
      </c>
      <c r="O258" s="50" t="n">
        <v>1</v>
      </c>
      <c r="P258" s="50" t="n">
        <v>1</v>
      </c>
      <c r="Q258" s="50" t="n">
        <v>1</v>
      </c>
      <c r="R258" s="50" t="n">
        <v>1</v>
      </c>
      <c r="S258" s="50" t="n">
        <v>1</v>
      </c>
      <c r="T258" s="50" t="n">
        <v>1</v>
      </c>
      <c r="U258" s="50" t="n">
        <v>1</v>
      </c>
      <c r="W258" s="1"/>
      <c r="X258" s="1"/>
      <c r="Y258" s="1"/>
      <c r="Z258" s="1"/>
    </row>
    <row r="259" customFormat="false" ht="15.75" hidden="false" customHeight="true" outlineLevel="0" collapsed="false">
      <c r="A259" s="13" t="s">
        <v>523</v>
      </c>
      <c r="B259" s="50" t="n">
        <v>1</v>
      </c>
      <c r="C259" s="50" t="n">
        <v>1</v>
      </c>
      <c r="D259" s="50" t="n">
        <v>1</v>
      </c>
      <c r="E259" s="50" t="n">
        <v>1</v>
      </c>
      <c r="F259" s="50" t="n">
        <v>1</v>
      </c>
      <c r="G259" s="50" t="n">
        <v>1</v>
      </c>
      <c r="H259" s="50" t="n">
        <v>1</v>
      </c>
      <c r="I259" s="50" t="n">
        <v>1</v>
      </c>
      <c r="J259" s="50" t="n">
        <v>1</v>
      </c>
      <c r="K259" s="50" t="n">
        <v>1</v>
      </c>
      <c r="L259" s="50" t="n">
        <v>1</v>
      </c>
      <c r="M259" s="50" t="n">
        <v>1</v>
      </c>
      <c r="N259" s="50" t="n">
        <v>1</v>
      </c>
      <c r="O259" s="50" t="n">
        <v>1</v>
      </c>
      <c r="P259" s="50" t="n">
        <v>1</v>
      </c>
      <c r="Q259" s="50" t="n">
        <v>1</v>
      </c>
      <c r="R259" s="50" t="n">
        <v>1</v>
      </c>
      <c r="S259" s="50" t="n">
        <v>1</v>
      </c>
      <c r="T259" s="50" t="n">
        <v>1</v>
      </c>
      <c r="U259" s="50" t="n">
        <v>1</v>
      </c>
      <c r="W259" s="1"/>
      <c r="X259" s="1"/>
      <c r="Y259" s="1"/>
      <c r="Z259" s="1"/>
    </row>
    <row r="260" customFormat="false" ht="15.75" hidden="false" customHeight="true" outlineLevel="0" collapsed="false">
      <c r="W260" s="1"/>
      <c r="X260" s="1"/>
      <c r="Y260" s="1"/>
      <c r="Z260" s="1"/>
    </row>
    <row r="261" customFormat="false" ht="15.75" hidden="false" customHeight="true" outlineLevel="0" collapsed="false">
      <c r="A261" s="9" t="s">
        <v>884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W261" s="1"/>
      <c r="X261" s="1"/>
      <c r="Y261" s="1"/>
      <c r="Z261" s="1"/>
    </row>
    <row r="262" customFormat="false" ht="15.75" hidden="false" customHeight="true" outlineLevel="0" collapsed="false">
      <c r="A262" s="10" t="s">
        <v>372</v>
      </c>
      <c r="B262" s="10" t="s">
        <v>885</v>
      </c>
      <c r="C262" s="10" t="s">
        <v>886</v>
      </c>
      <c r="D262" s="10" t="s">
        <v>887</v>
      </c>
      <c r="E262" s="10" t="s">
        <v>888</v>
      </c>
      <c r="F262" s="10" t="s">
        <v>889</v>
      </c>
      <c r="G262" s="10" t="s">
        <v>890</v>
      </c>
      <c r="H262" s="10" t="s">
        <v>891</v>
      </c>
      <c r="I262" s="10" t="s">
        <v>892</v>
      </c>
      <c r="J262" s="10" t="s">
        <v>893</v>
      </c>
      <c r="K262" s="10" t="s">
        <v>894</v>
      </c>
      <c r="W262" s="1"/>
      <c r="X262" s="1"/>
      <c r="Y262" s="1"/>
      <c r="Z262" s="1"/>
    </row>
    <row r="263" customFormat="false" ht="15.75" hidden="false" customHeight="true" outlineLevel="0" collapsed="false">
      <c r="A263" s="13" t="s">
        <v>392</v>
      </c>
      <c r="B263" s="18" t="n">
        <v>0.06855373106</v>
      </c>
      <c r="C263" s="18" t="n">
        <v>0.108319776</v>
      </c>
      <c r="D263" s="18" t="n">
        <v>0.2288789219</v>
      </c>
      <c r="E263" s="18" t="n">
        <v>0.5063494953</v>
      </c>
      <c r="F263" s="18" t="n">
        <v>0.8819328553</v>
      </c>
      <c r="G263" s="18" t="n">
        <v>0.6191862605</v>
      </c>
      <c r="H263" s="18" t="n">
        <v>0.4269486729</v>
      </c>
      <c r="I263" s="18" t="n">
        <v>0.5454648406</v>
      </c>
      <c r="J263" s="18" t="n">
        <v>0.6154940925</v>
      </c>
      <c r="K263" s="18" t="n">
        <v>0.7111564109</v>
      </c>
      <c r="W263" s="1"/>
      <c r="X263" s="1"/>
      <c r="Y263" s="1"/>
      <c r="Z263" s="1"/>
    </row>
    <row r="264" customFormat="false" ht="15.75" hidden="false" customHeight="true" outlineLevel="0" collapsed="false">
      <c r="A264" s="13" t="s">
        <v>395</v>
      </c>
      <c r="B264" s="18" t="n">
        <v>0.008867629873</v>
      </c>
      <c r="C264" s="18" t="n">
        <v>0.0140235141</v>
      </c>
      <c r="D264" s="18" t="n">
        <v>0.02858307549</v>
      </c>
      <c r="E264" s="18" t="n">
        <v>0.06176140359</v>
      </c>
      <c r="F264" s="18" t="n">
        <v>0.1071459215</v>
      </c>
      <c r="G264" s="18" t="n">
        <v>0.1502637115</v>
      </c>
      <c r="H264" s="18" t="n">
        <v>0.2067792982</v>
      </c>
      <c r="I264" s="18" t="n">
        <v>0.2638643349</v>
      </c>
      <c r="J264" s="18" t="n">
        <v>0.2980787755</v>
      </c>
      <c r="K264" s="18" t="n">
        <v>0.3444057893</v>
      </c>
      <c r="W264" s="1"/>
      <c r="X264" s="1"/>
      <c r="Y264" s="1"/>
      <c r="Z264" s="1"/>
    </row>
    <row r="265" customFormat="false" ht="15.75" hidden="false" customHeight="true" outlineLevel="0" collapsed="false">
      <c r="A265" s="13" t="s">
        <v>398</v>
      </c>
      <c r="B265" s="18" t="n">
        <v>0.006687494177</v>
      </c>
      <c r="C265" s="18" t="n">
        <v>0.01059305111</v>
      </c>
      <c r="D265" s="18" t="n">
        <v>0.02139544329</v>
      </c>
      <c r="E265" s="18" t="n">
        <v>0.045938963</v>
      </c>
      <c r="F265" s="18" t="n">
        <v>0.07960439385</v>
      </c>
      <c r="G265" s="18" t="n">
        <v>0.1116114459</v>
      </c>
      <c r="H265" s="18" t="n">
        <v>0.1534892389</v>
      </c>
      <c r="I265" s="18" t="n">
        <v>0.1958108691</v>
      </c>
      <c r="J265" s="18" t="n">
        <v>0.2212647333</v>
      </c>
      <c r="K265" s="18" t="n">
        <v>0.2556516566</v>
      </c>
      <c r="W265" s="1"/>
      <c r="X265" s="1"/>
      <c r="Y265" s="1"/>
      <c r="Z265" s="1"/>
    </row>
    <row r="266" customFormat="false" ht="15.75" hidden="false" customHeight="true" outlineLevel="0" collapsed="false">
      <c r="A266" s="13" t="s">
        <v>400</v>
      </c>
      <c r="B266" s="18" t="n">
        <v>0.0268838161</v>
      </c>
      <c r="C266" s="18" t="n">
        <v>0.04247834355</v>
      </c>
      <c r="D266" s="18" t="n">
        <v>0.08975643994</v>
      </c>
      <c r="E266" s="18" t="n">
        <v>0.1985684295</v>
      </c>
      <c r="F266" s="18" t="n">
        <v>0.3458560217</v>
      </c>
      <c r="G266" s="18" t="n">
        <v>0.4856362828</v>
      </c>
      <c r="H266" s="18" t="n">
        <v>0.3348617043</v>
      </c>
      <c r="I266" s="18" t="n">
        <v>0.4278155613</v>
      </c>
      <c r="J266" s="18" t="n">
        <v>0.4827404647</v>
      </c>
      <c r="K266" s="18" t="n">
        <v>0.5577697341</v>
      </c>
      <c r="W266" s="1"/>
      <c r="X266" s="1"/>
      <c r="Y266" s="1"/>
      <c r="Z266" s="1"/>
    </row>
    <row r="267" customFormat="false" ht="15.75" hidden="false" customHeight="true" outlineLevel="0" collapsed="false">
      <c r="A267" s="13" t="s">
        <v>403</v>
      </c>
      <c r="B267" s="18" t="n">
        <v>0.06855373106</v>
      </c>
      <c r="C267" s="18" t="n">
        <v>0.108319776</v>
      </c>
      <c r="D267" s="18" t="n">
        <v>0.2288789219</v>
      </c>
      <c r="E267" s="18" t="n">
        <v>0.5063494953</v>
      </c>
      <c r="F267" s="18" t="n">
        <v>0.8819328553</v>
      </c>
      <c r="G267" s="18" t="n">
        <v>0.6191862605</v>
      </c>
      <c r="H267" s="18" t="n">
        <v>0.4269486729</v>
      </c>
      <c r="I267" s="18" t="n">
        <v>0.5454648406</v>
      </c>
      <c r="J267" s="18" t="n">
        <v>0.6154940925</v>
      </c>
      <c r="K267" s="18" t="n">
        <v>0.7111564109</v>
      </c>
      <c r="W267" s="1"/>
      <c r="X267" s="1"/>
      <c r="Y267" s="1"/>
      <c r="Z267" s="1"/>
    </row>
    <row r="268" customFormat="false" ht="15.75" hidden="false" customHeight="true" outlineLevel="0" collapsed="false">
      <c r="A268" s="13" t="s">
        <v>895</v>
      </c>
      <c r="B268" s="18" t="n">
        <v>0.02285124369</v>
      </c>
      <c r="C268" s="18" t="n">
        <v>0.03610659201</v>
      </c>
      <c r="D268" s="18" t="n">
        <v>0.07629297395</v>
      </c>
      <c r="E268" s="18" t="n">
        <v>0.1687831651</v>
      </c>
      <c r="F268" s="18" t="n">
        <v>0.2939776184</v>
      </c>
      <c r="G268" s="18" t="n">
        <v>0.4127908404</v>
      </c>
      <c r="H268" s="18" t="n">
        <v>0.2846324486</v>
      </c>
      <c r="I268" s="18" t="n">
        <v>0.3636432271</v>
      </c>
      <c r="J268" s="18" t="n">
        <v>0.410329395</v>
      </c>
      <c r="K268" s="18" t="n">
        <v>0.474104274</v>
      </c>
      <c r="W268" s="1"/>
      <c r="X268" s="1"/>
      <c r="Y268" s="1"/>
      <c r="Z268" s="1"/>
    </row>
    <row r="269" customFormat="false" ht="15.75" hidden="false" customHeight="true" outlineLevel="0" collapsed="false">
      <c r="A269" s="13" t="s">
        <v>406</v>
      </c>
      <c r="B269" s="18" t="n">
        <v>0.02934663145</v>
      </c>
      <c r="C269" s="18" t="n">
        <v>0.04636976714</v>
      </c>
      <c r="D269" s="18" t="n">
        <v>0.09797899052</v>
      </c>
      <c r="E269" s="18" t="n">
        <v>0.2167592018</v>
      </c>
      <c r="F269" s="18" t="n">
        <v>0.3775397497</v>
      </c>
      <c r="G269" s="18" t="n">
        <v>0.5301252231</v>
      </c>
      <c r="H269" s="18" t="n">
        <v>0.3655382474</v>
      </c>
      <c r="I269" s="18" t="n">
        <v>0.467007569</v>
      </c>
      <c r="J269" s="18" t="n">
        <v>0.5269641203</v>
      </c>
      <c r="K269" s="18" t="n">
        <v>0.6088667902</v>
      </c>
      <c r="W269" s="1"/>
      <c r="X269" s="1"/>
      <c r="Y269" s="1"/>
      <c r="Z269" s="1"/>
    </row>
    <row r="270" customFormat="false" ht="15.75" hidden="false" customHeight="true" outlineLevel="0" collapsed="false">
      <c r="A270" s="13" t="s">
        <v>407</v>
      </c>
      <c r="B270" s="18" t="n">
        <v>0.01737003321</v>
      </c>
      <c r="C270" s="18" t="n">
        <v>0.0274458892</v>
      </c>
      <c r="D270" s="18" t="n">
        <v>0.05799297007</v>
      </c>
      <c r="E270" s="18" t="n">
        <v>0.128298014</v>
      </c>
      <c r="F270" s="18" t="n">
        <v>0.2234627167</v>
      </c>
      <c r="G270" s="18" t="n">
        <v>0.3137768212</v>
      </c>
      <c r="H270" s="18" t="n">
        <v>0.4327182496</v>
      </c>
      <c r="I270" s="18" t="n">
        <v>0.5528359871</v>
      </c>
      <c r="J270" s="18" t="n">
        <v>0.6238115802</v>
      </c>
      <c r="K270" s="18" t="n">
        <v>0.7207666327</v>
      </c>
      <c r="W270" s="1"/>
      <c r="X270" s="1"/>
      <c r="Y270" s="1"/>
      <c r="Z270" s="1"/>
    </row>
    <row r="271" customFormat="false" ht="15.75" hidden="false" customHeight="true" outlineLevel="0" collapsed="false">
      <c r="A271" s="13" t="s">
        <v>409</v>
      </c>
      <c r="B271" s="18" t="n">
        <v>0.05199547379</v>
      </c>
      <c r="C271" s="18" t="n">
        <v>0.09391680189</v>
      </c>
      <c r="D271" s="18" t="n">
        <v>0.1626656434</v>
      </c>
      <c r="E271" s="18" t="n">
        <v>0.3005737513</v>
      </c>
      <c r="F271" s="18" t="n">
        <v>0.5065799112</v>
      </c>
      <c r="G271" s="18" t="n">
        <v>0.7097520082</v>
      </c>
      <c r="H271" s="18" t="n">
        <v>0.4769616833</v>
      </c>
      <c r="I271" s="18" t="n">
        <v>0.6027093449</v>
      </c>
      <c r="J271" s="18" t="n">
        <v>0.6877126349</v>
      </c>
      <c r="K271" s="18" t="n">
        <v>0.7949173482</v>
      </c>
      <c r="W271" s="1"/>
      <c r="X271" s="1"/>
      <c r="Y271" s="1"/>
      <c r="Z271" s="1"/>
    </row>
    <row r="272" customFormat="false" ht="15.75" hidden="false" customHeight="true" outlineLevel="0" collapsed="false">
      <c r="A272" s="13" t="s">
        <v>411</v>
      </c>
      <c r="B272" s="18" t="n">
        <v>0.02089368271</v>
      </c>
      <c r="C272" s="18" t="n">
        <v>0.02998651988</v>
      </c>
      <c r="D272" s="18" t="n">
        <v>0.07257073879</v>
      </c>
      <c r="E272" s="18" t="n">
        <v>0.1758096777</v>
      </c>
      <c r="F272" s="18" t="n">
        <v>0.3105771636</v>
      </c>
      <c r="G272" s="18" t="n">
        <v>0.4365022654</v>
      </c>
      <c r="H272" s="18" t="n">
        <v>0.3041828832</v>
      </c>
      <c r="I272" s="18" t="n">
        <v>0.3903326962</v>
      </c>
      <c r="J272" s="18" t="n">
        <v>0.4384828403</v>
      </c>
      <c r="K272" s="18" t="n">
        <v>0.5065515978</v>
      </c>
      <c r="W272" s="1"/>
      <c r="X272" s="1"/>
      <c r="Y272" s="1"/>
      <c r="Z272" s="1"/>
    </row>
    <row r="273" customFormat="false" ht="15.75" hidden="false" customHeight="true" outlineLevel="0" collapsed="false">
      <c r="A273" s="13" t="s">
        <v>413</v>
      </c>
      <c r="B273" s="18" t="n">
        <v>0.03489726129</v>
      </c>
      <c r="C273" s="18" t="n">
        <v>0.05514015749</v>
      </c>
      <c r="D273" s="18" t="n">
        <v>0.1165107634</v>
      </c>
      <c r="E273" s="18" t="n">
        <v>0.257757096</v>
      </c>
      <c r="F273" s="18" t="n">
        <v>0.4489477205</v>
      </c>
      <c r="G273" s="18" t="n">
        <v>0.6303932517</v>
      </c>
      <c r="H273" s="18" t="n">
        <v>0.4346762507</v>
      </c>
      <c r="I273" s="18" t="n">
        <v>0.5553375074</v>
      </c>
      <c r="J273" s="18" t="n">
        <v>0.626634257</v>
      </c>
      <c r="K273" s="18" t="n">
        <v>0.7240280202</v>
      </c>
      <c r="W273" s="1"/>
      <c r="X273" s="1"/>
      <c r="Y273" s="1"/>
      <c r="Z273" s="1"/>
    </row>
    <row r="274" customFormat="false" ht="15.75" hidden="false" customHeight="true" outlineLevel="0" collapsed="false">
      <c r="A274" s="13" t="s">
        <v>415</v>
      </c>
      <c r="B274" s="18" t="n">
        <v>0.02326484086</v>
      </c>
      <c r="C274" s="18" t="n">
        <v>0.03676010499</v>
      </c>
      <c r="D274" s="18" t="n">
        <v>0.07767384226</v>
      </c>
      <c r="E274" s="18" t="n">
        <v>0.171838064</v>
      </c>
      <c r="F274" s="18" t="n">
        <v>0.2992984803</v>
      </c>
      <c r="G274" s="18" t="n">
        <v>0.4202621678</v>
      </c>
      <c r="H274" s="18" t="n">
        <v>0.2897841672</v>
      </c>
      <c r="I274" s="18" t="n">
        <v>0.3702250049</v>
      </c>
      <c r="J274" s="18" t="n">
        <v>0.4177561714</v>
      </c>
      <c r="K274" s="18" t="n">
        <v>0.4826853468</v>
      </c>
      <c r="W274" s="1"/>
      <c r="X274" s="1"/>
      <c r="Y274" s="1"/>
      <c r="Z274" s="1"/>
    </row>
    <row r="275" customFormat="false" ht="15.75" hidden="false" customHeight="true" outlineLevel="0" collapsed="false">
      <c r="A275" s="13" t="s">
        <v>417</v>
      </c>
      <c r="B275" s="18" t="n">
        <v>0.06979452257</v>
      </c>
      <c r="C275" s="18" t="n">
        <v>0.110280315</v>
      </c>
      <c r="D275" s="18" t="n">
        <v>0.2330215268</v>
      </c>
      <c r="E275" s="18" t="n">
        <v>0.5155141921</v>
      </c>
      <c r="F275" s="18" t="n">
        <v>0.897895441</v>
      </c>
      <c r="G275" s="18" t="n">
        <v>0.6303932517</v>
      </c>
      <c r="H275" s="18" t="n">
        <v>0.4346762507</v>
      </c>
      <c r="I275" s="18" t="n">
        <v>0.5553375074</v>
      </c>
      <c r="J275" s="18" t="n">
        <v>0.626634257</v>
      </c>
      <c r="K275" s="18" t="n">
        <v>0.7240280202</v>
      </c>
      <c r="W275" s="1"/>
      <c r="X275" s="1"/>
      <c r="Y275" s="1"/>
      <c r="Z275" s="1"/>
    </row>
    <row r="276" customFormat="false" ht="15.75" hidden="false" customHeight="true" outlineLevel="0" collapsed="false">
      <c r="A276" s="13" t="s">
        <v>420</v>
      </c>
      <c r="B276" s="18" t="n">
        <v>0.002742149242</v>
      </c>
      <c r="C276" s="18" t="n">
        <v>0.004332791042</v>
      </c>
      <c r="D276" s="18" t="n">
        <v>0.009155156874</v>
      </c>
      <c r="E276" s="18" t="n">
        <v>0.02025397981</v>
      </c>
      <c r="F276" s="18" t="n">
        <v>0.03527731421</v>
      </c>
      <c r="G276" s="18" t="n">
        <v>0.04953490084</v>
      </c>
      <c r="H276" s="18" t="n">
        <v>0.06831178767</v>
      </c>
      <c r="I276" s="18" t="n">
        <v>0.0872743745</v>
      </c>
      <c r="J276" s="18" t="n">
        <v>0.09847905479</v>
      </c>
      <c r="K276" s="18" t="n">
        <v>0.1137850257</v>
      </c>
      <c r="W276" s="1"/>
      <c r="X276" s="1"/>
      <c r="Y276" s="1"/>
      <c r="Z276" s="1"/>
    </row>
    <row r="277" customFormat="false" ht="15.75" hidden="false" customHeight="true" outlineLevel="0" collapsed="false">
      <c r="A277" s="13" t="s">
        <v>423</v>
      </c>
      <c r="B277" s="18" t="n">
        <v>0.06979452257</v>
      </c>
      <c r="C277" s="18" t="n">
        <v>0.110280315</v>
      </c>
      <c r="D277" s="18" t="n">
        <v>0.2330215268</v>
      </c>
      <c r="E277" s="18" t="n">
        <v>0.5155141921</v>
      </c>
      <c r="F277" s="18" t="n">
        <v>0.897895441</v>
      </c>
      <c r="G277" s="18" t="n">
        <v>0.6303932517</v>
      </c>
      <c r="H277" s="18" t="n">
        <v>0.4346762507</v>
      </c>
      <c r="I277" s="18" t="n">
        <v>0.5553375074</v>
      </c>
      <c r="J277" s="18" t="n">
        <v>0.626634257</v>
      </c>
      <c r="K277" s="18" t="n">
        <v>0.7240280202</v>
      </c>
      <c r="W277" s="1"/>
      <c r="X277" s="1"/>
      <c r="Y277" s="1"/>
      <c r="Z277" s="1"/>
    </row>
    <row r="278" customFormat="false" ht="15.75" hidden="false" customHeight="true" outlineLevel="0" collapsed="false">
      <c r="A278" s="13" t="s">
        <v>424</v>
      </c>
      <c r="B278" s="18" t="n">
        <v>0.1371074621</v>
      </c>
      <c r="C278" s="18" t="n">
        <v>0.2166395521</v>
      </c>
      <c r="D278" s="18" t="n">
        <v>0.4577578437</v>
      </c>
      <c r="E278" s="18" t="n">
        <v>0.5063494953</v>
      </c>
      <c r="F278" s="18" t="n">
        <v>0.8819328553</v>
      </c>
      <c r="G278" s="18" t="n">
        <v>0.8255816807</v>
      </c>
      <c r="H278" s="18" t="n">
        <v>0.4269486729</v>
      </c>
      <c r="I278" s="18" t="n">
        <v>0.5454648406</v>
      </c>
      <c r="J278" s="18" t="n">
        <v>0.6154940925</v>
      </c>
      <c r="K278" s="18" t="n">
        <v>0.7111564109</v>
      </c>
      <c r="W278" s="1"/>
      <c r="X278" s="1"/>
      <c r="Y278" s="1"/>
      <c r="Z278" s="1"/>
    </row>
    <row r="279" customFormat="false" ht="15.75" hidden="false" customHeight="true" outlineLevel="0" collapsed="false">
      <c r="A279" s="13" t="s">
        <v>425</v>
      </c>
      <c r="B279" s="18" t="n">
        <v>0.03427686553</v>
      </c>
      <c r="C279" s="18" t="n">
        <v>0.05415988802</v>
      </c>
      <c r="D279" s="18" t="n">
        <v>0.1144394609</v>
      </c>
      <c r="E279" s="18" t="n">
        <v>0.2531747477</v>
      </c>
      <c r="F279" s="18" t="n">
        <v>0.4409664277</v>
      </c>
      <c r="G279" s="18" t="n">
        <v>0.6191862605</v>
      </c>
      <c r="H279" s="18" t="n">
        <v>0.4269486729</v>
      </c>
      <c r="I279" s="18" t="n">
        <v>0.5454648406</v>
      </c>
      <c r="J279" s="18" t="n">
        <v>0.6154940925</v>
      </c>
      <c r="K279" s="18" t="n">
        <v>0.7111564109</v>
      </c>
      <c r="W279" s="1"/>
      <c r="X279" s="1"/>
      <c r="Y279" s="1"/>
      <c r="Z279" s="1"/>
    </row>
    <row r="280" customFormat="false" ht="15.75" hidden="false" customHeight="true" outlineLevel="0" collapsed="false">
      <c r="A280" s="13" t="s">
        <v>426</v>
      </c>
      <c r="B280" s="18" t="n">
        <v>0.02285124369</v>
      </c>
      <c r="C280" s="18" t="n">
        <v>0.03610659201</v>
      </c>
      <c r="D280" s="18" t="n">
        <v>0.07629297395</v>
      </c>
      <c r="E280" s="18" t="n">
        <v>0.1687831651</v>
      </c>
      <c r="F280" s="18" t="n">
        <v>0.2939776184</v>
      </c>
      <c r="G280" s="18" t="n">
        <v>0.4127908404</v>
      </c>
      <c r="H280" s="18" t="n">
        <v>0.2846324486</v>
      </c>
      <c r="I280" s="18" t="n">
        <v>0.3636432271</v>
      </c>
      <c r="J280" s="18" t="n">
        <v>0.410329395</v>
      </c>
      <c r="K280" s="18" t="n">
        <v>0.474104274</v>
      </c>
      <c r="W280" s="1"/>
      <c r="X280" s="1"/>
      <c r="Y280" s="1"/>
      <c r="Z280" s="1"/>
    </row>
    <row r="281" customFormat="false" ht="15.75" hidden="false" customHeight="true" outlineLevel="0" collapsed="false">
      <c r="A281" s="13" t="s">
        <v>427</v>
      </c>
      <c r="B281" s="18" t="n">
        <v>0.01028305966</v>
      </c>
      <c r="C281" s="18" t="n">
        <v>0.01624796641</v>
      </c>
      <c r="D281" s="18" t="n">
        <v>0.03433183828</v>
      </c>
      <c r="E281" s="18" t="n">
        <v>0.0759524243</v>
      </c>
      <c r="F281" s="18" t="n">
        <v>0.1322899283</v>
      </c>
      <c r="G281" s="18" t="n">
        <v>0.1857558782</v>
      </c>
      <c r="H281" s="18" t="n">
        <v>0.2561692038</v>
      </c>
      <c r="I281" s="18" t="n">
        <v>0.3272789044</v>
      </c>
      <c r="J281" s="18" t="n">
        <v>0.3692964555</v>
      </c>
      <c r="K281" s="18" t="n">
        <v>0.4266938466</v>
      </c>
      <c r="W281" s="1"/>
      <c r="X281" s="1"/>
      <c r="Y281" s="1"/>
      <c r="Z281" s="1"/>
    </row>
    <row r="282" customFormat="false" ht="15.75" hidden="false" customHeight="true" outlineLevel="0" collapsed="false">
      <c r="A282" s="13" t="s">
        <v>429</v>
      </c>
      <c r="B282" s="18" t="n">
        <v>0.03017329712</v>
      </c>
      <c r="C282" s="18" t="n">
        <v>0.04767595777</v>
      </c>
      <c r="D282" s="18" t="n">
        <v>0.1007389621</v>
      </c>
      <c r="E282" s="18" t="n">
        <v>0.2228650948</v>
      </c>
      <c r="F282" s="18" t="n">
        <v>0.3881746722</v>
      </c>
      <c r="G282" s="18" t="n">
        <v>0.5450583279</v>
      </c>
      <c r="H282" s="18" t="n">
        <v>0.3758350994</v>
      </c>
      <c r="I282" s="18" t="n">
        <v>0.4801627118</v>
      </c>
      <c r="J282" s="18" t="n">
        <v>0.54180818</v>
      </c>
      <c r="K282" s="18" t="n">
        <v>0.6260179674</v>
      </c>
      <c r="W282" s="1"/>
      <c r="X282" s="1"/>
      <c r="Y282" s="1"/>
      <c r="Z282" s="1"/>
    </row>
    <row r="283" customFormat="false" ht="15.75" hidden="false" customHeight="true" outlineLevel="0" collapsed="false">
      <c r="A283" s="13" t="s">
        <v>430</v>
      </c>
      <c r="B283" s="18" t="n">
        <v>0.0512502983</v>
      </c>
      <c r="C283" s="18" t="n">
        <v>0.08074663203</v>
      </c>
      <c r="D283" s="18" t="n">
        <v>0.09932859139</v>
      </c>
      <c r="E283" s="18" t="n">
        <v>0.1293374215</v>
      </c>
      <c r="F283" s="18" t="n">
        <v>0.1988505415</v>
      </c>
      <c r="G283" s="18" t="n">
        <v>0.2584683908</v>
      </c>
      <c r="H283" s="18" t="n">
        <v>0.3340175188</v>
      </c>
      <c r="I283" s="18" t="n">
        <v>0.4131019218</v>
      </c>
      <c r="J283" s="18" t="n">
        <v>0.4756763774</v>
      </c>
      <c r="K283" s="18" t="n">
        <v>0.5412675328</v>
      </c>
      <c r="W283" s="1"/>
      <c r="X283" s="1"/>
      <c r="Y283" s="1"/>
      <c r="Z283" s="1"/>
    </row>
    <row r="284" customFormat="false" ht="15.75" hidden="false" customHeight="true" outlineLevel="0" collapsed="false">
      <c r="A284" s="13" t="s">
        <v>433</v>
      </c>
      <c r="B284" s="18" t="n">
        <v>0.1159509011</v>
      </c>
      <c r="C284" s="18" t="n">
        <v>0.1826846879</v>
      </c>
      <c r="D284" s="18" t="n">
        <v>0.2247253199</v>
      </c>
      <c r="E284" s="18" t="n">
        <v>0.2926186006</v>
      </c>
      <c r="F284" s="18" t="n">
        <v>0.4498881029</v>
      </c>
      <c r="G284" s="18" t="n">
        <v>0.5847701149</v>
      </c>
      <c r="H284" s="18" t="n">
        <v>0.377847872</v>
      </c>
      <c r="I284" s="18" t="n">
        <v>0.4673098663</v>
      </c>
      <c r="J284" s="18" t="n">
        <v>0.5380954495</v>
      </c>
      <c r="K284" s="18" t="n">
        <v>0.6122935892</v>
      </c>
      <c r="W284" s="1"/>
      <c r="X284" s="1"/>
      <c r="Y284" s="1"/>
      <c r="Z284" s="1"/>
    </row>
    <row r="285" customFormat="false" ht="15.75" hidden="false" customHeight="true" outlineLevel="0" collapsed="false">
      <c r="A285" s="13" t="s">
        <v>434</v>
      </c>
      <c r="B285" s="18" t="n">
        <v>0.03416686553</v>
      </c>
      <c r="C285" s="18" t="n">
        <v>0.05383108802</v>
      </c>
      <c r="D285" s="18" t="n">
        <v>0.06621906093</v>
      </c>
      <c r="E285" s="18" t="n">
        <v>0.08622494765</v>
      </c>
      <c r="F285" s="18" t="n">
        <v>0.1325670277</v>
      </c>
      <c r="G285" s="18" t="n">
        <v>0.1723122605</v>
      </c>
      <c r="H285" s="18" t="n">
        <v>0.2226783459</v>
      </c>
      <c r="I285" s="18" t="n">
        <v>0.2754012812</v>
      </c>
      <c r="J285" s="18" t="n">
        <v>0.3171175849</v>
      </c>
      <c r="K285" s="18" t="n">
        <v>0.3608450219</v>
      </c>
      <c r="W285" s="1"/>
      <c r="X285" s="1"/>
      <c r="Y285" s="1"/>
      <c r="Z285" s="1"/>
    </row>
    <row r="286" customFormat="false" ht="15.75" hidden="false" customHeight="true" outlineLevel="0" collapsed="false">
      <c r="A286" s="13" t="s">
        <v>435</v>
      </c>
      <c r="B286" s="18" t="n">
        <v>0.04555582071</v>
      </c>
      <c r="C286" s="18" t="n">
        <v>0.07177478403</v>
      </c>
      <c r="D286" s="18" t="n">
        <v>0.08829208124</v>
      </c>
      <c r="E286" s="18" t="n">
        <v>0.1149665969</v>
      </c>
      <c r="F286" s="18" t="n">
        <v>0.1767560369</v>
      </c>
      <c r="G286" s="18" t="n">
        <v>0.2297496807</v>
      </c>
      <c r="H286" s="18" t="n">
        <v>0.2969044612</v>
      </c>
      <c r="I286" s="18" t="n">
        <v>0.3672017083</v>
      </c>
      <c r="J286" s="18" t="n">
        <v>0.4228234466</v>
      </c>
      <c r="K286" s="18" t="n">
        <v>0.4811266958</v>
      </c>
      <c r="W286" s="1"/>
      <c r="X286" s="1"/>
      <c r="Y286" s="1"/>
      <c r="Z286" s="1"/>
    </row>
    <row r="287" customFormat="false" ht="15.75" hidden="false" customHeight="true" outlineLevel="0" collapsed="false">
      <c r="A287" s="13" t="s">
        <v>436</v>
      </c>
      <c r="B287" s="18" t="n">
        <v>0.06833373106</v>
      </c>
      <c r="C287" s="18" t="n">
        <v>0.107662176</v>
      </c>
      <c r="D287" s="18" t="n">
        <v>0.1324381219</v>
      </c>
      <c r="E287" s="18" t="n">
        <v>0.1724498953</v>
      </c>
      <c r="F287" s="18" t="n">
        <v>0.2651340553</v>
      </c>
      <c r="G287" s="18" t="n">
        <v>0.3446245211</v>
      </c>
      <c r="H287" s="18" t="n">
        <v>0.4453566917</v>
      </c>
      <c r="I287" s="18" t="n">
        <v>0.5508025624</v>
      </c>
      <c r="J287" s="18" t="n">
        <v>0.6342351698</v>
      </c>
      <c r="K287" s="18" t="n">
        <v>0.7216900437</v>
      </c>
      <c r="W287" s="1"/>
      <c r="X287" s="1"/>
      <c r="Y287" s="1"/>
      <c r="Z287" s="1"/>
    </row>
    <row r="288" customFormat="false" ht="15.75" hidden="false" customHeight="true" outlineLevel="0" collapsed="false">
      <c r="A288" s="13" t="s">
        <v>437</v>
      </c>
      <c r="B288" s="18" t="n">
        <v>0.05187642205</v>
      </c>
      <c r="C288" s="18" t="n">
        <v>0.08196844039</v>
      </c>
      <c r="D288" s="18" t="n">
        <v>0.1731987357</v>
      </c>
      <c r="E288" s="18" t="n">
        <v>0.3831680598</v>
      </c>
      <c r="F288" s="18" t="n">
        <v>0.6673819253</v>
      </c>
      <c r="G288" s="18" t="n">
        <v>0.4685546254</v>
      </c>
      <c r="H288" s="18" t="n">
        <v>0.3230833568</v>
      </c>
      <c r="I288" s="18" t="n">
        <v>0.4127676765</v>
      </c>
      <c r="J288" s="18" t="n">
        <v>0.4657606641</v>
      </c>
      <c r="K288" s="18" t="n">
        <v>0.5381508715</v>
      </c>
      <c r="W288" s="1"/>
      <c r="X288" s="1"/>
      <c r="Y288" s="1"/>
      <c r="Z288" s="1"/>
    </row>
    <row r="289" customFormat="false" ht="15.75" hidden="false" customHeight="true" outlineLevel="0" collapsed="false">
      <c r="W289" s="1"/>
      <c r="X289" s="1"/>
      <c r="Y289" s="1"/>
      <c r="Z289" s="1"/>
    </row>
    <row r="290" customFormat="false" ht="15.75" hidden="false" customHeight="true" outlineLevel="0" collapsed="false">
      <c r="A290" s="9" t="s">
        <v>896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W290" s="1"/>
      <c r="X290" s="1"/>
      <c r="Y290" s="1"/>
      <c r="Z290" s="1"/>
    </row>
    <row r="291" customFormat="false" ht="15.75" hidden="false" customHeight="true" outlineLevel="0" collapsed="false">
      <c r="A291" s="10" t="s">
        <v>845</v>
      </c>
      <c r="B291" s="10" t="s">
        <v>897</v>
      </c>
      <c r="C291" s="10" t="s">
        <v>885</v>
      </c>
      <c r="D291" s="10" t="s">
        <v>886</v>
      </c>
      <c r="E291" s="10" t="s">
        <v>887</v>
      </c>
      <c r="F291" s="10" t="s">
        <v>888</v>
      </c>
      <c r="G291" s="10" t="s">
        <v>889</v>
      </c>
      <c r="H291" s="10" t="s">
        <v>890</v>
      </c>
      <c r="I291" s="10" t="s">
        <v>891</v>
      </c>
      <c r="J291" s="10" t="s">
        <v>892</v>
      </c>
      <c r="K291" s="10" t="s">
        <v>893</v>
      </c>
      <c r="L291" s="10" t="s">
        <v>894</v>
      </c>
      <c r="W291" s="1"/>
      <c r="X291" s="1"/>
      <c r="Y291" s="1"/>
      <c r="Z291" s="1"/>
    </row>
    <row r="292" customFormat="false" ht="15.75" hidden="false" customHeight="true" outlineLevel="0" collapsed="false">
      <c r="A292" s="13" t="s">
        <v>770</v>
      </c>
      <c r="B292" s="41" t="s">
        <v>898</v>
      </c>
      <c r="C292" s="40" t="n">
        <v>0</v>
      </c>
      <c r="D292" s="40" t="n">
        <v>0</v>
      </c>
      <c r="E292" s="40" t="n">
        <v>0</v>
      </c>
      <c r="F292" s="40" t="n">
        <v>0</v>
      </c>
      <c r="G292" s="40" t="n">
        <v>0</v>
      </c>
      <c r="H292" s="40" t="n">
        <v>0</v>
      </c>
      <c r="I292" s="40" t="n">
        <v>0</v>
      </c>
      <c r="J292" s="40" t="n">
        <v>0</v>
      </c>
      <c r="K292" s="40" t="n">
        <v>0</v>
      </c>
      <c r="L292" s="40" t="n">
        <v>0</v>
      </c>
      <c r="W292" s="1"/>
      <c r="X292" s="1"/>
      <c r="Y292" s="1"/>
      <c r="Z292" s="1"/>
    </row>
    <row r="293" customFormat="false" ht="15.75" hidden="false" customHeight="true" outlineLevel="0" collapsed="false">
      <c r="A293" s="13" t="s">
        <v>771</v>
      </c>
      <c r="B293" s="41" t="s">
        <v>898</v>
      </c>
      <c r="C293" s="40" t="n">
        <v>2</v>
      </c>
      <c r="D293" s="40" t="n">
        <v>7</v>
      </c>
      <c r="E293" s="40" t="n">
        <v>14</v>
      </c>
      <c r="F293" s="40" t="n">
        <v>26</v>
      </c>
      <c r="G293" s="40" t="n">
        <v>37</v>
      </c>
      <c r="H293" s="40" t="n">
        <v>49</v>
      </c>
      <c r="I293" s="40" t="n">
        <v>59</v>
      </c>
      <c r="J293" s="40" t="n">
        <v>65</v>
      </c>
      <c r="K293" s="40" t="n">
        <v>70</v>
      </c>
      <c r="L293" s="40" t="n">
        <v>76</v>
      </c>
      <c r="W293" s="1"/>
      <c r="X293" s="1"/>
      <c r="Y293" s="1"/>
      <c r="Z293" s="1"/>
    </row>
    <row r="294" customFormat="false" ht="15.75" hidden="false" customHeight="true" outlineLevel="0" collapsed="false">
      <c r="A294" s="13" t="s">
        <v>772</v>
      </c>
      <c r="B294" s="41" t="s">
        <v>898</v>
      </c>
      <c r="C294" s="40" t="n">
        <v>9</v>
      </c>
      <c r="D294" s="40" t="n">
        <v>36</v>
      </c>
      <c r="E294" s="40" t="n">
        <v>81</v>
      </c>
      <c r="F294" s="40" t="n">
        <v>153</v>
      </c>
      <c r="G294" s="40" t="n">
        <v>221</v>
      </c>
      <c r="H294" s="40" t="n">
        <v>293</v>
      </c>
      <c r="I294" s="40" t="n">
        <v>347</v>
      </c>
      <c r="J294" s="40" t="n">
        <v>385</v>
      </c>
      <c r="K294" s="40" t="n">
        <v>415</v>
      </c>
      <c r="L294" s="40" t="n">
        <v>446</v>
      </c>
      <c r="W294" s="1"/>
      <c r="X294" s="1"/>
      <c r="Y294" s="1"/>
      <c r="Z294" s="1"/>
    </row>
    <row r="295" customFormat="false" ht="15.75" hidden="false" customHeight="true" outlineLevel="0" collapsed="false">
      <c r="A295" s="13" t="s">
        <v>773</v>
      </c>
      <c r="B295" s="41" t="s">
        <v>898</v>
      </c>
      <c r="C295" s="40" t="n">
        <v>1</v>
      </c>
      <c r="D295" s="40" t="n">
        <v>3</v>
      </c>
      <c r="E295" s="40" t="n">
        <v>6</v>
      </c>
      <c r="F295" s="40" t="n">
        <v>10</v>
      </c>
      <c r="G295" s="40" t="n">
        <v>14</v>
      </c>
      <c r="H295" s="40" t="n">
        <v>19</v>
      </c>
      <c r="I295" s="40" t="n">
        <v>22</v>
      </c>
      <c r="J295" s="40" t="n">
        <v>24</v>
      </c>
      <c r="K295" s="40" t="n">
        <v>26</v>
      </c>
      <c r="L295" s="40" t="n">
        <v>28</v>
      </c>
      <c r="W295" s="1"/>
      <c r="X295" s="1"/>
      <c r="Y295" s="1"/>
      <c r="Z295" s="1"/>
    </row>
    <row r="296" customFormat="false" ht="15.75" hidden="false" customHeight="true" outlineLevel="0" collapsed="false">
      <c r="A296" s="13" t="s">
        <v>899</v>
      </c>
      <c r="B296" s="41" t="s">
        <v>900</v>
      </c>
      <c r="C296" s="40" t="n">
        <v>1</v>
      </c>
      <c r="D296" s="40" t="n">
        <v>4</v>
      </c>
      <c r="E296" s="40" t="n">
        <v>8</v>
      </c>
      <c r="F296" s="40" t="n">
        <v>14</v>
      </c>
      <c r="G296" s="40" t="n">
        <v>20</v>
      </c>
      <c r="H296" s="40" t="n">
        <v>26</v>
      </c>
      <c r="I296" s="40" t="n">
        <v>30</v>
      </c>
      <c r="J296" s="40" t="n">
        <v>33</v>
      </c>
      <c r="K296" s="40" t="n">
        <v>36</v>
      </c>
      <c r="L296" s="40" t="n">
        <v>39</v>
      </c>
      <c r="W296" s="1"/>
      <c r="X296" s="1"/>
      <c r="Y296" s="1"/>
      <c r="Z296" s="1"/>
    </row>
    <row r="297" customFormat="false" ht="15.75" hidden="false" customHeight="true" outlineLevel="0" collapsed="false">
      <c r="A297" s="13" t="s">
        <v>901</v>
      </c>
      <c r="B297" s="41" t="s">
        <v>900</v>
      </c>
      <c r="C297" s="40" t="n">
        <v>1</v>
      </c>
      <c r="D297" s="40" t="n">
        <v>1</v>
      </c>
      <c r="E297" s="40" t="n">
        <v>2</v>
      </c>
      <c r="F297" s="40" t="n">
        <v>2</v>
      </c>
      <c r="G297" s="40" t="n">
        <v>3</v>
      </c>
      <c r="H297" s="40" t="n">
        <v>4</v>
      </c>
      <c r="I297" s="40" t="n">
        <v>5</v>
      </c>
      <c r="J297" s="40" t="n">
        <v>5</v>
      </c>
      <c r="K297" s="40" t="n">
        <v>6</v>
      </c>
      <c r="L297" s="40" t="n">
        <v>6</v>
      </c>
      <c r="W297" s="1"/>
      <c r="X297" s="1"/>
      <c r="Y297" s="1"/>
      <c r="Z297" s="1"/>
    </row>
    <row r="298" customFormat="false" ht="15.75" hidden="false" customHeight="true" outlineLevel="0" collapsed="false">
      <c r="A298" s="13" t="s">
        <v>902</v>
      </c>
      <c r="B298" s="41" t="s">
        <v>900</v>
      </c>
      <c r="C298" s="40" t="n">
        <v>1</v>
      </c>
      <c r="D298" s="40" t="n">
        <v>1</v>
      </c>
      <c r="E298" s="40" t="n">
        <v>1</v>
      </c>
      <c r="F298" s="40" t="n">
        <v>2</v>
      </c>
      <c r="G298" s="40" t="n">
        <v>2</v>
      </c>
      <c r="H298" s="40" t="n">
        <v>2</v>
      </c>
      <c r="I298" s="40" t="n">
        <v>3</v>
      </c>
      <c r="J298" s="40" t="n">
        <v>3</v>
      </c>
      <c r="K298" s="40" t="n">
        <v>3</v>
      </c>
      <c r="L298" s="40" t="n">
        <v>4</v>
      </c>
      <c r="W298" s="1"/>
      <c r="X298" s="1"/>
      <c r="Y298" s="1"/>
      <c r="Z298" s="1"/>
    </row>
    <row r="299" customFormat="false" ht="15.75" hidden="false" customHeight="true" outlineLevel="0" collapsed="false">
      <c r="A299" s="13" t="s">
        <v>903</v>
      </c>
      <c r="B299" s="41" t="s">
        <v>900</v>
      </c>
      <c r="C299" s="40" t="n">
        <v>1</v>
      </c>
      <c r="D299" s="40" t="n">
        <v>1</v>
      </c>
      <c r="E299" s="40" t="n">
        <v>1</v>
      </c>
      <c r="F299" s="40" t="n">
        <v>1</v>
      </c>
      <c r="G299" s="40" t="n">
        <v>1</v>
      </c>
      <c r="H299" s="40" t="n">
        <v>2</v>
      </c>
      <c r="I299" s="40" t="n">
        <v>2</v>
      </c>
      <c r="J299" s="40" t="n">
        <v>2</v>
      </c>
      <c r="K299" s="40" t="n">
        <v>2</v>
      </c>
      <c r="L299" s="40" t="n">
        <v>2</v>
      </c>
      <c r="W299" s="1"/>
      <c r="X299" s="1"/>
      <c r="Y299" s="1"/>
      <c r="Z299" s="1"/>
    </row>
    <row r="300" customFormat="false" ht="15.75" hidden="false" customHeight="true" outlineLevel="0" collapsed="false">
      <c r="A300" s="13" t="s">
        <v>904</v>
      </c>
      <c r="B300" s="41" t="s">
        <v>900</v>
      </c>
      <c r="C300" s="40" t="n">
        <v>1</v>
      </c>
      <c r="D300" s="40" t="n">
        <v>2</v>
      </c>
      <c r="E300" s="40" t="n">
        <v>4</v>
      </c>
      <c r="F300" s="40" t="n">
        <v>7</v>
      </c>
      <c r="G300" s="40" t="n">
        <v>9</v>
      </c>
      <c r="H300" s="40" t="n">
        <v>12</v>
      </c>
      <c r="I300" s="40" t="n">
        <v>14</v>
      </c>
      <c r="J300" s="40" t="n">
        <v>16</v>
      </c>
      <c r="K300" s="40" t="n">
        <v>17</v>
      </c>
      <c r="L300" s="40" t="n">
        <v>19</v>
      </c>
      <c r="W300" s="1"/>
      <c r="X300" s="1"/>
      <c r="Y300" s="1"/>
      <c r="Z300" s="1"/>
    </row>
    <row r="301" customFormat="false" ht="15.75" hidden="false" customHeight="true" outlineLevel="0" collapsed="false">
      <c r="A301" s="13" t="s">
        <v>905</v>
      </c>
      <c r="B301" s="41" t="s">
        <v>900</v>
      </c>
      <c r="C301" s="40" t="n">
        <v>3</v>
      </c>
      <c r="D301" s="40" t="n">
        <v>8</v>
      </c>
      <c r="E301" s="40" t="n">
        <v>19</v>
      </c>
      <c r="F301" s="40" t="n">
        <v>36</v>
      </c>
      <c r="G301" s="40" t="n">
        <v>52</v>
      </c>
      <c r="H301" s="40" t="n">
        <v>68</v>
      </c>
      <c r="I301" s="40" t="n">
        <v>81</v>
      </c>
      <c r="J301" s="40" t="n">
        <v>89</v>
      </c>
      <c r="K301" s="40" t="n">
        <v>96</v>
      </c>
      <c r="L301" s="40" t="n">
        <v>103</v>
      </c>
      <c r="W301" s="1"/>
      <c r="X301" s="1"/>
      <c r="Y301" s="1"/>
      <c r="Z301" s="1"/>
    </row>
    <row r="302" customFormat="false" ht="15.75" hidden="false" customHeight="true" outlineLevel="0" collapsed="false">
      <c r="A302" s="13" t="s">
        <v>906</v>
      </c>
      <c r="B302" s="41" t="s">
        <v>900</v>
      </c>
      <c r="C302" s="40" t="n">
        <v>1</v>
      </c>
      <c r="D302" s="40" t="n">
        <v>4</v>
      </c>
      <c r="E302" s="40" t="n">
        <v>7</v>
      </c>
      <c r="F302" s="40" t="n">
        <v>12</v>
      </c>
      <c r="G302" s="40" t="n">
        <v>18</v>
      </c>
      <c r="H302" s="40" t="n">
        <v>23</v>
      </c>
      <c r="I302" s="40" t="n">
        <v>26</v>
      </c>
      <c r="J302" s="40" t="n">
        <v>29</v>
      </c>
      <c r="K302" s="40" t="n">
        <v>31</v>
      </c>
      <c r="L302" s="40" t="n">
        <v>34</v>
      </c>
      <c r="W302" s="1"/>
      <c r="X302" s="1"/>
      <c r="Y302" s="1"/>
      <c r="Z302" s="1"/>
    </row>
    <row r="303" customFormat="false" ht="15.75" hidden="false" customHeight="true" outlineLevel="0" collapsed="false">
      <c r="A303" s="13" t="s">
        <v>907</v>
      </c>
      <c r="B303" s="41" t="s">
        <v>900</v>
      </c>
      <c r="C303" s="40" t="n">
        <v>1</v>
      </c>
      <c r="D303" s="40" t="n">
        <v>1</v>
      </c>
      <c r="E303" s="40" t="n">
        <v>2</v>
      </c>
      <c r="F303" s="40" t="n">
        <v>3</v>
      </c>
      <c r="G303" s="40" t="n">
        <v>3</v>
      </c>
      <c r="H303" s="40" t="n">
        <v>4</v>
      </c>
      <c r="I303" s="40" t="n">
        <v>5</v>
      </c>
      <c r="J303" s="40" t="n">
        <v>5</v>
      </c>
      <c r="K303" s="40" t="n">
        <v>6</v>
      </c>
      <c r="L303" s="40" t="n">
        <v>6</v>
      </c>
      <c r="W303" s="1"/>
      <c r="X303" s="1"/>
      <c r="Y303" s="1"/>
      <c r="Z303" s="1"/>
    </row>
    <row r="304" customFormat="false" ht="15.75" hidden="false" customHeight="true" outlineLevel="0" collapsed="false">
      <c r="A304" s="13" t="s">
        <v>908</v>
      </c>
      <c r="B304" s="41" t="s">
        <v>900</v>
      </c>
      <c r="C304" s="40" t="n">
        <v>1</v>
      </c>
      <c r="D304" s="40" t="n">
        <v>1</v>
      </c>
      <c r="E304" s="40" t="n">
        <v>1</v>
      </c>
      <c r="F304" s="40" t="n">
        <v>1</v>
      </c>
      <c r="G304" s="40" t="n">
        <v>1</v>
      </c>
      <c r="H304" s="40" t="n">
        <v>1</v>
      </c>
      <c r="I304" s="40" t="n">
        <v>2</v>
      </c>
      <c r="J304" s="40" t="n">
        <v>2</v>
      </c>
      <c r="K304" s="40" t="n">
        <v>2</v>
      </c>
      <c r="L304" s="40" t="n">
        <v>2</v>
      </c>
      <c r="W304" s="1"/>
      <c r="X304" s="1"/>
      <c r="Y304" s="1"/>
      <c r="Z304" s="1"/>
    </row>
    <row r="305" customFormat="false" ht="15.75" hidden="false" customHeight="true" outlineLevel="0" collapsed="false">
      <c r="A305" s="13" t="s">
        <v>909</v>
      </c>
      <c r="B305" s="41" t="s">
        <v>898</v>
      </c>
      <c r="C305" s="40" t="n">
        <v>1</v>
      </c>
      <c r="D305" s="40" t="n">
        <v>1</v>
      </c>
      <c r="E305" s="40" t="n">
        <v>1</v>
      </c>
      <c r="F305" s="40" t="n">
        <v>2</v>
      </c>
      <c r="G305" s="40" t="n">
        <v>3</v>
      </c>
      <c r="H305" s="40" t="n">
        <v>4</v>
      </c>
      <c r="I305" s="40" t="n">
        <v>4</v>
      </c>
      <c r="J305" s="40" t="n">
        <v>4</v>
      </c>
      <c r="K305" s="40" t="n">
        <v>5</v>
      </c>
      <c r="L305" s="40" t="n">
        <v>5</v>
      </c>
      <c r="W305" s="1"/>
      <c r="X305" s="1"/>
      <c r="Y305" s="1"/>
      <c r="Z305" s="1"/>
    </row>
    <row r="306" customFormat="false" ht="15.75" hidden="false" customHeight="true" outlineLevel="0" collapsed="false">
      <c r="A306" s="13" t="s">
        <v>910</v>
      </c>
      <c r="B306" s="41" t="s">
        <v>898</v>
      </c>
      <c r="C306" s="40" t="n">
        <v>1</v>
      </c>
      <c r="D306" s="40" t="n">
        <v>1</v>
      </c>
      <c r="E306" s="40" t="n">
        <v>2</v>
      </c>
      <c r="F306" s="40" t="n">
        <v>4</v>
      </c>
      <c r="G306" s="40" t="n">
        <v>6</v>
      </c>
      <c r="H306" s="40" t="n">
        <v>7</v>
      </c>
      <c r="I306" s="40" t="n">
        <v>8</v>
      </c>
      <c r="J306" s="40" t="n">
        <v>9</v>
      </c>
      <c r="K306" s="40" t="n">
        <v>10</v>
      </c>
      <c r="L306" s="40" t="n">
        <v>10</v>
      </c>
      <c r="W306" s="1"/>
      <c r="X306" s="1"/>
      <c r="Y306" s="1"/>
      <c r="Z306" s="1"/>
    </row>
    <row r="307" customFormat="false" ht="15.75" hidden="false" customHeight="true" outlineLevel="0" collapsed="false">
      <c r="A307" s="13" t="s">
        <v>911</v>
      </c>
      <c r="B307" s="41" t="s">
        <v>898</v>
      </c>
      <c r="C307" s="40" t="n">
        <v>1</v>
      </c>
      <c r="D307" s="40" t="n">
        <v>1</v>
      </c>
      <c r="E307" s="40" t="n">
        <v>1</v>
      </c>
      <c r="F307" s="40" t="n">
        <v>1</v>
      </c>
      <c r="G307" s="40" t="n">
        <v>2</v>
      </c>
      <c r="H307" s="40" t="n">
        <v>2</v>
      </c>
      <c r="I307" s="40" t="n">
        <v>2</v>
      </c>
      <c r="J307" s="40" t="n">
        <v>2</v>
      </c>
      <c r="K307" s="40" t="n">
        <v>3</v>
      </c>
      <c r="L307" s="40" t="n">
        <v>3</v>
      </c>
      <c r="W307" s="1"/>
      <c r="X307" s="1"/>
      <c r="Y307" s="1"/>
      <c r="Z307" s="1"/>
    </row>
    <row r="308" customFormat="false" ht="15.75" hidden="false" customHeight="true" outlineLevel="0" collapsed="false">
      <c r="A308" s="13" t="s">
        <v>912</v>
      </c>
      <c r="B308" s="41" t="s">
        <v>898</v>
      </c>
      <c r="C308" s="40" t="n">
        <v>1</v>
      </c>
      <c r="D308" s="40" t="n">
        <v>1</v>
      </c>
      <c r="E308" s="40" t="n">
        <v>1</v>
      </c>
      <c r="F308" s="40" t="n">
        <v>1</v>
      </c>
      <c r="G308" s="40" t="n">
        <v>1</v>
      </c>
      <c r="H308" s="40" t="n">
        <v>1</v>
      </c>
      <c r="I308" s="40" t="n">
        <v>2</v>
      </c>
      <c r="J308" s="40" t="n">
        <v>2</v>
      </c>
      <c r="K308" s="40" t="n">
        <v>2</v>
      </c>
      <c r="L308" s="40" t="n">
        <v>2</v>
      </c>
      <c r="W308" s="1"/>
      <c r="X308" s="1"/>
      <c r="Y308" s="1"/>
      <c r="Z308" s="1"/>
    </row>
    <row r="309" customFormat="false" ht="15.75" hidden="false" customHeight="true" outlineLevel="0" collapsed="false">
      <c r="W309" s="1"/>
      <c r="X309" s="1"/>
      <c r="Y309" s="1"/>
      <c r="Z309" s="1"/>
    </row>
    <row r="310" customFormat="false" ht="15.75" hidden="false" customHeight="true" outlineLevel="0" collapsed="false">
      <c r="A310" s="9" t="s">
        <v>913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W310" s="1"/>
      <c r="X310" s="1"/>
      <c r="Y310" s="1"/>
      <c r="Z310" s="1"/>
    </row>
    <row r="311" customFormat="false" ht="15.75" hidden="false" customHeight="true" outlineLevel="0" collapsed="false">
      <c r="A311" s="10" t="s">
        <v>372</v>
      </c>
      <c r="B311" s="10" t="s">
        <v>844</v>
      </c>
      <c r="C311" s="10" t="s">
        <v>341</v>
      </c>
      <c r="D311" s="10" t="s">
        <v>342</v>
      </c>
      <c r="E311" s="10" t="s">
        <v>343</v>
      </c>
      <c r="F311" s="10" t="s">
        <v>344</v>
      </c>
      <c r="G311" s="10" t="s">
        <v>345</v>
      </c>
      <c r="H311" s="10" t="s">
        <v>346</v>
      </c>
      <c r="I311" s="10" t="s">
        <v>347</v>
      </c>
      <c r="J311" s="10" t="s">
        <v>348</v>
      </c>
      <c r="K311" s="10" t="s">
        <v>349</v>
      </c>
      <c r="L311" s="10" t="s">
        <v>350</v>
      </c>
      <c r="M311" s="10" t="s">
        <v>351</v>
      </c>
      <c r="N311" s="10" t="s">
        <v>352</v>
      </c>
      <c r="O311" s="10" t="s">
        <v>363</v>
      </c>
      <c r="W311" s="1"/>
      <c r="X311" s="1"/>
      <c r="Y311" s="1"/>
      <c r="Z311" s="1"/>
    </row>
    <row r="312" customFormat="false" ht="15.75" hidden="false" customHeight="true" outlineLevel="0" collapsed="false">
      <c r="A312" s="13" t="s">
        <v>503</v>
      </c>
      <c r="B312" s="42" t="n">
        <v>2026</v>
      </c>
      <c r="C312" s="22" t="n">
        <v>194.0541153</v>
      </c>
      <c r="D312" s="22" t="n">
        <v>168.6260087</v>
      </c>
      <c r="E312" s="22" t="n">
        <v>161.3786376</v>
      </c>
      <c r="F312" s="22" t="n">
        <v>178.478867</v>
      </c>
      <c r="G312" s="22" t="n">
        <v>179.9701682</v>
      </c>
      <c r="H312" s="22" t="n">
        <v>177.7639256</v>
      </c>
      <c r="I312" s="22" t="n">
        <v>157.3188892</v>
      </c>
      <c r="J312" s="22" t="n">
        <v>158.8682487</v>
      </c>
      <c r="K312" s="22" t="n">
        <v>160.8067317</v>
      </c>
      <c r="L312" s="22" t="n">
        <v>160.8067317</v>
      </c>
      <c r="M312" s="22" t="n">
        <v>184.7435371</v>
      </c>
      <c r="N312" s="22" t="n">
        <v>212.3778863</v>
      </c>
      <c r="O312" s="14" t="n">
        <f aca="false">SUM(C312:N312)</f>
        <v>2095.1937471</v>
      </c>
      <c r="W312" s="1"/>
      <c r="X312" s="1"/>
      <c r="Y312" s="1"/>
      <c r="Z312" s="1"/>
    </row>
    <row r="313" customFormat="false" ht="15.75" hidden="false" customHeight="true" outlineLevel="0" collapsed="false">
      <c r="A313" s="13" t="s">
        <v>504</v>
      </c>
      <c r="B313" s="42" t="n">
        <v>2026</v>
      </c>
      <c r="C313" s="22" t="n">
        <v>194.0541153</v>
      </c>
      <c r="D313" s="22" t="n">
        <v>168.6260087</v>
      </c>
      <c r="E313" s="22" t="n">
        <v>161.3786376</v>
      </c>
      <c r="F313" s="22" t="n">
        <v>178.478867</v>
      </c>
      <c r="G313" s="22" t="n">
        <v>179.9701682</v>
      </c>
      <c r="H313" s="22" t="n">
        <v>177.7639256</v>
      </c>
      <c r="I313" s="22" t="n">
        <v>157.3188892</v>
      </c>
      <c r="J313" s="22" t="n">
        <v>158.8682487</v>
      </c>
      <c r="K313" s="22" t="n">
        <v>160.8067317</v>
      </c>
      <c r="L313" s="22" t="n">
        <v>160.8067317</v>
      </c>
      <c r="M313" s="22" t="n">
        <v>184.7435371</v>
      </c>
      <c r="N313" s="22" t="n">
        <v>212.3778863</v>
      </c>
      <c r="O313" s="14" t="n">
        <f aca="false">SUM(C313:N313)</f>
        <v>2095.1937471</v>
      </c>
      <c r="W313" s="1"/>
      <c r="X313" s="1"/>
      <c r="Y313" s="1"/>
      <c r="Z313" s="1"/>
    </row>
    <row r="314" customFormat="false" ht="15.75" hidden="false" customHeight="true" outlineLevel="0" collapsed="false">
      <c r="A314" s="13" t="s">
        <v>505</v>
      </c>
      <c r="B314" s="42" t="n">
        <v>2026</v>
      </c>
      <c r="C314" s="22" t="n">
        <v>149.9694335</v>
      </c>
      <c r="D314" s="22" t="n">
        <v>128.2284023</v>
      </c>
      <c r="E314" s="22" t="n">
        <v>118.6244319</v>
      </c>
      <c r="F314" s="22" t="n">
        <v>129.9798934</v>
      </c>
      <c r="G314" s="22" t="n">
        <v>131.0224302</v>
      </c>
      <c r="H314" s="22" t="n">
        <v>129.6588818</v>
      </c>
      <c r="I314" s="22" t="n">
        <v>116.0350039</v>
      </c>
      <c r="J314" s="22" t="n">
        <v>117.2008096</v>
      </c>
      <c r="K314" s="22" t="n">
        <v>118.3803766</v>
      </c>
      <c r="L314" s="22" t="n">
        <v>118.3803766</v>
      </c>
      <c r="M314" s="22" t="n">
        <v>139.0788709</v>
      </c>
      <c r="N314" s="22" t="n">
        <v>162.1834505</v>
      </c>
      <c r="O314" s="14" t="n">
        <f aca="false">SUM(C314:N314)</f>
        <v>1558.7423612</v>
      </c>
      <c r="W314" s="1"/>
      <c r="X314" s="1"/>
      <c r="Y314" s="1"/>
      <c r="Z314" s="1"/>
    </row>
    <row r="315" customFormat="false" ht="15.75" hidden="false" customHeight="true" outlineLevel="0" collapsed="false">
      <c r="A315" s="13" t="s">
        <v>506</v>
      </c>
      <c r="B315" s="42" t="n">
        <v>2026</v>
      </c>
      <c r="C315" s="22" t="n">
        <v>16.97486084</v>
      </c>
      <c r="D315" s="22" t="n">
        <v>14.55919071</v>
      </c>
      <c r="E315" s="22" t="n">
        <v>13.49208289</v>
      </c>
      <c r="F315" s="22" t="n">
        <v>14.75380083</v>
      </c>
      <c r="G315" s="22" t="n">
        <v>14.86963825</v>
      </c>
      <c r="H315" s="22" t="n">
        <v>14.71813288</v>
      </c>
      <c r="I315" s="22" t="n">
        <v>13.20436867</v>
      </c>
      <c r="J315" s="22" t="n">
        <v>13.33390263</v>
      </c>
      <c r="K315" s="22" t="n">
        <v>13.46496564</v>
      </c>
      <c r="L315" s="22" t="n">
        <v>13.46496564</v>
      </c>
      <c r="M315" s="22" t="n">
        <v>15.76479834</v>
      </c>
      <c r="N315" s="22" t="n">
        <v>18.33197384</v>
      </c>
      <c r="O315" s="14" t="n">
        <f aca="false">SUM(C315:N315)</f>
        <v>176.93268116</v>
      </c>
      <c r="W315" s="1"/>
      <c r="X315" s="1"/>
      <c r="Y315" s="1"/>
      <c r="Z315" s="1"/>
    </row>
    <row r="316" customFormat="false" ht="15.75" hidden="false" customHeight="true" outlineLevel="0" collapsed="false">
      <c r="A316" s="13" t="s">
        <v>507</v>
      </c>
      <c r="B316" s="42" t="n">
        <v>2026</v>
      </c>
      <c r="C316" s="22" t="n">
        <v>6.656164611</v>
      </c>
      <c r="D316" s="22" t="n">
        <v>6.656164611</v>
      </c>
      <c r="E316" s="22" t="n">
        <v>7.675386958</v>
      </c>
      <c r="F316" s="22" t="n">
        <v>8.621027475</v>
      </c>
      <c r="G316" s="22" t="n">
        <v>8.73410075</v>
      </c>
      <c r="H316" s="22" t="n">
        <v>8.541537508</v>
      </c>
      <c r="I316" s="22" t="n">
        <v>7.312807016</v>
      </c>
      <c r="J316" s="22" t="n">
        <v>7.442825194</v>
      </c>
      <c r="K316" s="22" t="n">
        <v>7.625592199</v>
      </c>
      <c r="L316" s="22" t="n">
        <v>7.625592199</v>
      </c>
      <c r="M316" s="22" t="n">
        <v>7.512518925</v>
      </c>
      <c r="N316" s="22" t="n">
        <v>7.705082166</v>
      </c>
      <c r="O316" s="14" t="n">
        <f aca="false">SUM(C316:N316)</f>
        <v>92.108799612</v>
      </c>
      <c r="W316" s="1"/>
      <c r="X316" s="1"/>
      <c r="Y316" s="1"/>
      <c r="Z316" s="1"/>
    </row>
    <row r="317" customFormat="false" ht="15.75" hidden="false" customHeight="true" outlineLevel="0" collapsed="false">
      <c r="A317" s="13" t="s">
        <v>508</v>
      </c>
      <c r="B317" s="42" t="n">
        <v>2026</v>
      </c>
      <c r="C317" s="22" t="n">
        <v>6.571351917</v>
      </c>
      <c r="D317" s="22" t="n">
        <v>6.571351917</v>
      </c>
      <c r="E317" s="22" t="n">
        <v>8.361368089</v>
      </c>
      <c r="F317" s="22" t="n">
        <v>10.07316158</v>
      </c>
      <c r="G317" s="22" t="n">
        <v>10.16587864</v>
      </c>
      <c r="H317" s="22" t="n">
        <v>9.942400184</v>
      </c>
      <c r="I317" s="22" t="n">
        <v>7.991926768</v>
      </c>
      <c r="J317" s="22" t="n">
        <v>8.021622612</v>
      </c>
      <c r="K317" s="22" t="n">
        <v>8.219477953</v>
      </c>
      <c r="L317" s="22" t="n">
        <v>8.219477953</v>
      </c>
      <c r="M317" s="22" t="n">
        <v>8.126760899</v>
      </c>
      <c r="N317" s="22" t="n">
        <v>8.350239353</v>
      </c>
      <c r="O317" s="14" t="n">
        <f aca="false">SUM(C317:N317)</f>
        <v>100.615017865</v>
      </c>
      <c r="W317" s="1"/>
      <c r="X317" s="1"/>
      <c r="Y317" s="1"/>
      <c r="Z317" s="1"/>
    </row>
    <row r="318" customFormat="false" ht="15.75" hidden="false" customHeight="true" outlineLevel="0" collapsed="false">
      <c r="A318" s="13" t="s">
        <v>509</v>
      </c>
      <c r="B318" s="42" t="n">
        <v>2026</v>
      </c>
      <c r="C318" s="22" t="n">
        <v>0.1671063504</v>
      </c>
      <c r="D318" s="22" t="n">
        <v>0.1671063504</v>
      </c>
      <c r="E318" s="22" t="n">
        <v>0.1530619779</v>
      </c>
      <c r="F318" s="22" t="n">
        <v>0.1530619779</v>
      </c>
      <c r="G318" s="22" t="n">
        <v>0.1530619779</v>
      </c>
      <c r="H318" s="22" t="n">
        <v>0.1390176055</v>
      </c>
      <c r="I318" s="22" t="n">
        <v>0.1390176055</v>
      </c>
      <c r="J318" s="22" t="n">
        <v>0.1390176055</v>
      </c>
      <c r="K318" s="22" t="n">
        <v>0.1530619779</v>
      </c>
      <c r="L318" s="22" t="n">
        <v>0.1530619779</v>
      </c>
      <c r="M318" s="22" t="n">
        <v>0.1530619779</v>
      </c>
      <c r="N318" s="22" t="n">
        <v>0.1671063504</v>
      </c>
      <c r="O318" s="14" t="n">
        <f aca="false">SUM(C318:N318)</f>
        <v>1.8367437351</v>
      </c>
      <c r="W318" s="1"/>
      <c r="X318" s="1"/>
      <c r="Y318" s="1"/>
      <c r="Z318" s="1"/>
    </row>
    <row r="319" customFormat="false" ht="15.75" hidden="false" customHeight="true" outlineLevel="0" collapsed="false">
      <c r="A319" s="13" t="s">
        <v>510</v>
      </c>
      <c r="B319" s="42" t="n">
        <v>2026</v>
      </c>
      <c r="C319" s="22" t="n">
        <v>175.7308361</v>
      </c>
      <c r="D319" s="22" t="n">
        <v>150.3027295</v>
      </c>
      <c r="E319" s="22" t="n">
        <v>139.0700156</v>
      </c>
      <c r="F319" s="22" t="n">
        <v>152.351257</v>
      </c>
      <c r="G319" s="22" t="n">
        <v>153.5705984</v>
      </c>
      <c r="H319" s="22" t="n">
        <v>151.975805</v>
      </c>
      <c r="I319" s="22" t="n">
        <v>136.0414449</v>
      </c>
      <c r="J319" s="22" t="n">
        <v>137.4049602</v>
      </c>
      <c r="K319" s="22" t="n">
        <v>138.7845708</v>
      </c>
      <c r="L319" s="22" t="n">
        <v>138.7845708</v>
      </c>
      <c r="M319" s="22" t="n">
        <v>162.9933361</v>
      </c>
      <c r="N319" s="22" t="n">
        <v>190.0162361</v>
      </c>
      <c r="O319" s="14" t="n">
        <f aca="false">SUM(C319:N319)</f>
        <v>1827.0263605</v>
      </c>
      <c r="W319" s="1"/>
      <c r="X319" s="1"/>
      <c r="Y319" s="1"/>
      <c r="Z319" s="1"/>
    </row>
    <row r="320" customFormat="false" ht="15.75" hidden="false" customHeight="true" outlineLevel="0" collapsed="false">
      <c r="A320" s="13" t="s">
        <v>511</v>
      </c>
      <c r="B320" s="42" t="n">
        <v>2026</v>
      </c>
      <c r="C320" s="22" t="n">
        <v>10.42539843</v>
      </c>
      <c r="D320" s="22" t="n">
        <v>10.42539843</v>
      </c>
      <c r="E320" s="22" t="n">
        <v>12.37000088</v>
      </c>
      <c r="F320" s="22" t="n">
        <v>14.21248502</v>
      </c>
      <c r="G320" s="22" t="n">
        <v>14.37739012</v>
      </c>
      <c r="H320" s="22" t="n">
        <v>14.05006033</v>
      </c>
      <c r="I320" s="22" t="n">
        <v>11.79147709</v>
      </c>
      <c r="J320" s="22" t="n">
        <v>11.94303318</v>
      </c>
      <c r="K320" s="22" t="n">
        <v>12.24737167</v>
      </c>
      <c r="L320" s="22" t="n">
        <v>12.24737167</v>
      </c>
      <c r="M320" s="22" t="n">
        <v>12.08246656</v>
      </c>
      <c r="N320" s="22" t="n">
        <v>12.40979636</v>
      </c>
      <c r="O320" s="14" t="n">
        <f aca="false">SUM(C320:N320)</f>
        <v>148.58224974</v>
      </c>
      <c r="W320" s="1"/>
      <c r="X320" s="1"/>
      <c r="Y320" s="1"/>
      <c r="Z320" s="1"/>
    </row>
    <row r="321" customFormat="false" ht="15.75" hidden="false" customHeight="true" outlineLevel="0" collapsed="false">
      <c r="A321" s="13" t="s">
        <v>512</v>
      </c>
      <c r="B321" s="42" t="n">
        <v>2026</v>
      </c>
      <c r="C321" s="22" t="n">
        <v>1.825380925</v>
      </c>
      <c r="D321" s="22" t="n">
        <v>1.56075591</v>
      </c>
      <c r="E321" s="22" t="n">
        <v>1.443859393</v>
      </c>
      <c r="F321" s="22" t="n">
        <v>1.58207451</v>
      </c>
      <c r="G321" s="22" t="n">
        <v>1.594763941</v>
      </c>
      <c r="H321" s="22" t="n">
        <v>1.578167258</v>
      </c>
      <c r="I321" s="22" t="n">
        <v>1.412341688</v>
      </c>
      <c r="J321" s="22" t="n">
        <v>1.426531509</v>
      </c>
      <c r="K321" s="22" t="n">
        <v>1.440888829</v>
      </c>
      <c r="L321" s="22" t="n">
        <v>1.440888829</v>
      </c>
      <c r="M321" s="22" t="n">
        <v>1.692824412</v>
      </c>
      <c r="N321" s="22" t="n">
        <v>1.97404611</v>
      </c>
      <c r="O321" s="14" t="n">
        <f aca="false">SUM(C321:N321)</f>
        <v>18.972523314</v>
      </c>
      <c r="W321" s="1"/>
      <c r="X321" s="1"/>
      <c r="Y321" s="1"/>
      <c r="Z321" s="1"/>
    </row>
    <row r="322" customFormat="false" ht="15.75" hidden="false" customHeight="true" outlineLevel="0" collapsed="false">
      <c r="A322" s="13" t="s">
        <v>423</v>
      </c>
      <c r="B322" s="42" t="n">
        <v>2026</v>
      </c>
      <c r="C322" s="22" t="n">
        <v>50.61547554</v>
      </c>
      <c r="D322" s="22" t="n">
        <v>44.25844889</v>
      </c>
      <c r="E322" s="22" t="n">
        <v>42.7684658</v>
      </c>
      <c r="F322" s="22" t="n">
        <v>47.34214648</v>
      </c>
      <c r="G322" s="22" t="n">
        <v>47.75067912</v>
      </c>
      <c r="H322" s="22" t="n">
        <v>47.13830903</v>
      </c>
      <c r="I322" s="22" t="n">
        <v>41.63902979</v>
      </c>
      <c r="J322" s="22" t="n">
        <v>42.06742802</v>
      </c>
      <c r="K322" s="22" t="n">
        <v>42.60976467</v>
      </c>
      <c r="L322" s="22" t="n">
        <v>42.60976467</v>
      </c>
      <c r="M322" s="22" t="n">
        <v>48.55825868</v>
      </c>
      <c r="N322" s="22" t="n">
        <v>55.52765542</v>
      </c>
      <c r="O322" s="14" t="n">
        <f aca="false">SUM(C322:N322)</f>
        <v>552.88542611</v>
      </c>
      <c r="W322" s="1"/>
      <c r="X322" s="1"/>
      <c r="Y322" s="1"/>
      <c r="Z322" s="1"/>
    </row>
    <row r="323" customFormat="false" ht="15.75" hidden="false" customHeight="true" outlineLevel="0" collapsed="false">
      <c r="A323" s="13" t="s">
        <v>424</v>
      </c>
      <c r="B323" s="42" t="n">
        <v>2026</v>
      </c>
      <c r="C323" s="22" t="n">
        <v>48.51921491</v>
      </c>
      <c r="D323" s="22" t="n">
        <v>41.9079072</v>
      </c>
      <c r="E323" s="22" t="n">
        <v>39.71552087</v>
      </c>
      <c r="F323" s="22" t="n">
        <v>43.87453788</v>
      </c>
      <c r="G323" s="22" t="n">
        <v>44.22980046</v>
      </c>
      <c r="H323" s="22" t="n">
        <v>43.71296642</v>
      </c>
      <c r="I323" s="22" t="n">
        <v>38.76571386</v>
      </c>
      <c r="J323" s="22" t="n">
        <v>39.13247357</v>
      </c>
      <c r="K323" s="22" t="n">
        <v>39.58279384</v>
      </c>
      <c r="L323" s="22" t="n">
        <v>39.58279384</v>
      </c>
      <c r="M323" s="22" t="n">
        <v>45.83883898</v>
      </c>
      <c r="N323" s="22" t="n">
        <v>52.96698074</v>
      </c>
      <c r="O323" s="14" t="n">
        <f aca="false">SUM(C323:N323)</f>
        <v>517.82954257</v>
      </c>
      <c r="W323" s="1"/>
      <c r="X323" s="1"/>
      <c r="Y323" s="1"/>
      <c r="Z323" s="1"/>
    </row>
    <row r="324" customFormat="false" ht="15.75" hidden="false" customHeight="true" outlineLevel="0" collapsed="false">
      <c r="A324" s="13" t="s">
        <v>513</v>
      </c>
      <c r="B324" s="42" t="n">
        <v>2026</v>
      </c>
      <c r="C324" s="22" t="n">
        <v>48.51921491</v>
      </c>
      <c r="D324" s="22" t="n">
        <v>41.9079072</v>
      </c>
      <c r="E324" s="22" t="n">
        <v>39.71552087</v>
      </c>
      <c r="F324" s="22" t="n">
        <v>43.87453788</v>
      </c>
      <c r="G324" s="22" t="n">
        <v>44.22980046</v>
      </c>
      <c r="H324" s="22" t="n">
        <v>43.71296642</v>
      </c>
      <c r="I324" s="22" t="n">
        <v>38.76571386</v>
      </c>
      <c r="J324" s="22" t="n">
        <v>39.13247357</v>
      </c>
      <c r="K324" s="22" t="n">
        <v>39.58279384</v>
      </c>
      <c r="L324" s="22" t="n">
        <v>39.58279384</v>
      </c>
      <c r="M324" s="22" t="n">
        <v>45.83883898</v>
      </c>
      <c r="N324" s="22" t="n">
        <v>52.96698074</v>
      </c>
      <c r="O324" s="14" t="n">
        <f aca="false">SUM(C324:N324)</f>
        <v>517.82954257</v>
      </c>
      <c r="W324" s="1"/>
      <c r="X324" s="1"/>
      <c r="Y324" s="1"/>
      <c r="Z324" s="1"/>
    </row>
    <row r="325" customFormat="false" ht="15.75" hidden="false" customHeight="true" outlineLevel="0" collapsed="false">
      <c r="A325" s="13" t="s">
        <v>514</v>
      </c>
      <c r="B325" s="42" t="n">
        <v>2026</v>
      </c>
      <c r="C325" s="22" t="n">
        <v>29.10811729</v>
      </c>
      <c r="D325" s="22" t="n">
        <v>25.2939013</v>
      </c>
      <c r="E325" s="22" t="n">
        <v>24.20679563</v>
      </c>
      <c r="F325" s="22" t="n">
        <v>26.77183005</v>
      </c>
      <c r="G325" s="22" t="n">
        <v>26.99552523</v>
      </c>
      <c r="H325" s="22" t="n">
        <v>26.66458884</v>
      </c>
      <c r="I325" s="22" t="n">
        <v>23.59783339</v>
      </c>
      <c r="J325" s="22" t="n">
        <v>23.8302373</v>
      </c>
      <c r="K325" s="22" t="n">
        <v>24.12100975</v>
      </c>
      <c r="L325" s="22" t="n">
        <v>24.12100975</v>
      </c>
      <c r="M325" s="22" t="n">
        <v>27.71153057</v>
      </c>
      <c r="N325" s="22" t="n">
        <v>31.85668295</v>
      </c>
      <c r="O325" s="14" t="n">
        <f aca="false">SUM(C325:N325)</f>
        <v>314.27906205</v>
      </c>
      <c r="W325" s="1"/>
      <c r="X325" s="1"/>
      <c r="Y325" s="1"/>
      <c r="Z325" s="1"/>
    </row>
    <row r="326" customFormat="false" ht="15.75" hidden="false" customHeight="true" outlineLevel="0" collapsed="false">
      <c r="A326" s="13" t="s">
        <v>515</v>
      </c>
      <c r="B326" s="42" t="n">
        <v>2026</v>
      </c>
      <c r="C326" s="22" t="n">
        <v>175.9686288</v>
      </c>
      <c r="D326" s="22" t="n">
        <v>150.5405222</v>
      </c>
      <c r="E326" s="22" t="n">
        <v>139.3078083</v>
      </c>
      <c r="F326" s="22" t="n">
        <v>152.5890497</v>
      </c>
      <c r="G326" s="22" t="n">
        <v>153.8083911</v>
      </c>
      <c r="H326" s="22" t="n">
        <v>152.2135977</v>
      </c>
      <c r="I326" s="22" t="n">
        <v>136.2792376</v>
      </c>
      <c r="J326" s="22" t="n">
        <v>137.642753</v>
      </c>
      <c r="K326" s="22" t="n">
        <v>139.0223635</v>
      </c>
      <c r="L326" s="22" t="n">
        <v>139.0223635</v>
      </c>
      <c r="M326" s="22" t="n">
        <v>163.2311288</v>
      </c>
      <c r="N326" s="22" t="n">
        <v>190.2540288</v>
      </c>
      <c r="O326" s="14" t="n">
        <f aca="false">SUM(C326:N326)</f>
        <v>1829.879873</v>
      </c>
      <c r="W326" s="1"/>
      <c r="X326" s="1"/>
      <c r="Y326" s="1"/>
      <c r="Z326" s="1"/>
    </row>
    <row r="327" customFormat="false" ht="15.75" hidden="false" customHeight="true" outlineLevel="0" collapsed="false">
      <c r="A327" s="13" t="s">
        <v>516</v>
      </c>
      <c r="B327" s="42" t="n">
        <v>2026</v>
      </c>
      <c r="C327" s="22" t="n">
        <v>175.7308361</v>
      </c>
      <c r="D327" s="22" t="n">
        <v>150.3027295</v>
      </c>
      <c r="E327" s="22" t="n">
        <v>139.0700156</v>
      </c>
      <c r="F327" s="22" t="n">
        <v>152.351257</v>
      </c>
      <c r="G327" s="22" t="n">
        <v>153.5705984</v>
      </c>
      <c r="H327" s="22" t="n">
        <v>151.975805</v>
      </c>
      <c r="I327" s="22" t="n">
        <v>136.0414449</v>
      </c>
      <c r="J327" s="22" t="n">
        <v>137.4049602</v>
      </c>
      <c r="K327" s="22" t="n">
        <v>138.7845708</v>
      </c>
      <c r="L327" s="22" t="n">
        <v>138.7845708</v>
      </c>
      <c r="M327" s="22" t="n">
        <v>162.9933361</v>
      </c>
      <c r="N327" s="22" t="n">
        <v>190.0162361</v>
      </c>
      <c r="O327" s="14" t="n">
        <f aca="false">SUM(C327:N327)</f>
        <v>1827.0263605</v>
      </c>
      <c r="W327" s="1"/>
      <c r="X327" s="1"/>
      <c r="Y327" s="1"/>
      <c r="Z327" s="1"/>
    </row>
    <row r="328" customFormat="false" ht="15.75" hidden="false" customHeight="true" outlineLevel="0" collapsed="false">
      <c r="A328" s="13" t="s">
        <v>517</v>
      </c>
      <c r="B328" s="42" t="n">
        <v>2026</v>
      </c>
      <c r="C328" s="22" t="n">
        <v>175.7308361</v>
      </c>
      <c r="D328" s="22" t="n">
        <v>150.3027295</v>
      </c>
      <c r="E328" s="22" t="n">
        <v>139.0700156</v>
      </c>
      <c r="F328" s="22" t="n">
        <v>152.351257</v>
      </c>
      <c r="G328" s="22" t="n">
        <v>153.5705984</v>
      </c>
      <c r="H328" s="22" t="n">
        <v>151.975805</v>
      </c>
      <c r="I328" s="22" t="n">
        <v>136.0414449</v>
      </c>
      <c r="J328" s="22" t="n">
        <v>137.4049602</v>
      </c>
      <c r="K328" s="22" t="n">
        <v>138.7845708</v>
      </c>
      <c r="L328" s="22" t="n">
        <v>138.7845708</v>
      </c>
      <c r="M328" s="22" t="n">
        <v>162.9933361</v>
      </c>
      <c r="N328" s="22" t="n">
        <v>190.0162361</v>
      </c>
      <c r="O328" s="14" t="n">
        <f aca="false">SUM(C328:N328)</f>
        <v>1827.0263605</v>
      </c>
      <c r="W328" s="1"/>
      <c r="X328" s="1"/>
      <c r="Y328" s="1"/>
      <c r="Z328" s="1"/>
    </row>
    <row r="329" customFormat="false" ht="15.75" hidden="false" customHeight="true" outlineLevel="0" collapsed="false">
      <c r="A329" s="13" t="s">
        <v>518</v>
      </c>
      <c r="B329" s="42" t="n">
        <v>2026</v>
      </c>
      <c r="C329" s="22" t="n">
        <v>10.42539843</v>
      </c>
      <c r="D329" s="22" t="n">
        <v>10.42539843</v>
      </c>
      <c r="E329" s="22" t="n">
        <v>12.37000088</v>
      </c>
      <c r="F329" s="22" t="n">
        <v>14.21248502</v>
      </c>
      <c r="G329" s="22" t="n">
        <v>14.37739012</v>
      </c>
      <c r="H329" s="22" t="n">
        <v>14.05006033</v>
      </c>
      <c r="I329" s="22" t="n">
        <v>11.79147709</v>
      </c>
      <c r="J329" s="22" t="n">
        <v>11.94303318</v>
      </c>
      <c r="K329" s="22" t="n">
        <v>12.24737167</v>
      </c>
      <c r="L329" s="22" t="n">
        <v>12.24737167</v>
      </c>
      <c r="M329" s="22" t="n">
        <v>12.08246656</v>
      </c>
      <c r="N329" s="22" t="n">
        <v>12.40979636</v>
      </c>
      <c r="O329" s="14" t="n">
        <f aca="false">SUM(C329:N329)</f>
        <v>148.58224974</v>
      </c>
      <c r="W329" s="1"/>
      <c r="X329" s="1"/>
      <c r="Y329" s="1"/>
      <c r="Z329" s="1"/>
    </row>
    <row r="330" customFormat="false" ht="15.75" hidden="false" customHeight="true" outlineLevel="0" collapsed="false">
      <c r="A330" s="13" t="s">
        <v>519</v>
      </c>
      <c r="B330" s="42" t="n">
        <v>2026</v>
      </c>
      <c r="C330" s="22" t="n">
        <v>7.355913554</v>
      </c>
      <c r="D330" s="22" t="n">
        <v>7.355913554</v>
      </c>
      <c r="E330" s="22" t="n">
        <v>9.249023746</v>
      </c>
      <c r="F330" s="22" t="n">
        <v>11.08434873</v>
      </c>
      <c r="G330" s="22" t="n">
        <v>11.18375671</v>
      </c>
      <c r="H330" s="22" t="n">
        <v>10.91806853</v>
      </c>
      <c r="I330" s="22" t="n">
        <v>8.826839304</v>
      </c>
      <c r="J330" s="22" t="n">
        <v>8.858678147</v>
      </c>
      <c r="K330" s="22" t="n">
        <v>9.096894115</v>
      </c>
      <c r="L330" s="22" t="n">
        <v>9.096894115</v>
      </c>
      <c r="M330" s="22" t="n">
        <v>8.997486139</v>
      </c>
      <c r="N330" s="22" t="n">
        <v>9.263174311</v>
      </c>
      <c r="O330" s="14" t="n">
        <f aca="false">SUM(C330:N330)</f>
        <v>111.286990955</v>
      </c>
      <c r="W330" s="1"/>
      <c r="X330" s="1"/>
      <c r="Y330" s="1"/>
      <c r="Z330" s="1"/>
    </row>
    <row r="331" customFormat="false" ht="15.75" hidden="false" customHeight="true" outlineLevel="0" collapsed="false">
      <c r="A331" s="13" t="s">
        <v>520</v>
      </c>
      <c r="B331" s="42" t="n">
        <v>2026</v>
      </c>
      <c r="C331" s="22" t="n">
        <v>194.0541153</v>
      </c>
      <c r="D331" s="22" t="n">
        <v>168.6260087</v>
      </c>
      <c r="E331" s="22" t="n">
        <v>161.3786376</v>
      </c>
      <c r="F331" s="22" t="n">
        <v>178.478867</v>
      </c>
      <c r="G331" s="22" t="n">
        <v>179.9701682</v>
      </c>
      <c r="H331" s="22" t="n">
        <v>177.7639256</v>
      </c>
      <c r="I331" s="22" t="n">
        <v>157.3188892</v>
      </c>
      <c r="J331" s="22" t="n">
        <v>158.8682487</v>
      </c>
      <c r="K331" s="22" t="n">
        <v>160.8067317</v>
      </c>
      <c r="L331" s="22" t="n">
        <v>160.8067317</v>
      </c>
      <c r="M331" s="22" t="n">
        <v>184.7435371</v>
      </c>
      <c r="N331" s="22" t="n">
        <v>212.3778863</v>
      </c>
      <c r="O331" s="14" t="n">
        <f aca="false">SUM(C331:N331)</f>
        <v>2095.1937471</v>
      </c>
      <c r="W331" s="1"/>
      <c r="X331" s="1"/>
      <c r="Y331" s="1"/>
      <c r="Z331" s="1"/>
    </row>
    <row r="332" customFormat="false" ht="15.75" hidden="false" customHeight="true" outlineLevel="0" collapsed="false">
      <c r="A332" s="13" t="s">
        <v>521</v>
      </c>
      <c r="B332" s="42" t="n">
        <v>2026</v>
      </c>
      <c r="C332" s="22" t="n">
        <v>194.0541153</v>
      </c>
      <c r="D332" s="22" t="n">
        <v>168.6260087</v>
      </c>
      <c r="E332" s="22" t="n">
        <v>161.3786376</v>
      </c>
      <c r="F332" s="22" t="n">
        <v>178.478867</v>
      </c>
      <c r="G332" s="22" t="n">
        <v>179.9701682</v>
      </c>
      <c r="H332" s="22" t="n">
        <v>177.7639256</v>
      </c>
      <c r="I332" s="22" t="n">
        <v>157.3188892</v>
      </c>
      <c r="J332" s="22" t="n">
        <v>158.8682487</v>
      </c>
      <c r="K332" s="22" t="n">
        <v>160.8067317</v>
      </c>
      <c r="L332" s="22" t="n">
        <v>160.8067317</v>
      </c>
      <c r="M332" s="22" t="n">
        <v>184.7435371</v>
      </c>
      <c r="N332" s="22" t="n">
        <v>212.3778863</v>
      </c>
      <c r="O332" s="14" t="n">
        <f aca="false">SUM(C332:N332)</f>
        <v>2095.1937471</v>
      </c>
      <c r="W332" s="1"/>
      <c r="X332" s="1"/>
      <c r="Y332" s="1"/>
      <c r="Z332" s="1"/>
    </row>
    <row r="333" customFormat="false" ht="15.75" hidden="false" customHeight="true" outlineLevel="0" collapsed="false">
      <c r="A333" s="13" t="s">
        <v>522</v>
      </c>
      <c r="B333" s="42" t="n">
        <v>2026</v>
      </c>
      <c r="C333" s="22" t="n">
        <v>15.3436735</v>
      </c>
      <c r="D333" s="22" t="n">
        <v>13.30942497</v>
      </c>
      <c r="E333" s="22" t="n">
        <v>12.68042522</v>
      </c>
      <c r="F333" s="22" t="n">
        <v>14.00138396</v>
      </c>
      <c r="G333" s="22" t="n">
        <v>14.11813913</v>
      </c>
      <c r="H333" s="22" t="n">
        <v>13.94778346</v>
      </c>
      <c r="I333" s="22" t="n">
        <v>12.36580181</v>
      </c>
      <c r="J333" s="22" t="n">
        <v>12.48893419</v>
      </c>
      <c r="K333" s="22" t="n">
        <v>12.63857351</v>
      </c>
      <c r="L333" s="22" t="n">
        <v>12.63857351</v>
      </c>
      <c r="M333" s="22" t="n">
        <v>14.55606686</v>
      </c>
      <c r="N333" s="22" t="n">
        <v>16.76067106</v>
      </c>
      <c r="O333" s="14" t="n">
        <f aca="false">SUM(C333:N333)</f>
        <v>164.84945118</v>
      </c>
      <c r="W333" s="1"/>
      <c r="X333" s="1"/>
      <c r="Y333" s="1"/>
      <c r="Z333" s="1"/>
    </row>
    <row r="334" customFormat="false" ht="15.75" hidden="false" customHeight="true" outlineLevel="0" collapsed="false">
      <c r="A334" s="13" t="s">
        <v>523</v>
      </c>
      <c r="B334" s="42" t="n">
        <v>2026</v>
      </c>
      <c r="C334" s="22" t="n">
        <v>4.512385316</v>
      </c>
      <c r="D334" s="22" t="n">
        <v>4.512385316</v>
      </c>
      <c r="E334" s="22" t="n">
        <v>4.934889516</v>
      </c>
      <c r="F334" s="22" t="n">
        <v>5.512988521</v>
      </c>
      <c r="G334" s="22" t="n">
        <v>5.603306793</v>
      </c>
      <c r="H334" s="22" t="n">
        <v>5.33089925</v>
      </c>
      <c r="I334" s="22" t="n">
        <v>4.643446325</v>
      </c>
      <c r="J334" s="22" t="n">
        <v>4.72630578</v>
      </c>
      <c r="K334" s="22" t="n">
        <v>4.956448394</v>
      </c>
      <c r="L334" s="22" t="n">
        <v>4.956448394</v>
      </c>
      <c r="M334" s="22" t="n">
        <v>4.866130122</v>
      </c>
      <c r="N334" s="22" t="n">
        <v>5.138537665</v>
      </c>
      <c r="O334" s="14" t="n">
        <f aca="false">SUM(C334:N334)</f>
        <v>59.694171392</v>
      </c>
      <c r="W334" s="1"/>
      <c r="X334" s="1"/>
      <c r="Y334" s="1"/>
      <c r="Z334" s="1"/>
    </row>
    <row r="335" customFormat="false" ht="15.75" hidden="false" customHeight="true" outlineLevel="0" collapsed="false">
      <c r="A335" s="13" t="s">
        <v>503</v>
      </c>
      <c r="B335" s="42" t="n">
        <v>2027</v>
      </c>
      <c r="C335" s="22" t="n">
        <v>905.5019315</v>
      </c>
      <c r="D335" s="22" t="n">
        <v>782.2333108</v>
      </c>
      <c r="E335" s="22" t="n">
        <v>732.2233728</v>
      </c>
      <c r="F335" s="22" t="n">
        <v>801.793093</v>
      </c>
      <c r="G335" s="22" t="n">
        <v>807.8718354</v>
      </c>
      <c r="H335" s="22" t="n">
        <v>798.307831</v>
      </c>
      <c r="I335" s="22" t="n">
        <v>715.2301016</v>
      </c>
      <c r="J335" s="22" t="n">
        <v>721.5638862</v>
      </c>
      <c r="K335" s="22" t="n">
        <v>730.0095966</v>
      </c>
      <c r="L335" s="22" t="n">
        <v>730.0095966</v>
      </c>
      <c r="M335" s="22" t="n">
        <v>847.199475</v>
      </c>
      <c r="N335" s="22" t="n">
        <v>980.0321001</v>
      </c>
      <c r="O335" s="14" t="n">
        <f aca="false">SUM(C335:N335)</f>
        <v>9551.9761306</v>
      </c>
      <c r="W335" s="1"/>
      <c r="X335" s="1"/>
      <c r="Y335" s="1"/>
      <c r="Z335" s="1"/>
    </row>
    <row r="336" customFormat="false" ht="15.75" hidden="false" customHeight="true" outlineLevel="0" collapsed="false">
      <c r="A336" s="13" t="s">
        <v>504</v>
      </c>
      <c r="B336" s="42" t="n">
        <v>2027</v>
      </c>
      <c r="C336" s="22" t="n">
        <v>905.5019315</v>
      </c>
      <c r="D336" s="22" t="n">
        <v>782.2333108</v>
      </c>
      <c r="E336" s="22" t="n">
        <v>732.2233728</v>
      </c>
      <c r="F336" s="22" t="n">
        <v>801.793093</v>
      </c>
      <c r="G336" s="22" t="n">
        <v>807.8718354</v>
      </c>
      <c r="H336" s="22" t="n">
        <v>798.307831</v>
      </c>
      <c r="I336" s="22" t="n">
        <v>715.2301016</v>
      </c>
      <c r="J336" s="22" t="n">
        <v>721.5638862</v>
      </c>
      <c r="K336" s="22" t="n">
        <v>730.0095966</v>
      </c>
      <c r="L336" s="22" t="n">
        <v>730.0095966</v>
      </c>
      <c r="M336" s="22" t="n">
        <v>847.199475</v>
      </c>
      <c r="N336" s="22" t="n">
        <v>980.0321001</v>
      </c>
      <c r="O336" s="14" t="n">
        <f aca="false">SUM(C336:N336)</f>
        <v>9551.9761306</v>
      </c>
      <c r="W336" s="1"/>
      <c r="X336" s="1"/>
      <c r="Y336" s="1"/>
      <c r="Z336" s="1"/>
    </row>
    <row r="337" customFormat="false" ht="15.75" hidden="false" customHeight="true" outlineLevel="0" collapsed="false">
      <c r="A337" s="13" t="s">
        <v>505</v>
      </c>
      <c r="B337" s="42" t="n">
        <v>2027</v>
      </c>
      <c r="C337" s="22" t="n">
        <v>699.9015089</v>
      </c>
      <c r="D337" s="22" t="n">
        <v>594.5068382</v>
      </c>
      <c r="E337" s="22" t="n">
        <v>538.4441365</v>
      </c>
      <c r="F337" s="22" t="n">
        <v>584.9894351</v>
      </c>
      <c r="G337" s="22" t="n">
        <v>589.1902193</v>
      </c>
      <c r="H337" s="22" t="n">
        <v>583.32831</v>
      </c>
      <c r="I337" s="22" t="n">
        <v>527.6269819</v>
      </c>
      <c r="J337" s="22" t="n">
        <v>532.3352159</v>
      </c>
      <c r="K337" s="22" t="n">
        <v>537.4624068</v>
      </c>
      <c r="L337" s="22" t="n">
        <v>537.4624068</v>
      </c>
      <c r="M337" s="22" t="n">
        <v>638.6562933</v>
      </c>
      <c r="N337" s="22" t="n">
        <v>749.9128734</v>
      </c>
      <c r="O337" s="14" t="n">
        <f aca="false">SUM(C337:N337)</f>
        <v>7113.8166261</v>
      </c>
      <c r="W337" s="1"/>
      <c r="X337" s="1"/>
      <c r="Y337" s="1"/>
      <c r="Z337" s="1"/>
    </row>
    <row r="338" customFormat="false" ht="15.75" hidden="false" customHeight="true" outlineLevel="0" collapsed="false">
      <c r="A338" s="13" t="s">
        <v>506</v>
      </c>
      <c r="B338" s="42" t="n">
        <v>2027</v>
      </c>
      <c r="C338" s="22" t="n">
        <v>80.07346431</v>
      </c>
      <c r="D338" s="22" t="n">
        <v>68.36294534</v>
      </c>
      <c r="E338" s="22" t="n">
        <v>62.13375626</v>
      </c>
      <c r="F338" s="22" t="n">
        <v>67.3054561</v>
      </c>
      <c r="G338" s="22" t="n">
        <v>67.7722099</v>
      </c>
      <c r="H338" s="22" t="n">
        <v>67.12088664</v>
      </c>
      <c r="I338" s="22" t="n">
        <v>60.93185019</v>
      </c>
      <c r="J338" s="22" t="n">
        <v>61.4549873</v>
      </c>
      <c r="K338" s="22" t="n">
        <v>62.02467518</v>
      </c>
      <c r="L338" s="22" t="n">
        <v>62.02467518</v>
      </c>
      <c r="M338" s="22" t="n">
        <v>73.26844035</v>
      </c>
      <c r="N338" s="22" t="n">
        <v>85.63028258</v>
      </c>
      <c r="O338" s="14" t="n">
        <f aca="false">SUM(C338:N338)</f>
        <v>818.10362933</v>
      </c>
      <c r="W338" s="1"/>
      <c r="X338" s="1"/>
      <c r="Y338" s="1"/>
      <c r="Z338" s="1"/>
    </row>
    <row r="339" customFormat="false" ht="15.75" hidden="false" customHeight="true" outlineLevel="0" collapsed="false">
      <c r="A339" s="13" t="s">
        <v>507</v>
      </c>
      <c r="B339" s="42" t="n">
        <v>2027</v>
      </c>
      <c r="C339" s="22" t="n">
        <v>34.70213494</v>
      </c>
      <c r="D339" s="22" t="n">
        <v>34.70213494</v>
      </c>
      <c r="E339" s="22" t="n">
        <v>38.83664784</v>
      </c>
      <c r="F339" s="22" t="n">
        <v>42.66834891</v>
      </c>
      <c r="G339" s="22" t="n">
        <v>43.12915816</v>
      </c>
      <c r="H339" s="22" t="n">
        <v>42.3487757</v>
      </c>
      <c r="I339" s="22" t="n">
        <v>37.3633946</v>
      </c>
      <c r="J339" s="22" t="n">
        <v>37.89468958</v>
      </c>
      <c r="K339" s="22" t="n">
        <v>38.63550655</v>
      </c>
      <c r="L339" s="22" t="n">
        <v>38.63550655</v>
      </c>
      <c r="M339" s="22" t="n">
        <v>38.1746973</v>
      </c>
      <c r="N339" s="22" t="n">
        <v>38.95507976</v>
      </c>
      <c r="O339" s="14" t="n">
        <f aca="false">SUM(C339:N339)</f>
        <v>466.04607483</v>
      </c>
      <c r="W339" s="1"/>
      <c r="X339" s="1"/>
      <c r="Y339" s="1"/>
      <c r="Z339" s="1"/>
    </row>
    <row r="340" customFormat="false" ht="15.75" hidden="false" customHeight="true" outlineLevel="0" collapsed="false">
      <c r="A340" s="13" t="s">
        <v>508</v>
      </c>
      <c r="B340" s="42" t="n">
        <v>2027</v>
      </c>
      <c r="C340" s="22" t="n">
        <v>27.23561582</v>
      </c>
      <c r="D340" s="22" t="n">
        <v>27.23561582</v>
      </c>
      <c r="E340" s="22" t="n">
        <v>34.18042968</v>
      </c>
      <c r="F340" s="22" t="n">
        <v>40.90823144</v>
      </c>
      <c r="G340" s="22" t="n">
        <v>41.32077371</v>
      </c>
      <c r="H340" s="22" t="n">
        <v>40.32682298</v>
      </c>
      <c r="I340" s="22" t="n">
        <v>32.63823463</v>
      </c>
      <c r="J340" s="22" t="n">
        <v>32.80060066</v>
      </c>
      <c r="K340" s="22" t="n">
        <v>33.66279727</v>
      </c>
      <c r="L340" s="22" t="n">
        <v>33.66279727</v>
      </c>
      <c r="M340" s="22" t="n">
        <v>33.25025501</v>
      </c>
      <c r="N340" s="22" t="n">
        <v>34.24420574</v>
      </c>
      <c r="O340" s="14" t="n">
        <f aca="false">SUM(C340:N340)</f>
        <v>411.46638003</v>
      </c>
      <c r="W340" s="1"/>
      <c r="X340" s="1"/>
      <c r="Y340" s="1"/>
      <c r="Z340" s="1"/>
    </row>
    <row r="341" customFormat="false" ht="15.75" hidden="false" customHeight="true" outlineLevel="0" collapsed="false">
      <c r="A341" s="13" t="s">
        <v>509</v>
      </c>
      <c r="B341" s="42" t="n">
        <v>2027</v>
      </c>
      <c r="C341" s="22" t="n">
        <v>1.057823784</v>
      </c>
      <c r="D341" s="22" t="n">
        <v>1.057823784</v>
      </c>
      <c r="E341" s="22" t="n">
        <v>0.971370794</v>
      </c>
      <c r="F341" s="22" t="n">
        <v>0.971370794</v>
      </c>
      <c r="G341" s="22" t="n">
        <v>0.971370794</v>
      </c>
      <c r="H341" s="22" t="n">
        <v>0.8849178036</v>
      </c>
      <c r="I341" s="22" t="n">
        <v>0.8849178036</v>
      </c>
      <c r="J341" s="22" t="n">
        <v>0.8849178036</v>
      </c>
      <c r="K341" s="22" t="n">
        <v>0.971370794</v>
      </c>
      <c r="L341" s="22" t="n">
        <v>0.971370794</v>
      </c>
      <c r="M341" s="22" t="n">
        <v>0.971370794</v>
      </c>
      <c r="N341" s="22" t="n">
        <v>1.057823784</v>
      </c>
      <c r="O341" s="14" t="n">
        <f aca="false">SUM(C341:N341)</f>
        <v>11.6564495268</v>
      </c>
      <c r="W341" s="1"/>
      <c r="X341" s="1"/>
      <c r="Y341" s="1"/>
      <c r="Z341" s="1"/>
    </row>
    <row r="342" customFormat="false" ht="15.75" hidden="false" customHeight="true" outlineLevel="0" collapsed="false">
      <c r="A342" s="13" t="s">
        <v>510</v>
      </c>
      <c r="B342" s="42" t="n">
        <v>2027</v>
      </c>
      <c r="C342" s="22" t="n">
        <v>821.0262876</v>
      </c>
      <c r="D342" s="22" t="n">
        <v>697.7576669</v>
      </c>
      <c r="E342" s="22" t="n">
        <v>632.1872555</v>
      </c>
      <c r="F342" s="22" t="n">
        <v>686.6262012</v>
      </c>
      <c r="G342" s="22" t="n">
        <v>691.5393992</v>
      </c>
      <c r="H342" s="22" t="n">
        <v>684.6833649</v>
      </c>
      <c r="I342" s="22" t="n">
        <v>619.5356127</v>
      </c>
      <c r="J342" s="22" t="n">
        <v>625.0423191</v>
      </c>
      <c r="K342" s="22" t="n">
        <v>631.0390337</v>
      </c>
      <c r="L342" s="22" t="n">
        <v>631.0390337</v>
      </c>
      <c r="M342" s="22" t="n">
        <v>749.3944565</v>
      </c>
      <c r="N342" s="22" t="n">
        <v>879.5191115</v>
      </c>
      <c r="O342" s="14" t="n">
        <f aca="false">SUM(C342:N342)</f>
        <v>8349.3897425</v>
      </c>
      <c r="W342" s="1"/>
      <c r="X342" s="1"/>
      <c r="Y342" s="1"/>
      <c r="Z342" s="1"/>
    </row>
    <row r="343" customFormat="false" ht="15.75" hidden="false" customHeight="true" outlineLevel="0" collapsed="false">
      <c r="A343" s="13" t="s">
        <v>511</v>
      </c>
      <c r="B343" s="42" t="n">
        <v>2027</v>
      </c>
      <c r="C343" s="22" t="n">
        <v>51.06380501</v>
      </c>
      <c r="D343" s="22" t="n">
        <v>51.06380501</v>
      </c>
      <c r="E343" s="22" t="n">
        <v>58.76607979</v>
      </c>
      <c r="F343" s="22" t="n">
        <v>66.12867082</v>
      </c>
      <c r="G343" s="22" t="n">
        <v>66.81787782</v>
      </c>
      <c r="H343" s="22" t="n">
        <v>65.4181177</v>
      </c>
      <c r="I343" s="22" t="n">
        <v>56.36568585</v>
      </c>
      <c r="J343" s="22" t="n">
        <v>57.0052898</v>
      </c>
      <c r="K343" s="22" t="n">
        <v>58.29820412</v>
      </c>
      <c r="L343" s="22" t="n">
        <v>58.29820412</v>
      </c>
      <c r="M343" s="22" t="n">
        <v>57.60899712</v>
      </c>
      <c r="N343" s="22" t="n">
        <v>59.00875724</v>
      </c>
      <c r="O343" s="14" t="n">
        <f aca="false">SUM(C343:N343)</f>
        <v>705.8434944</v>
      </c>
      <c r="W343" s="1"/>
      <c r="X343" s="1"/>
      <c r="Y343" s="1"/>
      <c r="Z343" s="1"/>
    </row>
    <row r="344" customFormat="false" ht="15.75" hidden="false" customHeight="true" outlineLevel="0" collapsed="false">
      <c r="A344" s="13" t="s">
        <v>512</v>
      </c>
      <c r="B344" s="42" t="n">
        <v>2027</v>
      </c>
      <c r="C344" s="22" t="n">
        <v>8.518981728</v>
      </c>
      <c r="D344" s="22" t="n">
        <v>7.23615084</v>
      </c>
      <c r="E344" s="22" t="n">
        <v>6.553773212</v>
      </c>
      <c r="F344" s="22" t="n">
        <v>7.120307993</v>
      </c>
      <c r="G344" s="22" t="n">
        <v>7.171438622</v>
      </c>
      <c r="H344" s="22" t="n">
        <v>7.100089299</v>
      </c>
      <c r="I344" s="22" t="n">
        <v>6.422110198</v>
      </c>
      <c r="J344" s="22" t="n">
        <v>6.479417345</v>
      </c>
      <c r="K344" s="22" t="n">
        <v>6.541823906</v>
      </c>
      <c r="L344" s="22" t="n">
        <v>6.541823906</v>
      </c>
      <c r="M344" s="22" t="n">
        <v>7.773524166</v>
      </c>
      <c r="N344" s="22" t="n">
        <v>9.127704376</v>
      </c>
      <c r="O344" s="14" t="n">
        <f aca="false">SUM(C344:N344)</f>
        <v>86.587145591</v>
      </c>
      <c r="W344" s="1"/>
      <c r="X344" s="1"/>
      <c r="Y344" s="1"/>
      <c r="Z344" s="1"/>
    </row>
    <row r="345" customFormat="false" ht="15.75" hidden="false" customHeight="true" outlineLevel="0" collapsed="false">
      <c r="A345" s="13" t="s">
        <v>423</v>
      </c>
      <c r="B345" s="42" t="n">
        <v>2027</v>
      </c>
      <c r="C345" s="22" t="n">
        <v>237.3340518</v>
      </c>
      <c r="D345" s="22" t="n">
        <v>206.5168966</v>
      </c>
      <c r="E345" s="22" t="n">
        <v>195.3200478</v>
      </c>
      <c r="F345" s="22" t="n">
        <v>213.9224887</v>
      </c>
      <c r="G345" s="22" t="n">
        <v>215.587693</v>
      </c>
      <c r="H345" s="22" t="n">
        <v>212.9502553</v>
      </c>
      <c r="I345" s="22" t="n">
        <v>190.6064921</v>
      </c>
      <c r="J345" s="22" t="n">
        <v>192.3577156</v>
      </c>
      <c r="K345" s="22" t="n">
        <v>194.7030854</v>
      </c>
      <c r="L345" s="22" t="n">
        <v>194.7030854</v>
      </c>
      <c r="M345" s="22" t="n">
        <v>223.8550363</v>
      </c>
      <c r="N345" s="22" t="n">
        <v>257.3096292</v>
      </c>
      <c r="O345" s="14" t="n">
        <f aca="false">SUM(C345:N345)</f>
        <v>2535.1664772</v>
      </c>
      <c r="W345" s="1"/>
      <c r="X345" s="1"/>
      <c r="Y345" s="1"/>
      <c r="Z345" s="1"/>
    </row>
    <row r="346" customFormat="false" ht="15.75" hidden="false" customHeight="true" outlineLevel="0" collapsed="false">
      <c r="A346" s="13" t="s">
        <v>424</v>
      </c>
      <c r="B346" s="42" t="n">
        <v>2027</v>
      </c>
      <c r="C346" s="22" t="n">
        <v>225.453605</v>
      </c>
      <c r="D346" s="22" t="n">
        <v>193.4037636</v>
      </c>
      <c r="E346" s="22" t="n">
        <v>179.1575453</v>
      </c>
      <c r="F346" s="22" t="n">
        <v>196.0860224</v>
      </c>
      <c r="G346" s="22" t="n">
        <v>197.5335744</v>
      </c>
      <c r="H346" s="22" t="n">
        <v>195.2793767</v>
      </c>
      <c r="I346" s="22" t="n">
        <v>175.1704093</v>
      </c>
      <c r="J346" s="22" t="n">
        <v>176.669108</v>
      </c>
      <c r="K346" s="22" t="n">
        <v>178.6455509</v>
      </c>
      <c r="L346" s="22" t="n">
        <v>178.6455509</v>
      </c>
      <c r="M346" s="22" t="n">
        <v>209.2478403</v>
      </c>
      <c r="N346" s="22" t="n">
        <v>243.5518794</v>
      </c>
      <c r="O346" s="14" t="n">
        <f aca="false">SUM(C346:N346)</f>
        <v>2348.8442262</v>
      </c>
      <c r="W346" s="1"/>
      <c r="X346" s="1"/>
      <c r="Y346" s="1"/>
      <c r="Z346" s="1"/>
    </row>
    <row r="347" customFormat="false" ht="15.75" hidden="false" customHeight="true" outlineLevel="0" collapsed="false">
      <c r="A347" s="13" t="s">
        <v>513</v>
      </c>
      <c r="B347" s="42" t="n">
        <v>2027</v>
      </c>
      <c r="C347" s="22" t="n">
        <v>225.453605</v>
      </c>
      <c r="D347" s="22" t="n">
        <v>193.4037636</v>
      </c>
      <c r="E347" s="22" t="n">
        <v>179.1575453</v>
      </c>
      <c r="F347" s="22" t="n">
        <v>196.0860224</v>
      </c>
      <c r="G347" s="22" t="n">
        <v>197.5335744</v>
      </c>
      <c r="H347" s="22" t="n">
        <v>195.2793767</v>
      </c>
      <c r="I347" s="22" t="n">
        <v>175.1704093</v>
      </c>
      <c r="J347" s="22" t="n">
        <v>176.669108</v>
      </c>
      <c r="K347" s="22" t="n">
        <v>178.6455509</v>
      </c>
      <c r="L347" s="22" t="n">
        <v>178.6455509</v>
      </c>
      <c r="M347" s="22" t="n">
        <v>209.2478403</v>
      </c>
      <c r="N347" s="22" t="n">
        <v>243.5518794</v>
      </c>
      <c r="O347" s="14" t="n">
        <f aca="false">SUM(C347:N347)</f>
        <v>2348.8442262</v>
      </c>
      <c r="W347" s="1"/>
      <c r="X347" s="1"/>
      <c r="Y347" s="1"/>
      <c r="Z347" s="1"/>
    </row>
    <row r="348" customFormat="false" ht="15.75" hidden="false" customHeight="true" outlineLevel="0" collapsed="false">
      <c r="A348" s="13" t="s">
        <v>514</v>
      </c>
      <c r="B348" s="42" t="n">
        <v>2027</v>
      </c>
      <c r="C348" s="22" t="n">
        <v>135.8252897</v>
      </c>
      <c r="D348" s="22" t="n">
        <v>117.3349966</v>
      </c>
      <c r="E348" s="22" t="n">
        <v>109.8335059</v>
      </c>
      <c r="F348" s="22" t="n">
        <v>120.2689639</v>
      </c>
      <c r="G348" s="22" t="n">
        <v>121.1807753</v>
      </c>
      <c r="H348" s="22" t="n">
        <v>119.7461746</v>
      </c>
      <c r="I348" s="22" t="n">
        <v>107.2845152</v>
      </c>
      <c r="J348" s="22" t="n">
        <v>108.2345829</v>
      </c>
      <c r="K348" s="22" t="n">
        <v>109.5014395</v>
      </c>
      <c r="L348" s="22" t="n">
        <v>109.5014395</v>
      </c>
      <c r="M348" s="22" t="n">
        <v>127.0799212</v>
      </c>
      <c r="N348" s="22" t="n">
        <v>147.004815</v>
      </c>
      <c r="O348" s="14" t="n">
        <f aca="false">SUM(C348:N348)</f>
        <v>1432.7964193</v>
      </c>
      <c r="W348" s="1"/>
      <c r="X348" s="1"/>
      <c r="Y348" s="1"/>
      <c r="Z348" s="1"/>
    </row>
    <row r="349" customFormat="false" ht="15.75" hidden="false" customHeight="true" outlineLevel="0" collapsed="false">
      <c r="A349" s="13" t="s">
        <v>515</v>
      </c>
      <c r="B349" s="42" t="n">
        <v>2027</v>
      </c>
      <c r="C349" s="22" t="n">
        <v>822.7866105</v>
      </c>
      <c r="D349" s="22" t="n">
        <v>699.5179898</v>
      </c>
      <c r="E349" s="22" t="n">
        <v>633.9475784</v>
      </c>
      <c r="F349" s="22" t="n">
        <v>688.3865241</v>
      </c>
      <c r="G349" s="22" t="n">
        <v>693.299722</v>
      </c>
      <c r="H349" s="22" t="n">
        <v>686.4436877</v>
      </c>
      <c r="I349" s="22" t="n">
        <v>621.2959356</v>
      </c>
      <c r="J349" s="22" t="n">
        <v>626.802642</v>
      </c>
      <c r="K349" s="22" t="n">
        <v>632.7993566</v>
      </c>
      <c r="L349" s="22" t="n">
        <v>632.7993566</v>
      </c>
      <c r="M349" s="22" t="n">
        <v>751.1547794</v>
      </c>
      <c r="N349" s="22" t="n">
        <v>881.2794344</v>
      </c>
      <c r="O349" s="14" t="n">
        <f aca="false">SUM(C349:N349)</f>
        <v>8370.5136171</v>
      </c>
      <c r="W349" s="1"/>
      <c r="X349" s="1"/>
      <c r="Y349" s="1"/>
      <c r="Z349" s="1"/>
    </row>
    <row r="350" customFormat="false" ht="15.75" hidden="false" customHeight="true" outlineLevel="0" collapsed="false">
      <c r="A350" s="13" t="s">
        <v>516</v>
      </c>
      <c r="B350" s="42" t="n">
        <v>2027</v>
      </c>
      <c r="C350" s="22" t="n">
        <v>821.0262876</v>
      </c>
      <c r="D350" s="22" t="n">
        <v>697.7576669</v>
      </c>
      <c r="E350" s="22" t="n">
        <v>632.1872555</v>
      </c>
      <c r="F350" s="22" t="n">
        <v>686.6262012</v>
      </c>
      <c r="G350" s="22" t="n">
        <v>691.5393992</v>
      </c>
      <c r="H350" s="22" t="n">
        <v>684.6833649</v>
      </c>
      <c r="I350" s="22" t="n">
        <v>619.5356127</v>
      </c>
      <c r="J350" s="22" t="n">
        <v>625.0423191</v>
      </c>
      <c r="K350" s="22" t="n">
        <v>631.0390337</v>
      </c>
      <c r="L350" s="22" t="n">
        <v>631.0390337</v>
      </c>
      <c r="M350" s="22" t="n">
        <v>749.3944565</v>
      </c>
      <c r="N350" s="22" t="n">
        <v>879.5191115</v>
      </c>
      <c r="O350" s="14" t="n">
        <f aca="false">SUM(C350:N350)</f>
        <v>8349.3897425</v>
      </c>
      <c r="W350" s="1"/>
      <c r="X350" s="1"/>
      <c r="Y350" s="1"/>
      <c r="Z350" s="1"/>
    </row>
    <row r="351" customFormat="false" ht="15.75" hidden="false" customHeight="true" outlineLevel="0" collapsed="false">
      <c r="A351" s="13" t="s">
        <v>517</v>
      </c>
      <c r="B351" s="42" t="n">
        <v>2027</v>
      </c>
      <c r="C351" s="22" t="n">
        <v>821.0262876</v>
      </c>
      <c r="D351" s="22" t="n">
        <v>697.7576669</v>
      </c>
      <c r="E351" s="22" t="n">
        <v>632.1872555</v>
      </c>
      <c r="F351" s="22" t="n">
        <v>686.6262012</v>
      </c>
      <c r="G351" s="22" t="n">
        <v>691.5393992</v>
      </c>
      <c r="H351" s="22" t="n">
        <v>684.6833649</v>
      </c>
      <c r="I351" s="22" t="n">
        <v>619.5356127</v>
      </c>
      <c r="J351" s="22" t="n">
        <v>625.0423191</v>
      </c>
      <c r="K351" s="22" t="n">
        <v>631.0390337</v>
      </c>
      <c r="L351" s="22" t="n">
        <v>631.0390337</v>
      </c>
      <c r="M351" s="22" t="n">
        <v>749.3944565</v>
      </c>
      <c r="N351" s="22" t="n">
        <v>879.5191115</v>
      </c>
      <c r="O351" s="14" t="n">
        <f aca="false">SUM(C351:N351)</f>
        <v>8349.3897425</v>
      </c>
      <c r="W351" s="1"/>
      <c r="X351" s="1"/>
      <c r="Y351" s="1"/>
      <c r="Z351" s="1"/>
    </row>
    <row r="352" customFormat="false" ht="15.75" hidden="false" customHeight="true" outlineLevel="0" collapsed="false">
      <c r="A352" s="13" t="s">
        <v>518</v>
      </c>
      <c r="B352" s="42" t="n">
        <v>2027</v>
      </c>
      <c r="C352" s="22" t="n">
        <v>51.06380501</v>
      </c>
      <c r="D352" s="22" t="n">
        <v>51.06380501</v>
      </c>
      <c r="E352" s="22" t="n">
        <v>58.76607979</v>
      </c>
      <c r="F352" s="22" t="n">
        <v>66.12867082</v>
      </c>
      <c r="G352" s="22" t="n">
        <v>66.81787782</v>
      </c>
      <c r="H352" s="22" t="n">
        <v>65.4181177</v>
      </c>
      <c r="I352" s="22" t="n">
        <v>56.36568585</v>
      </c>
      <c r="J352" s="22" t="n">
        <v>57.0052898</v>
      </c>
      <c r="K352" s="22" t="n">
        <v>58.29820412</v>
      </c>
      <c r="L352" s="22" t="n">
        <v>58.29820412</v>
      </c>
      <c r="M352" s="22" t="n">
        <v>57.60899712</v>
      </c>
      <c r="N352" s="22" t="n">
        <v>59.00875724</v>
      </c>
      <c r="O352" s="14" t="n">
        <f aca="false">SUM(C352:N352)</f>
        <v>705.8434944</v>
      </c>
      <c r="W352" s="1"/>
      <c r="X352" s="1"/>
      <c r="Y352" s="1"/>
      <c r="Z352" s="1"/>
    </row>
    <row r="353" customFormat="false" ht="15.75" hidden="false" customHeight="true" outlineLevel="0" collapsed="false">
      <c r="A353" s="13" t="s">
        <v>519</v>
      </c>
      <c r="B353" s="42" t="n">
        <v>2027</v>
      </c>
      <c r="C353" s="22" t="n">
        <v>31.16560252</v>
      </c>
      <c r="D353" s="22" t="n">
        <v>31.16560252</v>
      </c>
      <c r="E353" s="22" t="n">
        <v>38.45103296</v>
      </c>
      <c r="F353" s="22" t="n">
        <v>45.66434619</v>
      </c>
      <c r="G353" s="22" t="n">
        <v>46.10665955</v>
      </c>
      <c r="H353" s="22" t="n">
        <v>44.88042486</v>
      </c>
      <c r="I353" s="22" t="n">
        <v>36.63698993</v>
      </c>
      <c r="J353" s="22" t="n">
        <v>36.81107309</v>
      </c>
      <c r="K353" s="22" t="n">
        <v>37.89604564</v>
      </c>
      <c r="L353" s="22" t="n">
        <v>37.89604564</v>
      </c>
      <c r="M353" s="22" t="n">
        <v>37.45373228</v>
      </c>
      <c r="N353" s="22" t="n">
        <v>38.67996696</v>
      </c>
      <c r="O353" s="14" t="n">
        <f aca="false">SUM(C353:N353)</f>
        <v>462.80752214</v>
      </c>
      <c r="W353" s="1"/>
      <c r="X353" s="1"/>
      <c r="Y353" s="1"/>
      <c r="Z353" s="1"/>
    </row>
    <row r="354" customFormat="false" ht="15.75" hidden="false" customHeight="true" outlineLevel="0" collapsed="false">
      <c r="A354" s="13" t="s">
        <v>520</v>
      </c>
      <c r="B354" s="42" t="n">
        <v>2027</v>
      </c>
      <c r="C354" s="22" t="n">
        <v>905.5019315</v>
      </c>
      <c r="D354" s="22" t="n">
        <v>782.2333108</v>
      </c>
      <c r="E354" s="22" t="n">
        <v>732.2233728</v>
      </c>
      <c r="F354" s="22" t="n">
        <v>801.793093</v>
      </c>
      <c r="G354" s="22" t="n">
        <v>807.8718354</v>
      </c>
      <c r="H354" s="22" t="n">
        <v>798.307831</v>
      </c>
      <c r="I354" s="22" t="n">
        <v>715.2301016</v>
      </c>
      <c r="J354" s="22" t="n">
        <v>721.5638862</v>
      </c>
      <c r="K354" s="22" t="n">
        <v>730.0095966</v>
      </c>
      <c r="L354" s="22" t="n">
        <v>730.0095966</v>
      </c>
      <c r="M354" s="22" t="n">
        <v>847.199475</v>
      </c>
      <c r="N354" s="22" t="n">
        <v>980.0321001</v>
      </c>
      <c r="O354" s="14" t="n">
        <f aca="false">SUM(C354:N354)</f>
        <v>9551.9761306</v>
      </c>
      <c r="W354" s="1"/>
      <c r="X354" s="1"/>
      <c r="Y354" s="1"/>
      <c r="Z354" s="1"/>
    </row>
    <row r="355" customFormat="false" ht="15.75" hidden="false" customHeight="true" outlineLevel="0" collapsed="false">
      <c r="A355" s="13" t="s">
        <v>521</v>
      </c>
      <c r="B355" s="42" t="n">
        <v>2027</v>
      </c>
      <c r="C355" s="22" t="n">
        <v>905.5019315</v>
      </c>
      <c r="D355" s="22" t="n">
        <v>782.2333108</v>
      </c>
      <c r="E355" s="22" t="n">
        <v>732.2233728</v>
      </c>
      <c r="F355" s="22" t="n">
        <v>801.793093</v>
      </c>
      <c r="G355" s="22" t="n">
        <v>807.8718354</v>
      </c>
      <c r="H355" s="22" t="n">
        <v>798.307831</v>
      </c>
      <c r="I355" s="22" t="n">
        <v>715.2301016</v>
      </c>
      <c r="J355" s="22" t="n">
        <v>721.5638862</v>
      </c>
      <c r="K355" s="22" t="n">
        <v>730.0095966</v>
      </c>
      <c r="L355" s="22" t="n">
        <v>730.0095966</v>
      </c>
      <c r="M355" s="22" t="n">
        <v>847.199475</v>
      </c>
      <c r="N355" s="22" t="n">
        <v>980.0321001</v>
      </c>
      <c r="O355" s="14" t="n">
        <f aca="false">SUM(C355:N355)</f>
        <v>9551.9761306</v>
      </c>
      <c r="W355" s="1"/>
      <c r="X355" s="1"/>
      <c r="Y355" s="1"/>
      <c r="Z355" s="1"/>
    </row>
    <row r="356" customFormat="false" ht="15.75" hidden="false" customHeight="true" outlineLevel="0" collapsed="false">
      <c r="A356" s="13" t="s">
        <v>522</v>
      </c>
      <c r="B356" s="42" t="n">
        <v>2027</v>
      </c>
      <c r="C356" s="22" t="n">
        <v>71.69140907</v>
      </c>
      <c r="D356" s="22" t="n">
        <v>61.82991941</v>
      </c>
      <c r="E356" s="22" t="n">
        <v>57.63820165</v>
      </c>
      <c r="F356" s="22" t="n">
        <v>63.01882252</v>
      </c>
      <c r="G356" s="22" t="n">
        <v>63.49378054</v>
      </c>
      <c r="H356" s="22" t="n">
        <v>62.7559853</v>
      </c>
      <c r="I356" s="22" t="n">
        <v>56.32113708</v>
      </c>
      <c r="J356" s="22" t="n">
        <v>56.82337617</v>
      </c>
      <c r="K356" s="22" t="n">
        <v>57.47533</v>
      </c>
      <c r="L356" s="22" t="n">
        <v>57.47533</v>
      </c>
      <c r="M356" s="22" t="n">
        <v>66.86186164</v>
      </c>
      <c r="N356" s="22" t="n">
        <v>77.46114655</v>
      </c>
      <c r="O356" s="14" t="n">
        <f aca="false">SUM(C356:N356)</f>
        <v>752.84629993</v>
      </c>
      <c r="W356" s="1"/>
      <c r="X356" s="1"/>
      <c r="Y356" s="1"/>
      <c r="Z356" s="1"/>
    </row>
    <row r="357" customFormat="false" ht="15.75" hidden="false" customHeight="true" outlineLevel="0" collapsed="false">
      <c r="A357" s="13" t="s">
        <v>523</v>
      </c>
      <c r="B357" s="42" t="n">
        <v>2027</v>
      </c>
      <c r="C357" s="22" t="n">
        <v>23.89580492</v>
      </c>
      <c r="D357" s="22" t="n">
        <v>23.89580492</v>
      </c>
      <c r="E357" s="22" t="n">
        <v>26.02053358</v>
      </c>
      <c r="F357" s="22" t="n">
        <v>28.92864494</v>
      </c>
      <c r="G357" s="22" t="n">
        <v>29.38922701</v>
      </c>
      <c r="H357" s="22" t="n">
        <v>28.01247744</v>
      </c>
      <c r="I357" s="22" t="n">
        <v>24.55146228</v>
      </c>
      <c r="J357" s="22" t="n">
        <v>24.97158129</v>
      </c>
      <c r="K357" s="22" t="n">
        <v>26.13100448</v>
      </c>
      <c r="L357" s="22" t="n">
        <v>26.13100448</v>
      </c>
      <c r="M357" s="22" t="n">
        <v>25.67042241</v>
      </c>
      <c r="N357" s="22" t="n">
        <v>27.04717198</v>
      </c>
      <c r="O357" s="14" t="n">
        <f aca="false">SUM(C357:N357)</f>
        <v>314.64513973</v>
      </c>
      <c r="W357" s="1"/>
      <c r="X357" s="1"/>
      <c r="Y357" s="1"/>
      <c r="Z357" s="1"/>
    </row>
    <row r="358" customFormat="false" ht="15.75" hidden="false" customHeight="true" outlineLevel="0" collapsed="false">
      <c r="A358" s="13" t="s">
        <v>503</v>
      </c>
      <c r="B358" s="42" t="n">
        <v>2028</v>
      </c>
      <c r="C358" s="22" t="n">
        <v>1767.057369</v>
      </c>
      <c r="D358" s="22" t="n">
        <v>1543.379277</v>
      </c>
      <c r="E358" s="22" t="n">
        <v>1485.922038</v>
      </c>
      <c r="F358" s="22" t="n">
        <v>1643.46867</v>
      </c>
      <c r="G358" s="22" t="n">
        <v>1657.144971</v>
      </c>
      <c r="H358" s="22" t="n">
        <v>1635.817315</v>
      </c>
      <c r="I358" s="22" t="n">
        <v>1447.752343</v>
      </c>
      <c r="J358" s="22" t="n">
        <v>1461.945107</v>
      </c>
      <c r="K358" s="22" t="n">
        <v>1480.774238</v>
      </c>
      <c r="L358" s="22" t="n">
        <v>1480.774238</v>
      </c>
      <c r="M358" s="22" t="n">
        <v>1690.77603</v>
      </c>
      <c r="N358" s="22" t="n">
        <v>1935.781777</v>
      </c>
      <c r="O358" s="14" t="n">
        <f aca="false">SUM(C358:N358)</f>
        <v>19230.593373</v>
      </c>
      <c r="W358" s="1"/>
      <c r="X358" s="1"/>
      <c r="Y358" s="1"/>
      <c r="Z358" s="1"/>
    </row>
    <row r="359" customFormat="false" ht="15.75" hidden="false" customHeight="true" outlineLevel="0" collapsed="false">
      <c r="A359" s="13" t="s">
        <v>504</v>
      </c>
      <c r="B359" s="42" t="n">
        <v>2028</v>
      </c>
      <c r="C359" s="22" t="n">
        <v>1767.057369</v>
      </c>
      <c r="D359" s="22" t="n">
        <v>1543.379277</v>
      </c>
      <c r="E359" s="22" t="n">
        <v>1485.922038</v>
      </c>
      <c r="F359" s="22" t="n">
        <v>1643.46867</v>
      </c>
      <c r="G359" s="22" t="n">
        <v>1657.144971</v>
      </c>
      <c r="H359" s="22" t="n">
        <v>1635.817315</v>
      </c>
      <c r="I359" s="22" t="n">
        <v>1447.752343</v>
      </c>
      <c r="J359" s="22" t="n">
        <v>1461.945107</v>
      </c>
      <c r="K359" s="22" t="n">
        <v>1480.774238</v>
      </c>
      <c r="L359" s="22" t="n">
        <v>1480.774238</v>
      </c>
      <c r="M359" s="22" t="n">
        <v>1690.77603</v>
      </c>
      <c r="N359" s="22" t="n">
        <v>1935.781777</v>
      </c>
      <c r="O359" s="14" t="n">
        <f aca="false">SUM(C359:N359)</f>
        <v>19230.593373</v>
      </c>
      <c r="W359" s="1"/>
      <c r="X359" s="1"/>
      <c r="Y359" s="1"/>
      <c r="Z359" s="1"/>
    </row>
    <row r="360" customFormat="false" ht="15.75" hidden="false" customHeight="true" outlineLevel="0" collapsed="false">
      <c r="A360" s="13" t="s">
        <v>505</v>
      </c>
      <c r="B360" s="42" t="n">
        <v>2028</v>
      </c>
      <c r="C360" s="22" t="n">
        <v>1348.315879</v>
      </c>
      <c r="D360" s="22" t="n">
        <v>1157.07111</v>
      </c>
      <c r="E360" s="22" t="n">
        <v>1077.314306</v>
      </c>
      <c r="F360" s="22" t="n">
        <v>1182.342823</v>
      </c>
      <c r="G360" s="22" t="n">
        <v>1191.812463</v>
      </c>
      <c r="H360" s="22" t="n">
        <v>1178.721816</v>
      </c>
      <c r="I360" s="22" t="n">
        <v>1053.0288</v>
      </c>
      <c r="J360" s="22" t="n">
        <v>1063.612845</v>
      </c>
      <c r="K360" s="22" t="n">
        <v>1075.045988</v>
      </c>
      <c r="L360" s="22" t="n">
        <v>1075.045988</v>
      </c>
      <c r="M360" s="22" t="n">
        <v>1256.821117</v>
      </c>
      <c r="N360" s="22" t="n">
        <v>1461.156532</v>
      </c>
      <c r="O360" s="14" t="n">
        <f aca="false">SUM(C360:N360)</f>
        <v>14120.289667</v>
      </c>
      <c r="W360" s="1"/>
      <c r="X360" s="1"/>
      <c r="Y360" s="1"/>
      <c r="Z360" s="1"/>
    </row>
    <row r="361" customFormat="false" ht="15.75" hidden="false" customHeight="true" outlineLevel="0" collapsed="false">
      <c r="A361" s="13" t="s">
        <v>506</v>
      </c>
      <c r="B361" s="42" t="n">
        <v>2028</v>
      </c>
      <c r="C361" s="22" t="n">
        <v>154.0279067</v>
      </c>
      <c r="D361" s="22" t="n">
        <v>132.7784879</v>
      </c>
      <c r="E361" s="22" t="n">
        <v>123.9166208</v>
      </c>
      <c r="F361" s="22" t="n">
        <v>135.586456</v>
      </c>
      <c r="G361" s="22" t="n">
        <v>136.6386382</v>
      </c>
      <c r="H361" s="22" t="n">
        <v>135.1841219</v>
      </c>
      <c r="I361" s="22" t="n">
        <v>121.2182312</v>
      </c>
      <c r="J361" s="22" t="n">
        <v>122.3942362</v>
      </c>
      <c r="K361" s="22" t="n">
        <v>123.6645854</v>
      </c>
      <c r="L361" s="22" t="n">
        <v>123.6645854</v>
      </c>
      <c r="M361" s="22" t="n">
        <v>143.861822</v>
      </c>
      <c r="N361" s="22" t="n">
        <v>166.565757</v>
      </c>
      <c r="O361" s="14" t="n">
        <f aca="false">SUM(C361:N361)</f>
        <v>1619.5014487</v>
      </c>
      <c r="W361" s="1"/>
      <c r="X361" s="1"/>
      <c r="Y361" s="1"/>
      <c r="Z361" s="1"/>
    </row>
    <row r="362" customFormat="false" ht="15.75" hidden="false" customHeight="true" outlineLevel="0" collapsed="false">
      <c r="A362" s="13" t="s">
        <v>507</v>
      </c>
      <c r="B362" s="42" t="n">
        <v>2028</v>
      </c>
      <c r="C362" s="22" t="n">
        <v>73.44175593</v>
      </c>
      <c r="D362" s="22" t="n">
        <v>73.44175593</v>
      </c>
      <c r="E362" s="22" t="n">
        <v>82.82769716</v>
      </c>
      <c r="F362" s="22" t="n">
        <v>91.54723157</v>
      </c>
      <c r="G362" s="22" t="n">
        <v>92.58301411</v>
      </c>
      <c r="H362" s="22" t="n">
        <v>90.80775174</v>
      </c>
      <c r="I362" s="22" t="n">
        <v>79.49503238</v>
      </c>
      <c r="J362" s="22" t="n">
        <v>80.68233069</v>
      </c>
      <c r="K362" s="22" t="n">
        <v>82.36693133</v>
      </c>
      <c r="L362" s="22" t="n">
        <v>82.36693133</v>
      </c>
      <c r="M362" s="22" t="n">
        <v>81.33114878</v>
      </c>
      <c r="N362" s="22" t="n">
        <v>83.10641116</v>
      </c>
      <c r="O362" s="14" t="n">
        <f aca="false">SUM(C362:N362)</f>
        <v>993.99799211</v>
      </c>
      <c r="W362" s="1"/>
      <c r="X362" s="1"/>
      <c r="Y362" s="1"/>
      <c r="Z362" s="1"/>
    </row>
    <row r="363" customFormat="false" ht="15.75" hidden="false" customHeight="true" outlineLevel="0" collapsed="false">
      <c r="A363" s="13" t="s">
        <v>508</v>
      </c>
      <c r="B363" s="42" t="n">
        <v>2028</v>
      </c>
      <c r="C363" s="22" t="n">
        <v>61.95788561</v>
      </c>
      <c r="D363" s="22" t="n">
        <v>61.95788561</v>
      </c>
      <c r="E363" s="22" t="n">
        <v>77.99588184</v>
      </c>
      <c r="F363" s="22" t="n">
        <v>93.47211328</v>
      </c>
      <c r="G363" s="22" t="n">
        <v>94.38779344</v>
      </c>
      <c r="H363" s="22" t="n">
        <v>92.18136586</v>
      </c>
      <c r="I363" s="22" t="n">
        <v>74.51071229</v>
      </c>
      <c r="J363" s="22" t="n">
        <v>74.85262221</v>
      </c>
      <c r="K363" s="22" t="n">
        <v>76.77745264</v>
      </c>
      <c r="L363" s="22" t="n">
        <v>76.77745264</v>
      </c>
      <c r="M363" s="22" t="n">
        <v>75.86177248</v>
      </c>
      <c r="N363" s="22" t="n">
        <v>78.06820006</v>
      </c>
      <c r="O363" s="14" t="n">
        <f aca="false">SUM(C363:N363)</f>
        <v>938.80113796</v>
      </c>
      <c r="W363" s="1"/>
      <c r="X363" s="1"/>
      <c r="Y363" s="1"/>
      <c r="Z363" s="1"/>
    </row>
    <row r="364" customFormat="false" ht="15.75" hidden="false" customHeight="true" outlineLevel="0" collapsed="false">
      <c r="A364" s="13" t="s">
        <v>509</v>
      </c>
      <c r="B364" s="42" t="n">
        <v>2028</v>
      </c>
      <c r="C364" s="22" t="n">
        <v>2.148010247</v>
      </c>
      <c r="D364" s="22" t="n">
        <v>2.148010247</v>
      </c>
      <c r="E364" s="22" t="n">
        <v>1.969933062</v>
      </c>
      <c r="F364" s="22" t="n">
        <v>1.969933062</v>
      </c>
      <c r="G364" s="22" t="n">
        <v>1.969933062</v>
      </c>
      <c r="H364" s="22" t="n">
        <v>1.791855877</v>
      </c>
      <c r="I364" s="22" t="n">
        <v>1.791855877</v>
      </c>
      <c r="J364" s="22" t="n">
        <v>1.791855877</v>
      </c>
      <c r="K364" s="22" t="n">
        <v>1.969933062</v>
      </c>
      <c r="L364" s="22" t="n">
        <v>1.969933062</v>
      </c>
      <c r="M364" s="22" t="n">
        <v>1.969933062</v>
      </c>
      <c r="N364" s="22" t="n">
        <v>2.148010247</v>
      </c>
      <c r="O364" s="14" t="n">
        <f aca="false">SUM(C364:N364)</f>
        <v>23.639196744</v>
      </c>
      <c r="W364" s="1"/>
      <c r="X364" s="1"/>
      <c r="Y364" s="1"/>
      <c r="Z364" s="1"/>
    </row>
    <row r="365" customFormat="false" ht="15.75" hidden="false" customHeight="true" outlineLevel="0" collapsed="false">
      <c r="A365" s="13" t="s">
        <v>510</v>
      </c>
      <c r="B365" s="42" t="n">
        <v>2028</v>
      </c>
      <c r="C365" s="22" t="n">
        <v>1581.414512</v>
      </c>
      <c r="D365" s="22" t="n">
        <v>1357.736419</v>
      </c>
      <c r="E365" s="22" t="n">
        <v>1264.453607</v>
      </c>
      <c r="F365" s="22" t="n">
        <v>1387.293978</v>
      </c>
      <c r="G365" s="22" t="n">
        <v>1398.36958</v>
      </c>
      <c r="H365" s="22" t="n">
        <v>1383.058882</v>
      </c>
      <c r="I365" s="22" t="n">
        <v>1236.049506</v>
      </c>
      <c r="J365" s="22" t="n">
        <v>1248.428507</v>
      </c>
      <c r="K365" s="22" t="n">
        <v>1261.800604</v>
      </c>
      <c r="L365" s="22" t="n">
        <v>1261.800604</v>
      </c>
      <c r="M365" s="22" t="n">
        <v>1474.403093</v>
      </c>
      <c r="N365" s="22" t="n">
        <v>1713.391884</v>
      </c>
      <c r="O365" s="14" t="n">
        <f aca="false">SUM(C365:N365)</f>
        <v>16568.201176</v>
      </c>
      <c r="W365" s="1"/>
      <c r="X365" s="1"/>
      <c r="Y365" s="1"/>
      <c r="Z365" s="1"/>
    </row>
    <row r="366" customFormat="false" ht="15.75" hidden="false" customHeight="true" outlineLevel="0" collapsed="false">
      <c r="A366" s="13" t="s">
        <v>511</v>
      </c>
      <c r="B366" s="42" t="n">
        <v>2028</v>
      </c>
      <c r="C366" s="22" t="n">
        <v>110.114694</v>
      </c>
      <c r="D366" s="22" t="n">
        <v>110.114694</v>
      </c>
      <c r="E366" s="22" t="n">
        <v>127.752883</v>
      </c>
      <c r="F366" s="22" t="n">
        <v>144.5896816</v>
      </c>
      <c r="G366" s="22" t="n">
        <v>146.1330991</v>
      </c>
      <c r="H366" s="22" t="n">
        <v>142.9944842</v>
      </c>
      <c r="I366" s="22" t="n">
        <v>122.3421176</v>
      </c>
      <c r="J366" s="22" t="n">
        <v>123.7610979</v>
      </c>
      <c r="K366" s="22" t="n">
        <v>126.6649323</v>
      </c>
      <c r="L366" s="22" t="n">
        <v>126.6649323</v>
      </c>
      <c r="M366" s="22" t="n">
        <v>125.1215148</v>
      </c>
      <c r="N366" s="22" t="n">
        <v>128.2601297</v>
      </c>
      <c r="O366" s="14" t="n">
        <f aca="false">SUM(C366:N366)</f>
        <v>1534.5142605</v>
      </c>
      <c r="W366" s="1"/>
      <c r="X366" s="1"/>
      <c r="Y366" s="1"/>
      <c r="Z366" s="1"/>
    </row>
    <row r="367" customFormat="false" ht="15.75" hidden="false" customHeight="true" outlineLevel="0" collapsed="false">
      <c r="A367" s="13" t="s">
        <v>512</v>
      </c>
      <c r="B367" s="42" t="n">
        <v>2028</v>
      </c>
      <c r="C367" s="22" t="n">
        <v>16.41127815</v>
      </c>
      <c r="D367" s="22" t="n">
        <v>14.08350678</v>
      </c>
      <c r="E367" s="22" t="n">
        <v>13.11273197</v>
      </c>
      <c r="F367" s="22" t="n">
        <v>14.39110614</v>
      </c>
      <c r="G367" s="22" t="n">
        <v>14.50636764</v>
      </c>
      <c r="H367" s="22" t="n">
        <v>14.34703239</v>
      </c>
      <c r="I367" s="22" t="n">
        <v>12.81713639</v>
      </c>
      <c r="J367" s="22" t="n">
        <v>12.94596208</v>
      </c>
      <c r="K367" s="22" t="n">
        <v>13.08512271</v>
      </c>
      <c r="L367" s="22" t="n">
        <v>13.08512271</v>
      </c>
      <c r="M367" s="22" t="n">
        <v>15.29763259</v>
      </c>
      <c r="N367" s="22" t="n">
        <v>17.7847392</v>
      </c>
      <c r="O367" s="14" t="n">
        <f aca="false">SUM(C367:N367)</f>
        <v>171.86773875</v>
      </c>
      <c r="W367" s="1"/>
      <c r="X367" s="1"/>
      <c r="Y367" s="1"/>
      <c r="Z367" s="1"/>
    </row>
    <row r="368" customFormat="false" ht="15.75" hidden="false" customHeight="true" outlineLevel="0" collapsed="false">
      <c r="A368" s="13" t="s">
        <v>423</v>
      </c>
      <c r="B368" s="42" t="n">
        <v>2028</v>
      </c>
      <c r="C368" s="22" t="n">
        <v>464.9564758</v>
      </c>
      <c r="D368" s="22" t="n">
        <v>409.0369527</v>
      </c>
      <c r="E368" s="22" t="n">
        <v>397.6366245</v>
      </c>
      <c r="F368" s="22" t="n">
        <v>439.7768197</v>
      </c>
      <c r="G368" s="22" t="n">
        <v>443.5229839</v>
      </c>
      <c r="H368" s="22" t="n">
        <v>437.630461</v>
      </c>
      <c r="I368" s="22" t="n">
        <v>387.0417803</v>
      </c>
      <c r="J368" s="22" t="n">
        <v>390.9649075</v>
      </c>
      <c r="K368" s="22" t="n">
        <v>396.2041693</v>
      </c>
      <c r="L368" s="22" t="n">
        <v>396.2041693</v>
      </c>
      <c r="M368" s="22" t="n">
        <v>448.3775281</v>
      </c>
      <c r="N368" s="22" t="n">
        <v>510.1895742</v>
      </c>
      <c r="O368" s="14" t="n">
        <f aca="false">SUM(C368:N368)</f>
        <v>5121.5424463</v>
      </c>
      <c r="W368" s="1"/>
      <c r="X368" s="1"/>
      <c r="Y368" s="1"/>
      <c r="Z368" s="1"/>
    </row>
    <row r="369" customFormat="false" ht="15.75" hidden="false" customHeight="true" outlineLevel="0" collapsed="false">
      <c r="A369" s="13" t="s">
        <v>424</v>
      </c>
      <c r="B369" s="42" t="n">
        <v>2028</v>
      </c>
      <c r="C369" s="22" t="n">
        <v>438.2517096</v>
      </c>
      <c r="D369" s="22" t="n">
        <v>380.0954056</v>
      </c>
      <c r="E369" s="22" t="n">
        <v>362.3282832</v>
      </c>
      <c r="F369" s="22" t="n">
        <v>400.6487306</v>
      </c>
      <c r="G369" s="22" t="n">
        <v>403.9059874</v>
      </c>
      <c r="H369" s="22" t="n">
        <v>398.8881409</v>
      </c>
      <c r="I369" s="22" t="n">
        <v>353.3788355</v>
      </c>
      <c r="J369" s="22" t="n">
        <v>356.7383695</v>
      </c>
      <c r="K369" s="22" t="n">
        <v>361.1360572</v>
      </c>
      <c r="L369" s="22" t="n">
        <v>361.1360572</v>
      </c>
      <c r="M369" s="22" t="n">
        <v>416.0351045</v>
      </c>
      <c r="N369" s="22" t="n">
        <v>479.209255</v>
      </c>
      <c r="O369" s="14" t="n">
        <f aca="false">SUM(C369:N369)</f>
        <v>4711.7519362</v>
      </c>
      <c r="W369" s="1"/>
      <c r="X369" s="1"/>
      <c r="Y369" s="1"/>
      <c r="Z369" s="1"/>
    </row>
    <row r="370" customFormat="false" ht="15.75" hidden="false" customHeight="true" outlineLevel="0" collapsed="false">
      <c r="A370" s="13" t="s">
        <v>513</v>
      </c>
      <c r="B370" s="42" t="n">
        <v>2028</v>
      </c>
      <c r="C370" s="22" t="n">
        <v>438.2517096</v>
      </c>
      <c r="D370" s="22" t="n">
        <v>380.0954056</v>
      </c>
      <c r="E370" s="22" t="n">
        <v>362.3282832</v>
      </c>
      <c r="F370" s="22" t="n">
        <v>400.6487306</v>
      </c>
      <c r="G370" s="22" t="n">
        <v>403.9059874</v>
      </c>
      <c r="H370" s="22" t="n">
        <v>398.8881409</v>
      </c>
      <c r="I370" s="22" t="n">
        <v>353.3788355</v>
      </c>
      <c r="J370" s="22" t="n">
        <v>356.7383695</v>
      </c>
      <c r="K370" s="22" t="n">
        <v>361.1360572</v>
      </c>
      <c r="L370" s="22" t="n">
        <v>361.1360572</v>
      </c>
      <c r="M370" s="22" t="n">
        <v>416.0351045</v>
      </c>
      <c r="N370" s="22" t="n">
        <v>479.209255</v>
      </c>
      <c r="O370" s="14" t="n">
        <f aca="false">SUM(C370:N370)</f>
        <v>4711.7519362</v>
      </c>
      <c r="W370" s="1"/>
      <c r="X370" s="1"/>
      <c r="Y370" s="1"/>
      <c r="Z370" s="1"/>
    </row>
    <row r="371" customFormat="false" ht="15.75" hidden="false" customHeight="true" outlineLevel="0" collapsed="false">
      <c r="A371" s="13" t="s">
        <v>514</v>
      </c>
      <c r="B371" s="42" t="n">
        <v>2028</v>
      </c>
      <c r="C371" s="22" t="n">
        <v>265.0586054</v>
      </c>
      <c r="D371" s="22" t="n">
        <v>231.5068916</v>
      </c>
      <c r="E371" s="22" t="n">
        <v>222.8883057</v>
      </c>
      <c r="F371" s="22" t="n">
        <v>246.5203006</v>
      </c>
      <c r="G371" s="22" t="n">
        <v>248.5717456</v>
      </c>
      <c r="H371" s="22" t="n">
        <v>245.3725973</v>
      </c>
      <c r="I371" s="22" t="n">
        <v>217.1628515</v>
      </c>
      <c r="J371" s="22" t="n">
        <v>219.291766</v>
      </c>
      <c r="K371" s="22" t="n">
        <v>222.1161357</v>
      </c>
      <c r="L371" s="22" t="n">
        <v>222.1161357</v>
      </c>
      <c r="M371" s="22" t="n">
        <v>253.6164045</v>
      </c>
      <c r="N371" s="22" t="n">
        <v>290.3672666</v>
      </c>
      <c r="O371" s="14" t="n">
        <f aca="false">SUM(C371:N371)</f>
        <v>2884.5890062</v>
      </c>
      <c r="W371" s="1"/>
      <c r="X371" s="1"/>
      <c r="Y371" s="1"/>
      <c r="Z371" s="1"/>
    </row>
    <row r="372" customFormat="false" ht="15.75" hidden="false" customHeight="true" outlineLevel="0" collapsed="false">
      <c r="A372" s="13" t="s">
        <v>515</v>
      </c>
      <c r="B372" s="42" t="n">
        <v>2028</v>
      </c>
      <c r="C372" s="22" t="n">
        <v>1584.631246</v>
      </c>
      <c r="D372" s="22" t="n">
        <v>1360.953154</v>
      </c>
      <c r="E372" s="22" t="n">
        <v>1267.670342</v>
      </c>
      <c r="F372" s="22" t="n">
        <v>1390.510712</v>
      </c>
      <c r="G372" s="22" t="n">
        <v>1401.586315</v>
      </c>
      <c r="H372" s="22" t="n">
        <v>1386.275617</v>
      </c>
      <c r="I372" s="22" t="n">
        <v>1239.26624</v>
      </c>
      <c r="J372" s="22" t="n">
        <v>1251.645241</v>
      </c>
      <c r="K372" s="22" t="n">
        <v>1265.017338</v>
      </c>
      <c r="L372" s="22" t="n">
        <v>1265.017338</v>
      </c>
      <c r="M372" s="22" t="n">
        <v>1477.619828</v>
      </c>
      <c r="N372" s="22" t="n">
        <v>1716.608618</v>
      </c>
      <c r="O372" s="14" t="n">
        <f aca="false">SUM(C372:N372)</f>
        <v>16606.801989</v>
      </c>
      <c r="W372" s="1"/>
      <c r="X372" s="1"/>
      <c r="Y372" s="1"/>
      <c r="Z372" s="1"/>
    </row>
    <row r="373" customFormat="false" ht="15.75" hidden="false" customHeight="true" outlineLevel="0" collapsed="false">
      <c r="A373" s="13" t="s">
        <v>516</v>
      </c>
      <c r="B373" s="42" t="n">
        <v>2028</v>
      </c>
      <c r="C373" s="22" t="n">
        <v>1581.414512</v>
      </c>
      <c r="D373" s="22" t="n">
        <v>1357.736419</v>
      </c>
      <c r="E373" s="22" t="n">
        <v>1264.453607</v>
      </c>
      <c r="F373" s="22" t="n">
        <v>1387.293978</v>
      </c>
      <c r="G373" s="22" t="n">
        <v>1398.36958</v>
      </c>
      <c r="H373" s="22" t="n">
        <v>1383.058882</v>
      </c>
      <c r="I373" s="22" t="n">
        <v>1236.049506</v>
      </c>
      <c r="J373" s="22" t="n">
        <v>1248.428507</v>
      </c>
      <c r="K373" s="22" t="n">
        <v>1261.800604</v>
      </c>
      <c r="L373" s="22" t="n">
        <v>1261.800604</v>
      </c>
      <c r="M373" s="22" t="n">
        <v>1474.403093</v>
      </c>
      <c r="N373" s="22" t="n">
        <v>1713.391884</v>
      </c>
      <c r="O373" s="14" t="n">
        <f aca="false">SUM(C373:N373)</f>
        <v>16568.201176</v>
      </c>
      <c r="W373" s="1"/>
      <c r="X373" s="1"/>
      <c r="Y373" s="1"/>
      <c r="Z373" s="1"/>
    </row>
    <row r="374" customFormat="false" ht="15.75" hidden="false" customHeight="true" outlineLevel="0" collapsed="false">
      <c r="A374" s="13" t="s">
        <v>517</v>
      </c>
      <c r="B374" s="42" t="n">
        <v>2028</v>
      </c>
      <c r="C374" s="22" t="n">
        <v>1581.414512</v>
      </c>
      <c r="D374" s="22" t="n">
        <v>1357.736419</v>
      </c>
      <c r="E374" s="22" t="n">
        <v>1264.453607</v>
      </c>
      <c r="F374" s="22" t="n">
        <v>1387.293978</v>
      </c>
      <c r="G374" s="22" t="n">
        <v>1398.36958</v>
      </c>
      <c r="H374" s="22" t="n">
        <v>1383.058882</v>
      </c>
      <c r="I374" s="22" t="n">
        <v>1236.049506</v>
      </c>
      <c r="J374" s="22" t="n">
        <v>1248.428507</v>
      </c>
      <c r="K374" s="22" t="n">
        <v>1261.800604</v>
      </c>
      <c r="L374" s="22" t="n">
        <v>1261.800604</v>
      </c>
      <c r="M374" s="22" t="n">
        <v>1474.403093</v>
      </c>
      <c r="N374" s="22" t="n">
        <v>1713.391884</v>
      </c>
      <c r="O374" s="14" t="n">
        <f aca="false">SUM(C374:N374)</f>
        <v>16568.201176</v>
      </c>
      <c r="W374" s="1"/>
      <c r="X374" s="1"/>
      <c r="Y374" s="1"/>
      <c r="Z374" s="1"/>
    </row>
    <row r="375" customFormat="false" ht="15.75" hidden="false" customHeight="true" outlineLevel="0" collapsed="false">
      <c r="A375" s="13" t="s">
        <v>518</v>
      </c>
      <c r="B375" s="42" t="n">
        <v>2028</v>
      </c>
      <c r="C375" s="22" t="n">
        <v>110.114694</v>
      </c>
      <c r="D375" s="22" t="n">
        <v>110.114694</v>
      </c>
      <c r="E375" s="22" t="n">
        <v>127.752883</v>
      </c>
      <c r="F375" s="22" t="n">
        <v>144.5896816</v>
      </c>
      <c r="G375" s="22" t="n">
        <v>146.1330991</v>
      </c>
      <c r="H375" s="22" t="n">
        <v>142.9944842</v>
      </c>
      <c r="I375" s="22" t="n">
        <v>122.3421176</v>
      </c>
      <c r="J375" s="22" t="n">
        <v>123.7610979</v>
      </c>
      <c r="K375" s="22" t="n">
        <v>126.6649323</v>
      </c>
      <c r="L375" s="22" t="n">
        <v>126.6649323</v>
      </c>
      <c r="M375" s="22" t="n">
        <v>125.1215148</v>
      </c>
      <c r="N375" s="22" t="n">
        <v>128.2601297</v>
      </c>
      <c r="O375" s="14" t="n">
        <f aca="false">SUM(C375:N375)</f>
        <v>1534.5142605</v>
      </c>
      <c r="W375" s="1"/>
      <c r="X375" s="1"/>
      <c r="Y375" s="1"/>
      <c r="Z375" s="1"/>
    </row>
    <row r="376" customFormat="false" ht="15.75" hidden="false" customHeight="true" outlineLevel="0" collapsed="false">
      <c r="A376" s="13" t="s">
        <v>519</v>
      </c>
      <c r="B376" s="42" t="n">
        <v>2028</v>
      </c>
      <c r="C376" s="22" t="n">
        <v>70.41823511</v>
      </c>
      <c r="D376" s="22" t="n">
        <v>70.41823511</v>
      </c>
      <c r="E376" s="22" t="n">
        <v>87.28289774</v>
      </c>
      <c r="F376" s="22" t="n">
        <v>103.8759706</v>
      </c>
      <c r="G376" s="22" t="n">
        <v>104.8577308</v>
      </c>
      <c r="H376" s="22" t="n">
        <v>102.1613617</v>
      </c>
      <c r="I376" s="22" t="n">
        <v>83.21550634</v>
      </c>
      <c r="J376" s="22" t="n">
        <v>83.58209018</v>
      </c>
      <c r="K376" s="22" t="n">
        <v>85.97654067</v>
      </c>
      <c r="L376" s="22" t="n">
        <v>85.97654067</v>
      </c>
      <c r="M376" s="22" t="n">
        <v>84.9947805</v>
      </c>
      <c r="N376" s="22" t="n">
        <v>87.69114958</v>
      </c>
      <c r="O376" s="14" t="n">
        <f aca="false">SUM(C376:N376)</f>
        <v>1050.451039</v>
      </c>
      <c r="W376" s="1"/>
      <c r="X376" s="1"/>
      <c r="Y376" s="1"/>
      <c r="Z376" s="1"/>
    </row>
    <row r="377" customFormat="false" ht="15.75" hidden="false" customHeight="true" outlineLevel="0" collapsed="false">
      <c r="A377" s="13" t="s">
        <v>520</v>
      </c>
      <c r="B377" s="42" t="n">
        <v>2028</v>
      </c>
      <c r="C377" s="22" t="n">
        <v>1767.057369</v>
      </c>
      <c r="D377" s="22" t="n">
        <v>1543.379277</v>
      </c>
      <c r="E377" s="22" t="n">
        <v>1485.922038</v>
      </c>
      <c r="F377" s="22" t="n">
        <v>1643.46867</v>
      </c>
      <c r="G377" s="22" t="n">
        <v>1657.144971</v>
      </c>
      <c r="H377" s="22" t="n">
        <v>1635.817315</v>
      </c>
      <c r="I377" s="22" t="n">
        <v>1447.752343</v>
      </c>
      <c r="J377" s="22" t="n">
        <v>1461.945107</v>
      </c>
      <c r="K377" s="22" t="n">
        <v>1480.774238</v>
      </c>
      <c r="L377" s="22" t="n">
        <v>1480.774238</v>
      </c>
      <c r="M377" s="22" t="n">
        <v>1690.77603</v>
      </c>
      <c r="N377" s="22" t="n">
        <v>1935.781777</v>
      </c>
      <c r="O377" s="14" t="n">
        <f aca="false">SUM(C377:N377)</f>
        <v>19230.593373</v>
      </c>
      <c r="W377" s="1"/>
      <c r="X377" s="1"/>
      <c r="Y377" s="1"/>
      <c r="Z377" s="1"/>
    </row>
    <row r="378" customFormat="false" ht="15.75" hidden="false" customHeight="true" outlineLevel="0" collapsed="false">
      <c r="A378" s="13" t="s">
        <v>521</v>
      </c>
      <c r="B378" s="42" t="n">
        <v>2028</v>
      </c>
      <c r="C378" s="22" t="n">
        <v>1767.057369</v>
      </c>
      <c r="D378" s="22" t="n">
        <v>1543.379277</v>
      </c>
      <c r="E378" s="22" t="n">
        <v>1485.922038</v>
      </c>
      <c r="F378" s="22" t="n">
        <v>1643.46867</v>
      </c>
      <c r="G378" s="22" t="n">
        <v>1657.144971</v>
      </c>
      <c r="H378" s="22" t="n">
        <v>1635.817315</v>
      </c>
      <c r="I378" s="22" t="n">
        <v>1447.752343</v>
      </c>
      <c r="J378" s="22" t="n">
        <v>1461.945107</v>
      </c>
      <c r="K378" s="22" t="n">
        <v>1480.774238</v>
      </c>
      <c r="L378" s="22" t="n">
        <v>1480.774238</v>
      </c>
      <c r="M378" s="22" t="n">
        <v>1690.77603</v>
      </c>
      <c r="N378" s="22" t="n">
        <v>1935.781777</v>
      </c>
      <c r="O378" s="14" t="n">
        <f aca="false">SUM(C378:N378)</f>
        <v>19230.593373</v>
      </c>
      <c r="W378" s="1"/>
      <c r="X378" s="1"/>
      <c r="Y378" s="1"/>
      <c r="Z378" s="1"/>
    </row>
    <row r="379" customFormat="false" ht="15.75" hidden="false" customHeight="true" outlineLevel="0" collapsed="false">
      <c r="A379" s="13" t="s">
        <v>522</v>
      </c>
      <c r="B379" s="42" t="n">
        <v>2028</v>
      </c>
      <c r="C379" s="22" t="n">
        <v>139.66128</v>
      </c>
      <c r="D379" s="22" t="n">
        <v>121.7670326</v>
      </c>
      <c r="E379" s="22" t="n">
        <v>116.7295464</v>
      </c>
      <c r="F379" s="22" t="n">
        <v>128.9078135</v>
      </c>
      <c r="G379" s="22" t="n">
        <v>129.9767442</v>
      </c>
      <c r="H379" s="22" t="n">
        <v>128.3311896</v>
      </c>
      <c r="I379" s="22" t="n">
        <v>113.771783</v>
      </c>
      <c r="J379" s="22" t="n">
        <v>114.8978045</v>
      </c>
      <c r="K379" s="22" t="n">
        <v>116.3512187</v>
      </c>
      <c r="L379" s="22" t="n">
        <v>116.3512187</v>
      </c>
      <c r="M379" s="22" t="n">
        <v>133.1765354</v>
      </c>
      <c r="N379" s="22" t="n">
        <v>152.7163374</v>
      </c>
      <c r="O379" s="14" t="n">
        <f aca="false">SUM(C379:N379)</f>
        <v>1512.638504</v>
      </c>
      <c r="W379" s="1"/>
      <c r="X379" s="1"/>
      <c r="Y379" s="1"/>
      <c r="Z379" s="1"/>
    </row>
    <row r="380" customFormat="false" ht="15.75" hidden="false" customHeight="true" outlineLevel="0" collapsed="false">
      <c r="A380" s="13" t="s">
        <v>523</v>
      </c>
      <c r="B380" s="42" t="n">
        <v>2028</v>
      </c>
      <c r="C380" s="22" t="n">
        <v>50.69443936</v>
      </c>
      <c r="D380" s="22" t="n">
        <v>50.69443936</v>
      </c>
      <c r="E380" s="22" t="n">
        <v>55.26697256</v>
      </c>
      <c r="F380" s="22" t="n">
        <v>61.52477583</v>
      </c>
      <c r="G380" s="22" t="n">
        <v>62.51169153</v>
      </c>
      <c r="H380" s="22" t="n">
        <v>59.55344152</v>
      </c>
      <c r="I380" s="22" t="n">
        <v>52.10775502</v>
      </c>
      <c r="J380" s="22" t="n">
        <v>53.00957402</v>
      </c>
      <c r="K380" s="22" t="n">
        <v>55.50333388</v>
      </c>
      <c r="L380" s="22" t="n">
        <v>55.50333388</v>
      </c>
      <c r="M380" s="22" t="n">
        <v>54.51641818</v>
      </c>
      <c r="N380" s="22" t="n">
        <v>57.47466819</v>
      </c>
      <c r="O380" s="14" t="n">
        <f aca="false">SUM(C380:N380)</f>
        <v>668.36084333</v>
      </c>
      <c r="W380" s="1"/>
      <c r="X380" s="1"/>
      <c r="Y380" s="1"/>
      <c r="Z380" s="1"/>
    </row>
    <row r="381" customFormat="false" ht="15.75" hidden="false" customHeight="true" outlineLevel="0" collapsed="false">
      <c r="A381" s="13" t="s">
        <v>503</v>
      </c>
      <c r="B381" s="42" t="n">
        <v>2029</v>
      </c>
      <c r="C381" s="22" t="n">
        <v>3259.432708</v>
      </c>
      <c r="D381" s="22" t="n">
        <v>2848.521653</v>
      </c>
      <c r="E381" s="22" t="n">
        <v>2749.949053</v>
      </c>
      <c r="F381" s="22" t="n">
        <v>3045.749576</v>
      </c>
      <c r="G381" s="22" t="n">
        <v>3071.045117</v>
      </c>
      <c r="H381" s="22" t="n">
        <v>3031.599651</v>
      </c>
      <c r="I381" s="22" t="n">
        <v>2679.109569</v>
      </c>
      <c r="J381" s="22" t="n">
        <v>2705.111273</v>
      </c>
      <c r="K381" s="22" t="n">
        <v>2739.934013</v>
      </c>
      <c r="L381" s="22" t="n">
        <v>2739.934013</v>
      </c>
      <c r="M381" s="22" t="n">
        <v>3125.549527</v>
      </c>
      <c r="N381" s="22" t="n">
        <v>3575.906047</v>
      </c>
      <c r="O381" s="14" t="n">
        <f aca="false">SUM(C381:N381)</f>
        <v>35571.8422</v>
      </c>
      <c r="W381" s="1"/>
      <c r="X381" s="1"/>
      <c r="Y381" s="1"/>
      <c r="Z381" s="1"/>
    </row>
    <row r="382" customFormat="false" ht="15.75" hidden="false" customHeight="true" outlineLevel="0" collapsed="false">
      <c r="A382" s="13" t="s">
        <v>504</v>
      </c>
      <c r="B382" s="42" t="n">
        <v>2029</v>
      </c>
      <c r="C382" s="22" t="n">
        <v>3259.432708</v>
      </c>
      <c r="D382" s="22" t="n">
        <v>2848.521653</v>
      </c>
      <c r="E382" s="22" t="n">
        <v>2749.949053</v>
      </c>
      <c r="F382" s="22" t="n">
        <v>3045.749576</v>
      </c>
      <c r="G382" s="22" t="n">
        <v>3071.045117</v>
      </c>
      <c r="H382" s="22" t="n">
        <v>3031.599651</v>
      </c>
      <c r="I382" s="22" t="n">
        <v>2679.109569</v>
      </c>
      <c r="J382" s="22" t="n">
        <v>2705.111273</v>
      </c>
      <c r="K382" s="22" t="n">
        <v>2739.934013</v>
      </c>
      <c r="L382" s="22" t="n">
        <v>2739.934013</v>
      </c>
      <c r="M382" s="22" t="n">
        <v>3125.549527</v>
      </c>
      <c r="N382" s="22" t="n">
        <v>3575.906047</v>
      </c>
      <c r="O382" s="14" t="n">
        <f aca="false">SUM(C382:N382)</f>
        <v>35571.8422</v>
      </c>
      <c r="W382" s="1"/>
      <c r="X382" s="1"/>
      <c r="Y382" s="1"/>
      <c r="Z382" s="1"/>
    </row>
    <row r="383" customFormat="false" ht="15.75" hidden="false" customHeight="true" outlineLevel="0" collapsed="false">
      <c r="A383" s="13" t="s">
        <v>505</v>
      </c>
      <c r="B383" s="42" t="n">
        <v>2029</v>
      </c>
      <c r="C383" s="22" t="n">
        <v>2489.090797</v>
      </c>
      <c r="D383" s="22" t="n">
        <v>2137.761845</v>
      </c>
      <c r="E383" s="22" t="n">
        <v>1995.579974</v>
      </c>
      <c r="F383" s="22" t="n">
        <v>2192.532451</v>
      </c>
      <c r="G383" s="22" t="n">
        <v>2210.064807</v>
      </c>
      <c r="H383" s="22" t="n">
        <v>2185.807103</v>
      </c>
      <c r="I383" s="22" t="n">
        <v>1950.508038</v>
      </c>
      <c r="J383" s="22" t="n">
        <v>1969.934674</v>
      </c>
      <c r="K383" s="22" t="n">
        <v>1991.103328</v>
      </c>
      <c r="L383" s="22" t="n">
        <v>1991.103328</v>
      </c>
      <c r="M383" s="22" t="n">
        <v>2324.899924</v>
      </c>
      <c r="N383" s="22" t="n">
        <v>2700.48658</v>
      </c>
      <c r="O383" s="14" t="n">
        <f aca="false">SUM(C383:N383)</f>
        <v>26138.872849</v>
      </c>
      <c r="W383" s="1"/>
      <c r="X383" s="1"/>
      <c r="Y383" s="1"/>
      <c r="Z383" s="1"/>
    </row>
    <row r="384" customFormat="false" ht="15.75" hidden="false" customHeight="true" outlineLevel="0" collapsed="false">
      <c r="A384" s="13" t="s">
        <v>506</v>
      </c>
      <c r="B384" s="42" t="n">
        <v>2029</v>
      </c>
      <c r="C384" s="22" t="n">
        <v>283.7471623</v>
      </c>
      <c r="D384" s="22" t="n">
        <v>244.7106121</v>
      </c>
      <c r="E384" s="22" t="n">
        <v>228.9126264</v>
      </c>
      <c r="F384" s="22" t="n">
        <v>250.796235</v>
      </c>
      <c r="G384" s="22" t="n">
        <v>252.7442745</v>
      </c>
      <c r="H384" s="22" t="n">
        <v>250.0489741</v>
      </c>
      <c r="I384" s="22" t="n">
        <v>223.9046335</v>
      </c>
      <c r="J384" s="22" t="n">
        <v>226.0631486</v>
      </c>
      <c r="K384" s="22" t="n">
        <v>228.4152213</v>
      </c>
      <c r="L384" s="22" t="n">
        <v>228.4152213</v>
      </c>
      <c r="M384" s="22" t="n">
        <v>265.503732</v>
      </c>
      <c r="N384" s="22" t="n">
        <v>307.2355826</v>
      </c>
      <c r="O384" s="14" t="n">
        <f aca="false">SUM(C384:N384)</f>
        <v>2990.4974237</v>
      </c>
      <c r="W384" s="1"/>
      <c r="X384" s="1"/>
      <c r="Y384" s="1"/>
      <c r="Z384" s="1"/>
    </row>
    <row r="385" customFormat="false" ht="15.75" hidden="false" customHeight="true" outlineLevel="0" collapsed="false">
      <c r="A385" s="13" t="s">
        <v>507</v>
      </c>
      <c r="B385" s="42" t="n">
        <v>2029</v>
      </c>
      <c r="C385" s="22" t="n">
        <v>131.1558278</v>
      </c>
      <c r="D385" s="22" t="n">
        <v>131.1558278</v>
      </c>
      <c r="E385" s="22" t="n">
        <v>148.5988945</v>
      </c>
      <c r="F385" s="22" t="n">
        <v>164.8440945</v>
      </c>
      <c r="G385" s="22" t="n">
        <v>166.7490833</v>
      </c>
      <c r="H385" s="22" t="n">
        <v>163.4427806</v>
      </c>
      <c r="I385" s="22" t="n">
        <v>142.4282427</v>
      </c>
      <c r="J385" s="22" t="n">
        <v>144.5984</v>
      </c>
      <c r="K385" s="22" t="n">
        <v>147.7345877</v>
      </c>
      <c r="L385" s="22" t="n">
        <v>147.7345877</v>
      </c>
      <c r="M385" s="22" t="n">
        <v>145.8295988</v>
      </c>
      <c r="N385" s="22" t="n">
        <v>149.1359015</v>
      </c>
      <c r="O385" s="14" t="n">
        <f aca="false">SUM(C385:N385)</f>
        <v>1783.4078269</v>
      </c>
      <c r="W385" s="1"/>
      <c r="X385" s="1"/>
      <c r="Y385" s="1"/>
      <c r="Z385" s="1"/>
    </row>
    <row r="386" customFormat="false" ht="15.75" hidden="false" customHeight="true" outlineLevel="0" collapsed="false">
      <c r="A386" s="13" t="s">
        <v>508</v>
      </c>
      <c r="B386" s="42" t="n">
        <v>2029</v>
      </c>
      <c r="C386" s="22" t="n">
        <v>116.3528654</v>
      </c>
      <c r="D386" s="22" t="n">
        <v>116.3528654</v>
      </c>
      <c r="E386" s="22" t="n">
        <v>146.8133031</v>
      </c>
      <c r="F386" s="22" t="n">
        <v>176.1233919</v>
      </c>
      <c r="G386" s="22" t="n">
        <v>177.8115618</v>
      </c>
      <c r="H386" s="22" t="n">
        <v>173.7433792</v>
      </c>
      <c r="I386" s="22" t="n">
        <v>140.299033</v>
      </c>
      <c r="J386" s="22" t="n">
        <v>140.9029288</v>
      </c>
      <c r="K386" s="22" t="n">
        <v>144.4674798</v>
      </c>
      <c r="L386" s="22" t="n">
        <v>144.4674798</v>
      </c>
      <c r="M386" s="22" t="n">
        <v>142.7793099</v>
      </c>
      <c r="N386" s="22" t="n">
        <v>146.8474924</v>
      </c>
      <c r="O386" s="14" t="n">
        <f aca="false">SUM(C386:N386)</f>
        <v>1766.9610905</v>
      </c>
      <c r="W386" s="1"/>
      <c r="X386" s="1"/>
      <c r="Y386" s="1"/>
      <c r="Z386" s="1"/>
    </row>
    <row r="387" customFormat="false" ht="15.75" hidden="false" customHeight="true" outlineLevel="0" collapsed="false">
      <c r="A387" s="13" t="s">
        <v>509</v>
      </c>
      <c r="B387" s="42" t="n">
        <v>2029</v>
      </c>
      <c r="C387" s="22" t="n">
        <v>3.73621183</v>
      </c>
      <c r="D387" s="22" t="n">
        <v>3.73621183</v>
      </c>
      <c r="E387" s="22" t="n">
        <v>3.427106309</v>
      </c>
      <c r="F387" s="22" t="n">
        <v>3.427106309</v>
      </c>
      <c r="G387" s="22" t="n">
        <v>3.427106309</v>
      </c>
      <c r="H387" s="22" t="n">
        <v>3.118000788</v>
      </c>
      <c r="I387" s="22" t="n">
        <v>3.118000788</v>
      </c>
      <c r="J387" s="22" t="n">
        <v>3.118000788</v>
      </c>
      <c r="K387" s="22" t="n">
        <v>3.427106309</v>
      </c>
      <c r="L387" s="22" t="n">
        <v>3.427106309</v>
      </c>
      <c r="M387" s="22" t="n">
        <v>3.427106309</v>
      </c>
      <c r="N387" s="22" t="n">
        <v>3.73621183</v>
      </c>
      <c r="O387" s="14" t="n">
        <f aca="false">SUM(C387:N387)</f>
        <v>41.125275708</v>
      </c>
      <c r="W387" s="1"/>
      <c r="X387" s="1"/>
      <c r="Y387" s="1"/>
      <c r="Z387" s="1"/>
    </row>
    <row r="388" customFormat="false" ht="15.75" hidden="false" customHeight="true" outlineLevel="0" collapsed="false">
      <c r="A388" s="13" t="s">
        <v>510</v>
      </c>
      <c r="B388" s="42" t="n">
        <v>2029</v>
      </c>
      <c r="C388" s="22" t="n">
        <v>2918.776799</v>
      </c>
      <c r="D388" s="22" t="n">
        <v>2507.865744</v>
      </c>
      <c r="E388" s="22" t="n">
        <v>2341.571159</v>
      </c>
      <c r="F388" s="22" t="n">
        <v>2571.924933</v>
      </c>
      <c r="G388" s="22" t="n">
        <v>2592.430612</v>
      </c>
      <c r="H388" s="22" t="n">
        <v>2564.059028</v>
      </c>
      <c r="I388" s="22" t="n">
        <v>2288.855444</v>
      </c>
      <c r="J388" s="22" t="n">
        <v>2311.576655</v>
      </c>
      <c r="K388" s="22" t="n">
        <v>2336.335315</v>
      </c>
      <c r="L388" s="22" t="n">
        <v>2336.335315</v>
      </c>
      <c r="M388" s="22" t="n">
        <v>2726.74069</v>
      </c>
      <c r="N388" s="22" t="n">
        <v>3166.023329</v>
      </c>
      <c r="O388" s="14" t="n">
        <f aca="false">SUM(C388:N388)</f>
        <v>30662.495023</v>
      </c>
      <c r="W388" s="1"/>
      <c r="X388" s="1"/>
      <c r="Y388" s="1"/>
      <c r="Z388" s="1"/>
    </row>
    <row r="389" customFormat="false" ht="15.75" hidden="false" customHeight="true" outlineLevel="0" collapsed="false">
      <c r="A389" s="13" t="s">
        <v>511</v>
      </c>
      <c r="B389" s="42" t="n">
        <v>2029</v>
      </c>
      <c r="C389" s="22" t="n">
        <v>199.3716536</v>
      </c>
      <c r="D389" s="22" t="n">
        <v>199.3716536</v>
      </c>
      <c r="E389" s="22" t="n">
        <v>232.4968773</v>
      </c>
      <c r="F389" s="22" t="n">
        <v>264.1010492</v>
      </c>
      <c r="G389" s="22" t="n">
        <v>266.9416836</v>
      </c>
      <c r="H389" s="22" t="n">
        <v>261.1391382</v>
      </c>
      <c r="I389" s="22" t="n">
        <v>222.4687924</v>
      </c>
      <c r="J389" s="22" t="n">
        <v>225.0520035</v>
      </c>
      <c r="K389" s="22" t="n">
        <v>230.4262607</v>
      </c>
      <c r="L389" s="22" t="n">
        <v>230.4262607</v>
      </c>
      <c r="M389" s="22" t="n">
        <v>227.5856263</v>
      </c>
      <c r="N389" s="22" t="n">
        <v>233.3881717</v>
      </c>
      <c r="O389" s="14" t="n">
        <f aca="false">SUM(C389:N389)</f>
        <v>2792.7691708</v>
      </c>
      <c r="W389" s="1"/>
      <c r="X389" s="1"/>
      <c r="Y389" s="1"/>
      <c r="Z389" s="1"/>
    </row>
    <row r="390" customFormat="false" ht="15.75" hidden="false" customHeight="true" outlineLevel="0" collapsed="false">
      <c r="A390" s="13" t="s">
        <v>512</v>
      </c>
      <c r="B390" s="42" t="n">
        <v>2029</v>
      </c>
      <c r="C390" s="22" t="n">
        <v>30.29643278</v>
      </c>
      <c r="D390" s="22" t="n">
        <v>26.02016693</v>
      </c>
      <c r="E390" s="22" t="n">
        <v>24.28957378</v>
      </c>
      <c r="F390" s="22" t="n">
        <v>26.68681757</v>
      </c>
      <c r="G390" s="22" t="n">
        <v>26.90021591</v>
      </c>
      <c r="H390" s="22" t="n">
        <v>26.60495874</v>
      </c>
      <c r="I390" s="22" t="n">
        <v>23.7409723</v>
      </c>
      <c r="J390" s="22" t="n">
        <v>23.97742722</v>
      </c>
      <c r="K390" s="22" t="n">
        <v>24.23508544</v>
      </c>
      <c r="L390" s="22" t="n">
        <v>24.23508544</v>
      </c>
      <c r="M390" s="22" t="n">
        <v>28.29795295</v>
      </c>
      <c r="N390" s="22" t="n">
        <v>32.86947597</v>
      </c>
      <c r="O390" s="14" t="n">
        <f aca="false">SUM(C390:N390)</f>
        <v>318.15416503</v>
      </c>
      <c r="W390" s="1"/>
      <c r="X390" s="1"/>
      <c r="Y390" s="1"/>
      <c r="Z390" s="1"/>
    </row>
    <row r="391" customFormat="false" ht="15.75" hidden="false" customHeight="true" outlineLevel="0" collapsed="false">
      <c r="A391" s="13" t="s">
        <v>423</v>
      </c>
      <c r="B391" s="42" t="n">
        <v>2029</v>
      </c>
      <c r="C391" s="22" t="n">
        <v>856.2758069</v>
      </c>
      <c r="D391" s="22" t="n">
        <v>753.5480432</v>
      </c>
      <c r="E391" s="22" t="n">
        <v>734.41323</v>
      </c>
      <c r="F391" s="22" t="n">
        <v>813.4934238</v>
      </c>
      <c r="G391" s="22" t="n">
        <v>820.4188844</v>
      </c>
      <c r="H391" s="22" t="n">
        <v>809.5134225</v>
      </c>
      <c r="I391" s="22" t="n">
        <v>714.7547319</v>
      </c>
      <c r="J391" s="22" t="n">
        <v>721.9404708</v>
      </c>
      <c r="K391" s="22" t="n">
        <v>731.636531</v>
      </c>
      <c r="L391" s="22" t="n">
        <v>731.636531</v>
      </c>
      <c r="M391" s="22" t="n">
        <v>827.4388341</v>
      </c>
      <c r="N391" s="22" t="n">
        <v>941.0720596</v>
      </c>
      <c r="O391" s="14" t="n">
        <f aca="false">SUM(C391:N391)</f>
        <v>9456.1419692</v>
      </c>
      <c r="W391" s="1"/>
      <c r="X391" s="1"/>
      <c r="Y391" s="1"/>
      <c r="Z391" s="1"/>
    </row>
    <row r="392" customFormat="false" ht="15.75" hidden="false" customHeight="true" outlineLevel="0" collapsed="false">
      <c r="A392" s="13" t="s">
        <v>424</v>
      </c>
      <c r="B392" s="42" t="n">
        <v>2029</v>
      </c>
      <c r="C392" s="22" t="n">
        <v>809.5312535</v>
      </c>
      <c r="D392" s="22" t="n">
        <v>702.6943793</v>
      </c>
      <c r="E392" s="22" t="n">
        <v>671.7980026</v>
      </c>
      <c r="F392" s="22" t="n">
        <v>743.7766184</v>
      </c>
      <c r="G392" s="22" t="n">
        <v>749.8042475</v>
      </c>
      <c r="H392" s="22" t="n">
        <v>740.5292451</v>
      </c>
      <c r="I392" s="22" t="n">
        <v>655.1848301</v>
      </c>
      <c r="J392" s="22" t="n">
        <v>661.3413742</v>
      </c>
      <c r="K392" s="22" t="n">
        <v>669.4693334</v>
      </c>
      <c r="L392" s="22" t="n">
        <v>669.4693334</v>
      </c>
      <c r="M392" s="22" t="n">
        <v>770.2785785</v>
      </c>
      <c r="N392" s="22" t="n">
        <v>886.3904552</v>
      </c>
      <c r="O392" s="14" t="n">
        <f aca="false">SUM(C392:N392)</f>
        <v>8730.2676512</v>
      </c>
      <c r="W392" s="1"/>
      <c r="X392" s="1"/>
      <c r="Y392" s="1"/>
      <c r="Z392" s="1"/>
    </row>
    <row r="393" customFormat="false" ht="15.75" hidden="false" customHeight="true" outlineLevel="0" collapsed="false">
      <c r="A393" s="13" t="s">
        <v>513</v>
      </c>
      <c r="B393" s="42" t="n">
        <v>2029</v>
      </c>
      <c r="C393" s="22" t="n">
        <v>809.5312535</v>
      </c>
      <c r="D393" s="22" t="n">
        <v>702.6943793</v>
      </c>
      <c r="E393" s="22" t="n">
        <v>671.7980026</v>
      </c>
      <c r="F393" s="22" t="n">
        <v>743.7766184</v>
      </c>
      <c r="G393" s="22" t="n">
        <v>749.8042475</v>
      </c>
      <c r="H393" s="22" t="n">
        <v>740.5292451</v>
      </c>
      <c r="I393" s="22" t="n">
        <v>655.1848301</v>
      </c>
      <c r="J393" s="22" t="n">
        <v>661.3413742</v>
      </c>
      <c r="K393" s="22" t="n">
        <v>669.4693334</v>
      </c>
      <c r="L393" s="22" t="n">
        <v>669.4693334</v>
      </c>
      <c r="M393" s="22" t="n">
        <v>770.2785785</v>
      </c>
      <c r="N393" s="22" t="n">
        <v>886.3904552</v>
      </c>
      <c r="O393" s="14" t="n">
        <f aca="false">SUM(C393:N393)</f>
        <v>8730.2676512</v>
      </c>
      <c r="W393" s="1"/>
      <c r="X393" s="1"/>
      <c r="Y393" s="1"/>
      <c r="Z393" s="1"/>
    </row>
    <row r="394" customFormat="false" ht="15.75" hidden="false" customHeight="true" outlineLevel="0" collapsed="false">
      <c r="A394" s="13" t="s">
        <v>514</v>
      </c>
      <c r="B394" s="42" t="n">
        <v>2029</v>
      </c>
      <c r="C394" s="22" t="n">
        <v>488.9149062</v>
      </c>
      <c r="D394" s="22" t="n">
        <v>427.278248</v>
      </c>
      <c r="E394" s="22" t="n">
        <v>412.492358</v>
      </c>
      <c r="F394" s="22" t="n">
        <v>456.8624364</v>
      </c>
      <c r="G394" s="22" t="n">
        <v>460.6567675</v>
      </c>
      <c r="H394" s="22" t="n">
        <v>454.7399477</v>
      </c>
      <c r="I394" s="22" t="n">
        <v>401.8664353</v>
      </c>
      <c r="J394" s="22" t="n">
        <v>405.7666909</v>
      </c>
      <c r="K394" s="22" t="n">
        <v>410.990102</v>
      </c>
      <c r="L394" s="22" t="n">
        <v>410.990102</v>
      </c>
      <c r="M394" s="22" t="n">
        <v>468.8324291</v>
      </c>
      <c r="N394" s="22" t="n">
        <v>536.385907</v>
      </c>
      <c r="O394" s="14" t="n">
        <f aca="false">SUM(C394:N394)</f>
        <v>5335.7763301</v>
      </c>
      <c r="W394" s="1"/>
      <c r="X394" s="1"/>
      <c r="Y394" s="1"/>
      <c r="Z394" s="1"/>
    </row>
    <row r="395" customFormat="false" ht="15.75" hidden="false" customHeight="true" outlineLevel="0" collapsed="false">
      <c r="A395" s="13" t="s">
        <v>515</v>
      </c>
      <c r="B395" s="42" t="n">
        <v>2029</v>
      </c>
      <c r="C395" s="22" t="n">
        <v>2924.169818</v>
      </c>
      <c r="D395" s="22" t="n">
        <v>2513.258763</v>
      </c>
      <c r="E395" s="22" t="n">
        <v>2346.964177</v>
      </c>
      <c r="F395" s="22" t="n">
        <v>2577.317951</v>
      </c>
      <c r="G395" s="22" t="n">
        <v>2597.82363</v>
      </c>
      <c r="H395" s="22" t="n">
        <v>2569.452047</v>
      </c>
      <c r="I395" s="22" t="n">
        <v>2294.248462</v>
      </c>
      <c r="J395" s="22" t="n">
        <v>2316.969674</v>
      </c>
      <c r="K395" s="22" t="n">
        <v>2341.728333</v>
      </c>
      <c r="L395" s="22" t="n">
        <v>2341.728333</v>
      </c>
      <c r="M395" s="22" t="n">
        <v>2732.133709</v>
      </c>
      <c r="N395" s="22" t="n">
        <v>3171.416347</v>
      </c>
      <c r="O395" s="14" t="n">
        <f aca="false">SUM(C395:N395)</f>
        <v>30727.211244</v>
      </c>
      <c r="W395" s="1"/>
      <c r="X395" s="1"/>
      <c r="Y395" s="1"/>
      <c r="Z395" s="1"/>
    </row>
    <row r="396" customFormat="false" ht="15.75" hidden="false" customHeight="true" outlineLevel="0" collapsed="false">
      <c r="A396" s="13" t="s">
        <v>516</v>
      </c>
      <c r="B396" s="42" t="n">
        <v>2029</v>
      </c>
      <c r="C396" s="22" t="n">
        <v>2918.776799</v>
      </c>
      <c r="D396" s="22" t="n">
        <v>2507.865744</v>
      </c>
      <c r="E396" s="22" t="n">
        <v>2341.571159</v>
      </c>
      <c r="F396" s="22" t="n">
        <v>2571.924933</v>
      </c>
      <c r="G396" s="22" t="n">
        <v>2592.430612</v>
      </c>
      <c r="H396" s="22" t="n">
        <v>2564.059028</v>
      </c>
      <c r="I396" s="22" t="n">
        <v>2288.855444</v>
      </c>
      <c r="J396" s="22" t="n">
        <v>2311.576655</v>
      </c>
      <c r="K396" s="22" t="n">
        <v>2336.335315</v>
      </c>
      <c r="L396" s="22" t="n">
        <v>2336.335315</v>
      </c>
      <c r="M396" s="22" t="n">
        <v>2726.74069</v>
      </c>
      <c r="N396" s="22" t="n">
        <v>3166.023329</v>
      </c>
      <c r="O396" s="14" t="n">
        <f aca="false">SUM(C396:N396)</f>
        <v>30662.495023</v>
      </c>
      <c r="W396" s="1"/>
      <c r="X396" s="1"/>
      <c r="Y396" s="1"/>
      <c r="Z396" s="1"/>
    </row>
    <row r="397" customFormat="false" ht="15.75" hidden="false" customHeight="true" outlineLevel="0" collapsed="false">
      <c r="A397" s="13" t="s">
        <v>517</v>
      </c>
      <c r="B397" s="42" t="n">
        <v>2029</v>
      </c>
      <c r="C397" s="22" t="n">
        <v>2918.776799</v>
      </c>
      <c r="D397" s="22" t="n">
        <v>2507.865744</v>
      </c>
      <c r="E397" s="22" t="n">
        <v>2341.571159</v>
      </c>
      <c r="F397" s="22" t="n">
        <v>2571.924933</v>
      </c>
      <c r="G397" s="22" t="n">
        <v>2592.430612</v>
      </c>
      <c r="H397" s="22" t="n">
        <v>2564.059028</v>
      </c>
      <c r="I397" s="22" t="n">
        <v>2288.855444</v>
      </c>
      <c r="J397" s="22" t="n">
        <v>2311.576655</v>
      </c>
      <c r="K397" s="22" t="n">
        <v>2336.335315</v>
      </c>
      <c r="L397" s="22" t="n">
        <v>2336.335315</v>
      </c>
      <c r="M397" s="22" t="n">
        <v>2726.74069</v>
      </c>
      <c r="N397" s="22" t="n">
        <v>3166.023329</v>
      </c>
      <c r="O397" s="14" t="n">
        <f aca="false">SUM(C397:N397)</f>
        <v>30662.495023</v>
      </c>
      <c r="W397" s="1"/>
      <c r="X397" s="1"/>
      <c r="Y397" s="1"/>
      <c r="Z397" s="1"/>
    </row>
    <row r="398" customFormat="false" ht="15.75" hidden="false" customHeight="true" outlineLevel="0" collapsed="false">
      <c r="A398" s="13" t="s">
        <v>518</v>
      </c>
      <c r="B398" s="42" t="n">
        <v>2029</v>
      </c>
      <c r="C398" s="22" t="n">
        <v>199.3716536</v>
      </c>
      <c r="D398" s="22" t="n">
        <v>199.3716536</v>
      </c>
      <c r="E398" s="22" t="n">
        <v>232.4968773</v>
      </c>
      <c r="F398" s="22" t="n">
        <v>264.1010492</v>
      </c>
      <c r="G398" s="22" t="n">
        <v>266.9416836</v>
      </c>
      <c r="H398" s="22" t="n">
        <v>261.1391382</v>
      </c>
      <c r="I398" s="22" t="n">
        <v>222.4687924</v>
      </c>
      <c r="J398" s="22" t="n">
        <v>225.0520035</v>
      </c>
      <c r="K398" s="22" t="n">
        <v>230.4262607</v>
      </c>
      <c r="L398" s="22" t="n">
        <v>230.4262607</v>
      </c>
      <c r="M398" s="22" t="n">
        <v>227.5856263</v>
      </c>
      <c r="N398" s="22" t="n">
        <v>233.3881717</v>
      </c>
      <c r="O398" s="14" t="n">
        <f aca="false">SUM(C398:N398)</f>
        <v>2792.7691708</v>
      </c>
      <c r="W398" s="1"/>
      <c r="X398" s="1"/>
      <c r="Y398" s="1"/>
      <c r="Z398" s="1"/>
    </row>
    <row r="399" customFormat="false" ht="15.75" hidden="false" customHeight="true" outlineLevel="0" collapsed="false">
      <c r="A399" s="13" t="s">
        <v>519</v>
      </c>
      <c r="B399" s="42" t="n">
        <v>2029</v>
      </c>
      <c r="C399" s="22" t="n">
        <v>131.688143</v>
      </c>
      <c r="D399" s="22" t="n">
        <v>131.688143</v>
      </c>
      <c r="E399" s="22" t="n">
        <v>163.7727036</v>
      </c>
      <c r="F399" s="22" t="n">
        <v>195.1979534</v>
      </c>
      <c r="G399" s="22" t="n">
        <v>197.0079499</v>
      </c>
      <c r="H399" s="22" t="n">
        <v>192.0721341</v>
      </c>
      <c r="I399" s="22" t="n">
        <v>156.2142784</v>
      </c>
      <c r="J399" s="22" t="n">
        <v>156.8617542</v>
      </c>
      <c r="K399" s="22" t="n">
        <v>161.257594</v>
      </c>
      <c r="L399" s="22" t="n">
        <v>161.257594</v>
      </c>
      <c r="M399" s="22" t="n">
        <v>159.4475974</v>
      </c>
      <c r="N399" s="22" t="n">
        <v>164.3834133</v>
      </c>
      <c r="O399" s="14" t="n">
        <f aca="false">SUM(C399:N399)</f>
        <v>1970.8492583</v>
      </c>
      <c r="W399" s="1"/>
      <c r="X399" s="1"/>
      <c r="Y399" s="1"/>
      <c r="Z399" s="1"/>
    </row>
    <row r="400" customFormat="false" ht="15.75" hidden="false" customHeight="true" outlineLevel="0" collapsed="false">
      <c r="A400" s="13" t="s">
        <v>520</v>
      </c>
      <c r="B400" s="42" t="n">
        <v>2029</v>
      </c>
      <c r="C400" s="22" t="n">
        <v>3259.432708</v>
      </c>
      <c r="D400" s="22" t="n">
        <v>2848.521653</v>
      </c>
      <c r="E400" s="22" t="n">
        <v>2749.949053</v>
      </c>
      <c r="F400" s="22" t="n">
        <v>3045.749576</v>
      </c>
      <c r="G400" s="22" t="n">
        <v>3071.045117</v>
      </c>
      <c r="H400" s="22" t="n">
        <v>3031.599651</v>
      </c>
      <c r="I400" s="22" t="n">
        <v>2679.109569</v>
      </c>
      <c r="J400" s="22" t="n">
        <v>2705.111273</v>
      </c>
      <c r="K400" s="22" t="n">
        <v>2739.934013</v>
      </c>
      <c r="L400" s="22" t="n">
        <v>2739.934013</v>
      </c>
      <c r="M400" s="22" t="n">
        <v>3125.549527</v>
      </c>
      <c r="N400" s="22" t="n">
        <v>3575.906047</v>
      </c>
      <c r="O400" s="14" t="n">
        <f aca="false">SUM(C400:N400)</f>
        <v>35571.8422</v>
      </c>
      <c r="W400" s="1"/>
      <c r="X400" s="1"/>
      <c r="Y400" s="1"/>
      <c r="Z400" s="1"/>
    </row>
    <row r="401" customFormat="false" ht="15.75" hidden="false" customHeight="true" outlineLevel="0" collapsed="false">
      <c r="A401" s="13" t="s">
        <v>521</v>
      </c>
      <c r="B401" s="42" t="n">
        <v>2029</v>
      </c>
      <c r="C401" s="22" t="n">
        <v>3259.432708</v>
      </c>
      <c r="D401" s="22" t="n">
        <v>2848.521653</v>
      </c>
      <c r="E401" s="22" t="n">
        <v>2749.949053</v>
      </c>
      <c r="F401" s="22" t="n">
        <v>3045.749576</v>
      </c>
      <c r="G401" s="22" t="n">
        <v>3071.045117</v>
      </c>
      <c r="H401" s="22" t="n">
        <v>3031.599651</v>
      </c>
      <c r="I401" s="22" t="n">
        <v>2679.109569</v>
      </c>
      <c r="J401" s="22" t="n">
        <v>2705.111273</v>
      </c>
      <c r="K401" s="22" t="n">
        <v>2739.934013</v>
      </c>
      <c r="L401" s="22" t="n">
        <v>2739.934013</v>
      </c>
      <c r="M401" s="22" t="n">
        <v>3125.549527</v>
      </c>
      <c r="N401" s="22" t="n">
        <v>3575.906047</v>
      </c>
      <c r="O401" s="14" t="n">
        <f aca="false">SUM(C401:N401)</f>
        <v>35571.8422</v>
      </c>
      <c r="W401" s="1"/>
      <c r="X401" s="1"/>
      <c r="Y401" s="1"/>
      <c r="Z401" s="1"/>
    </row>
    <row r="402" customFormat="false" ht="15.75" hidden="false" customHeight="true" outlineLevel="0" collapsed="false">
      <c r="A402" s="13" t="s">
        <v>522</v>
      </c>
      <c r="B402" s="42" t="n">
        <v>2029</v>
      </c>
      <c r="C402" s="22" t="n">
        <v>257.5559125</v>
      </c>
      <c r="D402" s="22" t="n">
        <v>224.6830281</v>
      </c>
      <c r="E402" s="22" t="n">
        <v>215.9598197</v>
      </c>
      <c r="F402" s="22" t="n">
        <v>238.8180859</v>
      </c>
      <c r="G402" s="22" t="n">
        <v>240.795319</v>
      </c>
      <c r="H402" s="22" t="n">
        <v>237.7515218</v>
      </c>
      <c r="I402" s="22" t="n">
        <v>210.4717474</v>
      </c>
      <c r="J402" s="22" t="n">
        <v>212.5352818</v>
      </c>
      <c r="K402" s="22" t="n">
        <v>215.2231065</v>
      </c>
      <c r="L402" s="22" t="n">
        <v>215.2231065</v>
      </c>
      <c r="M402" s="22" t="n">
        <v>246.1187578</v>
      </c>
      <c r="N402" s="22" t="n">
        <v>282.0354393</v>
      </c>
      <c r="O402" s="14" t="n">
        <f aca="false">SUM(C402:N402)</f>
        <v>2797.1711263</v>
      </c>
      <c r="W402" s="1"/>
      <c r="X402" s="1"/>
      <c r="Y402" s="1"/>
      <c r="Z402" s="1"/>
    </row>
    <row r="403" customFormat="false" ht="15.75" hidden="false" customHeight="true" outlineLevel="0" collapsed="false">
      <c r="A403" s="13" t="s">
        <v>523</v>
      </c>
      <c r="B403" s="42" t="n">
        <v>2029</v>
      </c>
      <c r="C403" s="22" t="n">
        <v>90.30239909</v>
      </c>
      <c r="D403" s="22" t="n">
        <v>90.30239909</v>
      </c>
      <c r="E403" s="22" t="n">
        <v>98.50437085</v>
      </c>
      <c r="F403" s="22" t="n">
        <v>109.7288251</v>
      </c>
      <c r="G403" s="22" t="n">
        <v>111.4958385</v>
      </c>
      <c r="H403" s="22" t="n">
        <v>106.1929837</v>
      </c>
      <c r="I403" s="22" t="n">
        <v>92.83928816</v>
      </c>
      <c r="J403" s="22" t="n">
        <v>94.45517051</v>
      </c>
      <c r="K403" s="22" t="n">
        <v>98.92729284</v>
      </c>
      <c r="L403" s="22" t="n">
        <v>98.92729284</v>
      </c>
      <c r="M403" s="22" t="n">
        <v>97.16027947</v>
      </c>
      <c r="N403" s="22" t="n">
        <v>102.4631343</v>
      </c>
      <c r="O403" s="14" t="n">
        <f aca="false">SUM(C403:N403)</f>
        <v>1191.29927445</v>
      </c>
      <c r="W403" s="1"/>
      <c r="X403" s="1"/>
      <c r="Y403" s="1"/>
      <c r="Z403" s="1"/>
    </row>
    <row r="404" customFormat="false" ht="15.75" hidden="false" customHeight="true" outlineLevel="0" collapsed="false">
      <c r="A404" s="13" t="s">
        <v>503</v>
      </c>
      <c r="B404" s="42" t="n">
        <v>2030</v>
      </c>
      <c r="C404" s="22" t="n">
        <v>4822.146001</v>
      </c>
      <c r="D404" s="22" t="n">
        <v>4205.378065</v>
      </c>
      <c r="E404" s="22" t="n">
        <v>4039.070946</v>
      </c>
      <c r="F404" s="22" t="n">
        <v>4465.531105</v>
      </c>
      <c r="G404" s="22" t="n">
        <v>4502.106055</v>
      </c>
      <c r="H404" s="22" t="n">
        <v>4445.261174</v>
      </c>
      <c r="I404" s="22" t="n">
        <v>3936.87411</v>
      </c>
      <c r="J404" s="22" t="n">
        <v>3974.530428</v>
      </c>
      <c r="K404" s="22" t="n">
        <v>4024.696164</v>
      </c>
      <c r="L404" s="22" t="n">
        <v>4024.696164</v>
      </c>
      <c r="M404" s="22" t="n">
        <v>4604.889149</v>
      </c>
      <c r="N404" s="22" t="n">
        <v>5278.501966</v>
      </c>
      <c r="O404" s="14" t="n">
        <f aca="false">SUM(C404:N404)</f>
        <v>52323.681327</v>
      </c>
      <c r="W404" s="1"/>
      <c r="X404" s="1"/>
      <c r="Y404" s="1"/>
      <c r="Z404" s="1"/>
    </row>
    <row r="405" customFormat="false" ht="15.75" hidden="false" customHeight="true" outlineLevel="0" collapsed="false">
      <c r="A405" s="13" t="s">
        <v>504</v>
      </c>
      <c r="B405" s="42" t="n">
        <v>2030</v>
      </c>
      <c r="C405" s="22" t="n">
        <v>4822.146001</v>
      </c>
      <c r="D405" s="22" t="n">
        <v>4205.378065</v>
      </c>
      <c r="E405" s="22" t="n">
        <v>4039.070946</v>
      </c>
      <c r="F405" s="22" t="n">
        <v>4465.531105</v>
      </c>
      <c r="G405" s="22" t="n">
        <v>4502.106055</v>
      </c>
      <c r="H405" s="22" t="n">
        <v>4445.261174</v>
      </c>
      <c r="I405" s="22" t="n">
        <v>3936.87411</v>
      </c>
      <c r="J405" s="22" t="n">
        <v>3974.530428</v>
      </c>
      <c r="K405" s="22" t="n">
        <v>4024.696164</v>
      </c>
      <c r="L405" s="22" t="n">
        <v>4024.696164</v>
      </c>
      <c r="M405" s="22" t="n">
        <v>4604.889149</v>
      </c>
      <c r="N405" s="22" t="n">
        <v>5278.501966</v>
      </c>
      <c r="O405" s="14" t="n">
        <f aca="false">SUM(C405:N405)</f>
        <v>52323.681327</v>
      </c>
      <c r="W405" s="1"/>
      <c r="X405" s="1"/>
      <c r="Y405" s="1"/>
      <c r="Z405" s="1"/>
    </row>
    <row r="406" customFormat="false" ht="15.75" hidden="false" customHeight="true" outlineLevel="0" collapsed="false">
      <c r="A406" s="13" t="s">
        <v>505</v>
      </c>
      <c r="B406" s="42" t="n">
        <v>2030</v>
      </c>
      <c r="C406" s="22" t="n">
        <v>3693.883939</v>
      </c>
      <c r="D406" s="22" t="n">
        <v>3166.547354</v>
      </c>
      <c r="E406" s="22" t="n">
        <v>2940.756606</v>
      </c>
      <c r="F406" s="22" t="n">
        <v>3224.603386</v>
      </c>
      <c r="G406" s="22" t="n">
        <v>3249.966533</v>
      </c>
      <c r="H406" s="22" t="n">
        <v>3215.016519</v>
      </c>
      <c r="I406" s="22" t="n">
        <v>2875.733012</v>
      </c>
      <c r="J406" s="22" t="n">
        <v>2903.883815</v>
      </c>
      <c r="K406" s="22" t="n">
        <v>2934.367564</v>
      </c>
      <c r="L406" s="22" t="n">
        <v>2934.367564</v>
      </c>
      <c r="M406" s="22" t="n">
        <v>3436.341002</v>
      </c>
      <c r="N406" s="22" t="n">
        <v>3998.627602</v>
      </c>
      <c r="O406" s="14" t="n">
        <f aca="false">SUM(C406:N406)</f>
        <v>38574.094896</v>
      </c>
      <c r="W406" s="1"/>
      <c r="X406" s="1"/>
      <c r="Y406" s="1"/>
      <c r="Z406" s="1"/>
    </row>
    <row r="407" customFormat="false" ht="15.75" hidden="false" customHeight="true" outlineLevel="0" collapsed="false">
      <c r="A407" s="13" t="s">
        <v>506</v>
      </c>
      <c r="B407" s="42" t="n">
        <v>2030</v>
      </c>
      <c r="C407" s="22" t="n">
        <v>420.2883474</v>
      </c>
      <c r="D407" s="22" t="n">
        <v>361.6953934</v>
      </c>
      <c r="E407" s="22" t="n">
        <v>336.6075325</v>
      </c>
      <c r="F407" s="22" t="n">
        <v>368.1460637</v>
      </c>
      <c r="G407" s="22" t="n">
        <v>370.9641912</v>
      </c>
      <c r="H407" s="22" t="n">
        <v>367.0808563</v>
      </c>
      <c r="I407" s="22" t="n">
        <v>329.3826888</v>
      </c>
      <c r="J407" s="22" t="n">
        <v>332.5105558</v>
      </c>
      <c r="K407" s="22" t="n">
        <v>335.8976391</v>
      </c>
      <c r="L407" s="22" t="n">
        <v>335.8976391</v>
      </c>
      <c r="M407" s="22" t="n">
        <v>391.6724655</v>
      </c>
      <c r="N407" s="22" t="n">
        <v>454.1487543</v>
      </c>
      <c r="O407" s="14" t="n">
        <f aca="false">SUM(C407:N407)</f>
        <v>4404.2921271</v>
      </c>
      <c r="W407" s="1"/>
      <c r="X407" s="1"/>
      <c r="Y407" s="1"/>
      <c r="Z407" s="1"/>
    </row>
    <row r="408" customFormat="false" ht="15.75" hidden="false" customHeight="true" outlineLevel="0" collapsed="false">
      <c r="A408" s="13" t="s">
        <v>507</v>
      </c>
      <c r="B408" s="42" t="n">
        <v>2030</v>
      </c>
      <c r="C408" s="22" t="n">
        <v>188.3346379</v>
      </c>
      <c r="D408" s="22" t="n">
        <v>188.3346379</v>
      </c>
      <c r="E408" s="22" t="n">
        <v>213.503647</v>
      </c>
      <c r="F408" s="22" t="n">
        <v>236.9437474</v>
      </c>
      <c r="G408" s="22" t="n">
        <v>239.6927354</v>
      </c>
      <c r="H408" s="22" t="n">
        <v>234.9220777</v>
      </c>
      <c r="I408" s="22" t="n">
        <v>204.5995996</v>
      </c>
      <c r="J408" s="22" t="n">
        <v>207.7313989</v>
      </c>
      <c r="K408" s="22" t="n">
        <v>212.2566128</v>
      </c>
      <c r="L408" s="22" t="n">
        <v>212.2566128</v>
      </c>
      <c r="M408" s="22" t="n">
        <v>209.5076248</v>
      </c>
      <c r="N408" s="22" t="n">
        <v>214.2782825</v>
      </c>
      <c r="O408" s="14" t="n">
        <f aca="false">SUM(C408:N408)</f>
        <v>2562.3616147</v>
      </c>
      <c r="W408" s="1"/>
      <c r="X408" s="1"/>
      <c r="Y408" s="1"/>
      <c r="Z408" s="1"/>
    </row>
    <row r="409" customFormat="false" ht="15.75" hidden="false" customHeight="true" outlineLevel="0" collapsed="false">
      <c r="A409" s="13" t="s">
        <v>508</v>
      </c>
      <c r="B409" s="42" t="n">
        <v>2030</v>
      </c>
      <c r="C409" s="22" t="n">
        <v>168.4621098</v>
      </c>
      <c r="D409" s="22" t="n">
        <v>168.4621098</v>
      </c>
      <c r="E409" s="22" t="n">
        <v>212.4444089</v>
      </c>
      <c r="F409" s="22" t="n">
        <v>254.7617688</v>
      </c>
      <c r="G409" s="22" t="n">
        <v>257.1969413</v>
      </c>
      <c r="H409" s="22" t="n">
        <v>251.3286006</v>
      </c>
      <c r="I409" s="22" t="n">
        <v>203.0433033</v>
      </c>
      <c r="J409" s="22" t="n">
        <v>203.9131334</v>
      </c>
      <c r="K409" s="22" t="n">
        <v>209.0557435</v>
      </c>
      <c r="L409" s="22" t="n">
        <v>209.0557435</v>
      </c>
      <c r="M409" s="22" t="n">
        <v>206.620571</v>
      </c>
      <c r="N409" s="22" t="n">
        <v>212.4889116</v>
      </c>
      <c r="O409" s="14" t="n">
        <f aca="false">SUM(C409:N409)</f>
        <v>2556.8333455</v>
      </c>
      <c r="W409" s="1"/>
      <c r="X409" s="1"/>
      <c r="Y409" s="1"/>
      <c r="Z409" s="1"/>
    </row>
    <row r="410" customFormat="false" ht="15.75" hidden="false" customHeight="true" outlineLevel="0" collapsed="false">
      <c r="A410" s="13" t="s">
        <v>509</v>
      </c>
      <c r="B410" s="42" t="n">
        <v>2030</v>
      </c>
      <c r="C410" s="22" t="n">
        <v>5.360494725</v>
      </c>
      <c r="D410" s="22" t="n">
        <v>5.360494725</v>
      </c>
      <c r="E410" s="22" t="n">
        <v>4.917328432</v>
      </c>
      <c r="F410" s="22" t="n">
        <v>4.917328432</v>
      </c>
      <c r="G410" s="22" t="n">
        <v>4.917328432</v>
      </c>
      <c r="H410" s="22" t="n">
        <v>4.474162138</v>
      </c>
      <c r="I410" s="22" t="n">
        <v>4.474162138</v>
      </c>
      <c r="J410" s="22" t="n">
        <v>4.474162138</v>
      </c>
      <c r="K410" s="22" t="n">
        <v>4.917328432</v>
      </c>
      <c r="L410" s="22" t="n">
        <v>4.917328432</v>
      </c>
      <c r="M410" s="22" t="n">
        <v>4.917328432</v>
      </c>
      <c r="N410" s="22" t="n">
        <v>5.360494725</v>
      </c>
      <c r="O410" s="14" t="n">
        <f aca="false">SUM(C410:N410)</f>
        <v>59.007941181</v>
      </c>
      <c r="W410" s="1"/>
      <c r="X410" s="1"/>
      <c r="Y410" s="1"/>
      <c r="Z410" s="1"/>
    </row>
    <row r="411" customFormat="false" ht="15.75" hidden="false" customHeight="true" outlineLevel="0" collapsed="false">
      <c r="A411" s="13" t="s">
        <v>510</v>
      </c>
      <c r="B411" s="42" t="n">
        <v>2030</v>
      </c>
      <c r="C411" s="22" t="n">
        <v>4330.70767</v>
      </c>
      <c r="D411" s="22" t="n">
        <v>3713.939734</v>
      </c>
      <c r="E411" s="22" t="n">
        <v>3449.856987</v>
      </c>
      <c r="F411" s="22" t="n">
        <v>3781.841526</v>
      </c>
      <c r="G411" s="22" t="n">
        <v>3811.506026</v>
      </c>
      <c r="H411" s="22" t="n">
        <v>3770.628816</v>
      </c>
      <c r="I411" s="22" t="n">
        <v>3373.806001</v>
      </c>
      <c r="J411" s="22" t="n">
        <v>3406.730917</v>
      </c>
      <c r="K411" s="22" t="n">
        <v>3442.384425</v>
      </c>
      <c r="L411" s="22" t="n">
        <v>3442.384425</v>
      </c>
      <c r="M411" s="22" t="n">
        <v>4029.487861</v>
      </c>
      <c r="N411" s="22" t="n">
        <v>4687.133006</v>
      </c>
      <c r="O411" s="14" t="n">
        <f aca="false">SUM(C411:N411)</f>
        <v>45240.407394</v>
      </c>
      <c r="W411" s="1"/>
      <c r="X411" s="1"/>
      <c r="Y411" s="1"/>
      <c r="Z411" s="1"/>
    </row>
    <row r="412" customFormat="false" ht="15.75" hidden="false" customHeight="true" outlineLevel="0" collapsed="false">
      <c r="A412" s="13" t="s">
        <v>511</v>
      </c>
      <c r="B412" s="42" t="n">
        <v>2030</v>
      </c>
      <c r="C412" s="22" t="n">
        <v>286.9701755</v>
      </c>
      <c r="D412" s="22" t="n">
        <v>286.9701755</v>
      </c>
      <c r="E412" s="22" t="n">
        <v>334.7851397</v>
      </c>
      <c r="F412" s="22" t="n">
        <v>380.3994788</v>
      </c>
      <c r="G412" s="22" t="n">
        <v>384.4981842</v>
      </c>
      <c r="H412" s="22" t="n">
        <v>376.1293518</v>
      </c>
      <c r="I412" s="22" t="n">
        <v>320.3171984</v>
      </c>
      <c r="J412" s="22" t="n">
        <v>324.0442606</v>
      </c>
      <c r="K412" s="22" t="n">
        <v>331.7956067</v>
      </c>
      <c r="L412" s="22" t="n">
        <v>331.7956067</v>
      </c>
      <c r="M412" s="22" t="n">
        <v>327.6969013</v>
      </c>
      <c r="N412" s="22" t="n">
        <v>336.0657337</v>
      </c>
      <c r="O412" s="14" t="n">
        <f aca="false">SUM(C412:N412)</f>
        <v>4021.4678129</v>
      </c>
      <c r="W412" s="1"/>
      <c r="X412" s="1"/>
      <c r="Y412" s="1"/>
      <c r="Z412" s="1"/>
    </row>
    <row r="413" customFormat="false" ht="15.75" hidden="false" customHeight="true" outlineLevel="0" collapsed="false">
      <c r="A413" s="13" t="s">
        <v>512</v>
      </c>
      <c r="B413" s="42" t="n">
        <v>2030</v>
      </c>
      <c r="C413" s="22" t="n">
        <v>44.96079717</v>
      </c>
      <c r="D413" s="22" t="n">
        <v>38.54222159</v>
      </c>
      <c r="E413" s="22" t="n">
        <v>35.79396739</v>
      </c>
      <c r="F413" s="22" t="n">
        <v>39.24886141</v>
      </c>
      <c r="G413" s="22" t="n">
        <v>39.55757369</v>
      </c>
      <c r="H413" s="22" t="n">
        <v>39.13217307</v>
      </c>
      <c r="I413" s="22" t="n">
        <v>35.0025206</v>
      </c>
      <c r="J413" s="22" t="n">
        <v>35.34516335</v>
      </c>
      <c r="K413" s="22" t="n">
        <v>35.71620199</v>
      </c>
      <c r="L413" s="22" t="n">
        <v>35.71620199</v>
      </c>
      <c r="M413" s="22" t="n">
        <v>41.82606529</v>
      </c>
      <c r="N413" s="22" t="n">
        <v>48.67004149</v>
      </c>
      <c r="O413" s="14" t="n">
        <f aca="false">SUM(C413:N413)</f>
        <v>469.51178903</v>
      </c>
      <c r="W413" s="1"/>
      <c r="X413" s="1"/>
      <c r="Y413" s="1"/>
      <c r="Z413" s="1"/>
    </row>
    <row r="414" customFormat="false" ht="15.75" hidden="false" customHeight="true" outlineLevel="0" collapsed="false">
      <c r="A414" s="13" t="s">
        <v>423</v>
      </c>
      <c r="B414" s="42" t="n">
        <v>2030</v>
      </c>
      <c r="C414" s="22" t="n">
        <v>1265.010597</v>
      </c>
      <c r="D414" s="22" t="n">
        <v>1110.818613</v>
      </c>
      <c r="E414" s="22" t="n">
        <v>1077.189941</v>
      </c>
      <c r="F414" s="22" t="n">
        <v>1191.207117</v>
      </c>
      <c r="G414" s="22" t="n">
        <v>1201.218957</v>
      </c>
      <c r="H414" s="22" t="n">
        <v>1185.501213</v>
      </c>
      <c r="I414" s="22" t="n">
        <v>1048.828927</v>
      </c>
      <c r="J414" s="22" t="n">
        <v>1059.231996</v>
      </c>
      <c r="K414" s="22" t="n">
        <v>1073.202445</v>
      </c>
      <c r="L414" s="22" t="n">
        <v>1073.202445</v>
      </c>
      <c r="M414" s="22" t="n">
        <v>1217.38259</v>
      </c>
      <c r="N414" s="22" t="n">
        <v>1387.292318</v>
      </c>
      <c r="O414" s="14" t="n">
        <f aca="false">SUM(C414:N414)</f>
        <v>13890.087159</v>
      </c>
      <c r="W414" s="1"/>
      <c r="X414" s="1"/>
      <c r="Y414" s="1"/>
      <c r="Z414" s="1"/>
    </row>
    <row r="415" customFormat="false" ht="15.75" hidden="false" customHeight="true" outlineLevel="0" collapsed="false">
      <c r="A415" s="13" t="s">
        <v>424</v>
      </c>
      <c r="B415" s="42" t="n">
        <v>2030</v>
      </c>
      <c r="C415" s="22" t="n">
        <v>1199.28183</v>
      </c>
      <c r="D415" s="22" t="n">
        <v>1038.922167</v>
      </c>
      <c r="E415" s="22" t="n">
        <v>988.081136</v>
      </c>
      <c r="F415" s="22" t="n">
        <v>1091.847574</v>
      </c>
      <c r="G415" s="22" t="n">
        <v>1100.564538</v>
      </c>
      <c r="H415" s="22" t="n">
        <v>1087.199982</v>
      </c>
      <c r="I415" s="22" t="n">
        <v>964.1145875</v>
      </c>
      <c r="J415" s="22" t="n">
        <v>973.0337585</v>
      </c>
      <c r="K415" s="22" t="n">
        <v>984.7408819</v>
      </c>
      <c r="L415" s="22" t="n">
        <v>984.7408819</v>
      </c>
      <c r="M415" s="22" t="n">
        <v>1136.38358</v>
      </c>
      <c r="N415" s="22" t="n">
        <v>1310.1078</v>
      </c>
      <c r="O415" s="14" t="n">
        <f aca="false">SUM(C415:N415)</f>
        <v>12859.0187168</v>
      </c>
      <c r="W415" s="1"/>
      <c r="X415" s="1"/>
      <c r="Y415" s="1"/>
      <c r="Z415" s="1"/>
    </row>
    <row r="416" customFormat="false" ht="15.75" hidden="false" customHeight="true" outlineLevel="0" collapsed="false">
      <c r="A416" s="13" t="s">
        <v>513</v>
      </c>
      <c r="B416" s="42" t="n">
        <v>2030</v>
      </c>
      <c r="C416" s="22" t="n">
        <v>1199.28183</v>
      </c>
      <c r="D416" s="22" t="n">
        <v>1038.922167</v>
      </c>
      <c r="E416" s="22" t="n">
        <v>988.081136</v>
      </c>
      <c r="F416" s="22" t="n">
        <v>1091.847574</v>
      </c>
      <c r="G416" s="22" t="n">
        <v>1100.564538</v>
      </c>
      <c r="H416" s="22" t="n">
        <v>1087.199982</v>
      </c>
      <c r="I416" s="22" t="n">
        <v>964.1145875</v>
      </c>
      <c r="J416" s="22" t="n">
        <v>973.0337585</v>
      </c>
      <c r="K416" s="22" t="n">
        <v>984.7408819</v>
      </c>
      <c r="L416" s="22" t="n">
        <v>984.7408819</v>
      </c>
      <c r="M416" s="22" t="n">
        <v>1136.38358</v>
      </c>
      <c r="N416" s="22" t="n">
        <v>1310.1078</v>
      </c>
      <c r="O416" s="14" t="n">
        <f aca="false">SUM(C416:N416)</f>
        <v>12859.0187168</v>
      </c>
      <c r="W416" s="1"/>
      <c r="X416" s="1"/>
      <c r="Y416" s="1"/>
      <c r="Z416" s="1"/>
    </row>
    <row r="417" customFormat="false" ht="15.75" hidden="false" customHeight="true" outlineLevel="0" collapsed="false">
      <c r="A417" s="13" t="s">
        <v>514</v>
      </c>
      <c r="B417" s="42" t="n">
        <v>2030</v>
      </c>
      <c r="C417" s="22" t="n">
        <v>723.3219002</v>
      </c>
      <c r="D417" s="22" t="n">
        <v>630.8067098</v>
      </c>
      <c r="E417" s="22" t="n">
        <v>605.8606418</v>
      </c>
      <c r="F417" s="22" t="n">
        <v>669.8296657</v>
      </c>
      <c r="G417" s="22" t="n">
        <v>675.3159083</v>
      </c>
      <c r="H417" s="22" t="n">
        <v>666.7891761</v>
      </c>
      <c r="I417" s="22" t="n">
        <v>590.5311164</v>
      </c>
      <c r="J417" s="22" t="n">
        <v>596.1795641</v>
      </c>
      <c r="K417" s="22" t="n">
        <v>603.7044246</v>
      </c>
      <c r="L417" s="22" t="n">
        <v>603.7044246</v>
      </c>
      <c r="M417" s="22" t="n">
        <v>690.7333724</v>
      </c>
      <c r="N417" s="22" t="n">
        <v>791.7752949</v>
      </c>
      <c r="O417" s="14" t="n">
        <f aca="false">SUM(C417:N417)</f>
        <v>7848.5521989</v>
      </c>
      <c r="W417" s="1"/>
      <c r="X417" s="1"/>
      <c r="Y417" s="1"/>
      <c r="Z417" s="1"/>
    </row>
    <row r="418" customFormat="false" ht="15.75" hidden="false" customHeight="true" outlineLevel="0" collapsed="false">
      <c r="A418" s="13" t="s">
        <v>515</v>
      </c>
      <c r="B418" s="42" t="n">
        <v>2030</v>
      </c>
      <c r="C418" s="22" t="n">
        <v>4338.116223</v>
      </c>
      <c r="D418" s="22" t="n">
        <v>3721.348287</v>
      </c>
      <c r="E418" s="22" t="n">
        <v>3457.265541</v>
      </c>
      <c r="F418" s="22" t="n">
        <v>3789.250079</v>
      </c>
      <c r="G418" s="22" t="n">
        <v>3818.914579</v>
      </c>
      <c r="H418" s="22" t="n">
        <v>3778.037369</v>
      </c>
      <c r="I418" s="22" t="n">
        <v>3381.214554</v>
      </c>
      <c r="J418" s="22" t="n">
        <v>3414.13947</v>
      </c>
      <c r="K418" s="22" t="n">
        <v>3449.792978</v>
      </c>
      <c r="L418" s="22" t="n">
        <v>3449.792978</v>
      </c>
      <c r="M418" s="22" t="n">
        <v>4036.896414</v>
      </c>
      <c r="N418" s="22" t="n">
        <v>4694.54156</v>
      </c>
      <c r="O418" s="14" t="n">
        <f aca="false">SUM(C418:N418)</f>
        <v>45329.310032</v>
      </c>
      <c r="W418" s="1"/>
      <c r="X418" s="1"/>
      <c r="Y418" s="1"/>
      <c r="Z418" s="1"/>
    </row>
    <row r="419" customFormat="false" ht="15.75" hidden="false" customHeight="true" outlineLevel="0" collapsed="false">
      <c r="A419" s="13" t="s">
        <v>516</v>
      </c>
      <c r="B419" s="42" t="n">
        <v>2030</v>
      </c>
      <c r="C419" s="22" t="n">
        <v>4330.70767</v>
      </c>
      <c r="D419" s="22" t="n">
        <v>3713.939734</v>
      </c>
      <c r="E419" s="22" t="n">
        <v>3449.856987</v>
      </c>
      <c r="F419" s="22" t="n">
        <v>3781.841526</v>
      </c>
      <c r="G419" s="22" t="n">
        <v>3811.506026</v>
      </c>
      <c r="H419" s="22" t="n">
        <v>3770.628816</v>
      </c>
      <c r="I419" s="22" t="n">
        <v>3373.806001</v>
      </c>
      <c r="J419" s="22" t="n">
        <v>3406.730917</v>
      </c>
      <c r="K419" s="22" t="n">
        <v>3442.384425</v>
      </c>
      <c r="L419" s="22" t="n">
        <v>3442.384425</v>
      </c>
      <c r="M419" s="22" t="n">
        <v>4029.487861</v>
      </c>
      <c r="N419" s="22" t="n">
        <v>4687.133006</v>
      </c>
      <c r="O419" s="14" t="n">
        <f aca="false">SUM(C419:N419)</f>
        <v>45240.407394</v>
      </c>
      <c r="W419" s="1"/>
      <c r="X419" s="1"/>
      <c r="Y419" s="1"/>
      <c r="Z419" s="1"/>
    </row>
    <row r="420" customFormat="false" ht="15.75" hidden="false" customHeight="true" outlineLevel="0" collapsed="false">
      <c r="A420" s="13" t="s">
        <v>517</v>
      </c>
      <c r="B420" s="42" t="n">
        <v>2030</v>
      </c>
      <c r="C420" s="22" t="n">
        <v>4330.70767</v>
      </c>
      <c r="D420" s="22" t="n">
        <v>3713.939734</v>
      </c>
      <c r="E420" s="22" t="n">
        <v>3449.856987</v>
      </c>
      <c r="F420" s="22" t="n">
        <v>3781.841526</v>
      </c>
      <c r="G420" s="22" t="n">
        <v>3811.506026</v>
      </c>
      <c r="H420" s="22" t="n">
        <v>3770.628816</v>
      </c>
      <c r="I420" s="22" t="n">
        <v>3373.806001</v>
      </c>
      <c r="J420" s="22" t="n">
        <v>3406.730917</v>
      </c>
      <c r="K420" s="22" t="n">
        <v>3442.384425</v>
      </c>
      <c r="L420" s="22" t="n">
        <v>3442.384425</v>
      </c>
      <c r="M420" s="22" t="n">
        <v>4029.487861</v>
      </c>
      <c r="N420" s="22" t="n">
        <v>4687.133006</v>
      </c>
      <c r="O420" s="14" t="n">
        <f aca="false">SUM(C420:N420)</f>
        <v>45240.407394</v>
      </c>
      <c r="W420" s="1"/>
      <c r="X420" s="1"/>
      <c r="Y420" s="1"/>
      <c r="Z420" s="1"/>
    </row>
    <row r="421" customFormat="false" ht="15.75" hidden="false" customHeight="true" outlineLevel="0" collapsed="false">
      <c r="A421" s="13" t="s">
        <v>518</v>
      </c>
      <c r="B421" s="42" t="n">
        <v>2030</v>
      </c>
      <c r="C421" s="22" t="n">
        <v>286.9701755</v>
      </c>
      <c r="D421" s="22" t="n">
        <v>286.9701755</v>
      </c>
      <c r="E421" s="22" t="n">
        <v>334.7851397</v>
      </c>
      <c r="F421" s="22" t="n">
        <v>380.3994788</v>
      </c>
      <c r="G421" s="22" t="n">
        <v>384.4981842</v>
      </c>
      <c r="H421" s="22" t="n">
        <v>376.1293518</v>
      </c>
      <c r="I421" s="22" t="n">
        <v>320.3171984</v>
      </c>
      <c r="J421" s="22" t="n">
        <v>324.0442606</v>
      </c>
      <c r="K421" s="22" t="n">
        <v>331.7956067</v>
      </c>
      <c r="L421" s="22" t="n">
        <v>331.7956067</v>
      </c>
      <c r="M421" s="22" t="n">
        <v>327.6969013</v>
      </c>
      <c r="N421" s="22" t="n">
        <v>336.0657337</v>
      </c>
      <c r="O421" s="14" t="n">
        <f aca="false">SUM(C421:N421)</f>
        <v>4021.4678129</v>
      </c>
      <c r="W421" s="1"/>
      <c r="X421" s="1"/>
      <c r="Y421" s="1"/>
      <c r="Z421" s="1"/>
    </row>
    <row r="422" customFormat="false" ht="15.75" hidden="false" customHeight="true" outlineLevel="0" collapsed="false">
      <c r="A422" s="13" t="s">
        <v>519</v>
      </c>
      <c r="B422" s="42" t="n">
        <v>2030</v>
      </c>
      <c r="C422" s="22" t="n">
        <v>190.5743738</v>
      </c>
      <c r="D422" s="22" t="n">
        <v>190.5743738</v>
      </c>
      <c r="E422" s="22" t="n">
        <v>236.9076301</v>
      </c>
      <c r="F422" s="22" t="n">
        <v>282.2788201</v>
      </c>
      <c r="G422" s="22" t="n">
        <v>284.8897267</v>
      </c>
      <c r="H422" s="22" t="n">
        <v>277.7748744</v>
      </c>
      <c r="I422" s="22" t="n">
        <v>226.005071</v>
      </c>
      <c r="J422" s="22" t="n">
        <v>226.9376725</v>
      </c>
      <c r="K422" s="22" t="n">
        <v>233.2744218</v>
      </c>
      <c r="L422" s="22" t="n">
        <v>233.2744218</v>
      </c>
      <c r="M422" s="22" t="n">
        <v>230.6635152</v>
      </c>
      <c r="N422" s="22" t="n">
        <v>237.7783675</v>
      </c>
      <c r="O422" s="14" t="n">
        <f aca="false">SUM(C422:N422)</f>
        <v>2850.9332687</v>
      </c>
      <c r="W422" s="1"/>
      <c r="X422" s="1"/>
      <c r="Y422" s="1"/>
      <c r="Z422" s="1"/>
    </row>
    <row r="423" customFormat="false" ht="15.75" hidden="false" customHeight="true" outlineLevel="0" collapsed="false">
      <c r="A423" s="13" t="s">
        <v>520</v>
      </c>
      <c r="B423" s="42" t="n">
        <v>2030</v>
      </c>
      <c r="C423" s="22" t="n">
        <v>4822.146001</v>
      </c>
      <c r="D423" s="22" t="n">
        <v>4205.378065</v>
      </c>
      <c r="E423" s="22" t="n">
        <v>4039.070946</v>
      </c>
      <c r="F423" s="22" t="n">
        <v>4465.531105</v>
      </c>
      <c r="G423" s="22" t="n">
        <v>4502.106055</v>
      </c>
      <c r="H423" s="22" t="n">
        <v>4445.261174</v>
      </c>
      <c r="I423" s="22" t="n">
        <v>3936.87411</v>
      </c>
      <c r="J423" s="22" t="n">
        <v>3974.530428</v>
      </c>
      <c r="K423" s="22" t="n">
        <v>4024.696164</v>
      </c>
      <c r="L423" s="22" t="n">
        <v>4024.696164</v>
      </c>
      <c r="M423" s="22" t="n">
        <v>4604.889149</v>
      </c>
      <c r="N423" s="22" t="n">
        <v>5278.501966</v>
      </c>
      <c r="O423" s="14" t="n">
        <f aca="false">SUM(C423:N423)</f>
        <v>52323.681327</v>
      </c>
      <c r="W423" s="1"/>
      <c r="X423" s="1"/>
      <c r="Y423" s="1"/>
      <c r="Z423" s="1"/>
    </row>
    <row r="424" customFormat="false" ht="15.75" hidden="false" customHeight="true" outlineLevel="0" collapsed="false">
      <c r="A424" s="13" t="s">
        <v>521</v>
      </c>
      <c r="B424" s="42" t="n">
        <v>2030</v>
      </c>
      <c r="C424" s="22" t="n">
        <v>4822.146001</v>
      </c>
      <c r="D424" s="22" t="n">
        <v>4205.378065</v>
      </c>
      <c r="E424" s="22" t="n">
        <v>4039.070946</v>
      </c>
      <c r="F424" s="22" t="n">
        <v>4465.531105</v>
      </c>
      <c r="G424" s="22" t="n">
        <v>4502.106055</v>
      </c>
      <c r="H424" s="22" t="n">
        <v>4445.261174</v>
      </c>
      <c r="I424" s="22" t="n">
        <v>3936.87411</v>
      </c>
      <c r="J424" s="22" t="n">
        <v>3974.530428</v>
      </c>
      <c r="K424" s="22" t="n">
        <v>4024.696164</v>
      </c>
      <c r="L424" s="22" t="n">
        <v>4024.696164</v>
      </c>
      <c r="M424" s="22" t="n">
        <v>4604.889149</v>
      </c>
      <c r="N424" s="22" t="n">
        <v>5278.501966</v>
      </c>
      <c r="O424" s="14" t="n">
        <f aca="false">SUM(C424:N424)</f>
        <v>52323.681327</v>
      </c>
      <c r="W424" s="1"/>
      <c r="X424" s="1"/>
      <c r="Y424" s="1"/>
      <c r="Z424" s="1"/>
    </row>
    <row r="425" customFormat="false" ht="15.75" hidden="false" customHeight="true" outlineLevel="0" collapsed="false">
      <c r="A425" s="13" t="s">
        <v>522</v>
      </c>
      <c r="B425" s="42" t="n">
        <v>2030</v>
      </c>
      <c r="C425" s="22" t="n">
        <v>381.1404194</v>
      </c>
      <c r="D425" s="22" t="n">
        <v>331.7989845</v>
      </c>
      <c r="E425" s="22" t="n">
        <v>317.2852795</v>
      </c>
      <c r="F425" s="22" t="n">
        <v>350.2387284</v>
      </c>
      <c r="G425" s="22" t="n">
        <v>353.0977781</v>
      </c>
      <c r="H425" s="22" t="n">
        <v>348.7115166</v>
      </c>
      <c r="I425" s="22" t="n">
        <v>309.3679823</v>
      </c>
      <c r="J425" s="22" t="n">
        <v>312.3565749</v>
      </c>
      <c r="K425" s="22" t="n">
        <v>316.2284562</v>
      </c>
      <c r="L425" s="22" t="n">
        <v>316.2284562</v>
      </c>
      <c r="M425" s="22" t="n">
        <v>362.7108413</v>
      </c>
      <c r="N425" s="22" t="n">
        <v>416.4385377</v>
      </c>
      <c r="O425" s="14" t="n">
        <f aca="false">SUM(C425:N425)</f>
        <v>4115.6035551</v>
      </c>
      <c r="W425" s="1"/>
      <c r="X425" s="1"/>
      <c r="Y425" s="1"/>
      <c r="Z425" s="1"/>
    </row>
    <row r="426" customFormat="false" ht="15.75" hidden="false" customHeight="true" outlineLevel="0" collapsed="false">
      <c r="A426" s="13" t="s">
        <v>523</v>
      </c>
      <c r="B426" s="42" t="n">
        <v>2030</v>
      </c>
      <c r="C426" s="22" t="n">
        <v>130.16611</v>
      </c>
      <c r="D426" s="22" t="n">
        <v>130.16611</v>
      </c>
      <c r="E426" s="22" t="n">
        <v>141.9761463</v>
      </c>
      <c r="F426" s="22" t="n">
        <v>158.1384348</v>
      </c>
      <c r="G426" s="22" t="n">
        <v>160.6839731</v>
      </c>
      <c r="H426" s="22" t="n">
        <v>153.047082</v>
      </c>
      <c r="I426" s="22" t="n">
        <v>133.8183295</v>
      </c>
      <c r="J426" s="22" t="n">
        <v>136.145693</v>
      </c>
      <c r="K426" s="22" t="n">
        <v>142.5855026</v>
      </c>
      <c r="L426" s="22" t="n">
        <v>142.5855026</v>
      </c>
      <c r="M426" s="22" t="n">
        <v>140.0399643</v>
      </c>
      <c r="N426" s="22" t="n">
        <v>147.6768554</v>
      </c>
      <c r="O426" s="14" t="n">
        <f aca="false">SUM(C426:N426)</f>
        <v>1717.0297036</v>
      </c>
      <c r="W426" s="1"/>
      <c r="X426" s="1"/>
      <c r="Y426" s="1"/>
      <c r="Z426" s="1"/>
    </row>
    <row r="427" customFormat="false" ht="15.75" hidden="false" customHeight="true" outlineLevel="0" collapsed="false">
      <c r="A427" s="13" t="s">
        <v>503</v>
      </c>
      <c r="B427" s="42" t="n">
        <v>2031</v>
      </c>
      <c r="C427" s="22" t="n">
        <v>6595.455854</v>
      </c>
      <c r="D427" s="22" t="n">
        <v>5737.699609</v>
      </c>
      <c r="E427" s="22" t="n">
        <v>5478.855258</v>
      </c>
      <c r="F427" s="22" t="n">
        <v>6045.824496</v>
      </c>
      <c r="G427" s="22" t="n">
        <v>6094.491241</v>
      </c>
      <c r="H427" s="22" t="n">
        <v>6018.909247</v>
      </c>
      <c r="I427" s="22" t="n">
        <v>5342.959226</v>
      </c>
      <c r="J427" s="22" t="n">
        <v>5393.082103</v>
      </c>
      <c r="K427" s="22" t="n">
        <v>5459.773268</v>
      </c>
      <c r="L427" s="22" t="n">
        <v>5459.773268</v>
      </c>
      <c r="M427" s="22" t="n">
        <v>6268.862767</v>
      </c>
      <c r="N427" s="22" t="n">
        <v>7202.201007</v>
      </c>
      <c r="O427" s="14" t="n">
        <f aca="false">SUM(C427:N427)</f>
        <v>71097.887344</v>
      </c>
      <c r="W427" s="1"/>
      <c r="X427" s="1"/>
      <c r="Y427" s="1"/>
      <c r="Z427" s="1"/>
    </row>
    <row r="428" customFormat="false" ht="15.75" hidden="false" customHeight="true" outlineLevel="0" collapsed="false">
      <c r="A428" s="13" t="s">
        <v>504</v>
      </c>
      <c r="B428" s="42" t="n">
        <v>2031</v>
      </c>
      <c r="C428" s="22" t="n">
        <v>6595.455854</v>
      </c>
      <c r="D428" s="22" t="n">
        <v>5737.699609</v>
      </c>
      <c r="E428" s="22" t="n">
        <v>5478.855258</v>
      </c>
      <c r="F428" s="22" t="n">
        <v>6045.824496</v>
      </c>
      <c r="G428" s="22" t="n">
        <v>6094.491241</v>
      </c>
      <c r="H428" s="22" t="n">
        <v>6018.909247</v>
      </c>
      <c r="I428" s="22" t="n">
        <v>5342.959226</v>
      </c>
      <c r="J428" s="22" t="n">
        <v>5393.082103</v>
      </c>
      <c r="K428" s="22" t="n">
        <v>5459.773268</v>
      </c>
      <c r="L428" s="22" t="n">
        <v>5459.773268</v>
      </c>
      <c r="M428" s="22" t="n">
        <v>6268.862767</v>
      </c>
      <c r="N428" s="22" t="n">
        <v>7202.201007</v>
      </c>
      <c r="O428" s="14" t="n">
        <f aca="false">SUM(C428:N428)</f>
        <v>71097.887344</v>
      </c>
      <c r="W428" s="1"/>
      <c r="X428" s="1"/>
      <c r="Y428" s="1"/>
      <c r="Z428" s="1"/>
    </row>
    <row r="429" customFormat="false" ht="15.75" hidden="false" customHeight="true" outlineLevel="0" collapsed="false">
      <c r="A429" s="13" t="s">
        <v>505</v>
      </c>
      <c r="B429" s="42" t="n">
        <v>2031</v>
      </c>
      <c r="C429" s="22" t="n">
        <v>5071.269286</v>
      </c>
      <c r="D429" s="22" t="n">
        <v>4337.887697</v>
      </c>
      <c r="E429" s="22" t="n">
        <v>4005.333349</v>
      </c>
      <c r="F429" s="22" t="n">
        <v>4382.596161</v>
      </c>
      <c r="G429" s="22" t="n">
        <v>4416.347268</v>
      </c>
      <c r="H429" s="22" t="n">
        <v>4369.888016</v>
      </c>
      <c r="I429" s="22" t="n">
        <v>3918.872133</v>
      </c>
      <c r="J429" s="22" t="n">
        <v>3956.352629</v>
      </c>
      <c r="K429" s="22" t="n">
        <v>3996.869166</v>
      </c>
      <c r="L429" s="22" t="n">
        <v>3996.869166</v>
      </c>
      <c r="M429" s="22" t="n">
        <v>4696.499649</v>
      </c>
      <c r="N429" s="22" t="n">
        <v>5476.34049</v>
      </c>
      <c r="O429" s="14" t="n">
        <f aca="false">SUM(C429:N429)</f>
        <v>52625.12501</v>
      </c>
      <c r="W429" s="1"/>
      <c r="X429" s="1"/>
      <c r="Y429" s="1"/>
      <c r="Z429" s="1"/>
    </row>
    <row r="430" customFormat="false" ht="15.75" hidden="false" customHeight="true" outlineLevel="0" collapsed="false">
      <c r="A430" s="13" t="s">
        <v>506</v>
      </c>
      <c r="B430" s="42" t="n">
        <v>2031</v>
      </c>
      <c r="C430" s="22" t="n">
        <v>576.1290299</v>
      </c>
      <c r="D430" s="22" t="n">
        <v>494.6421867</v>
      </c>
      <c r="E430" s="22" t="n">
        <v>457.6917036</v>
      </c>
      <c r="F430" s="22" t="n">
        <v>499.6097939</v>
      </c>
      <c r="G430" s="22" t="n">
        <v>503.3599168</v>
      </c>
      <c r="H430" s="22" t="n">
        <v>498.1977777</v>
      </c>
      <c r="I430" s="22" t="n">
        <v>448.0849019</v>
      </c>
      <c r="J430" s="22" t="n">
        <v>452.2494015</v>
      </c>
      <c r="K430" s="22" t="n">
        <v>456.7512389</v>
      </c>
      <c r="L430" s="22" t="n">
        <v>456.7512389</v>
      </c>
      <c r="M430" s="22" t="n">
        <v>534.4879592</v>
      </c>
      <c r="N430" s="22" t="n">
        <v>621.1369415</v>
      </c>
      <c r="O430" s="14" t="n">
        <f aca="false">SUM(C430:N430)</f>
        <v>5999.0920905</v>
      </c>
      <c r="W430" s="1"/>
      <c r="X430" s="1"/>
      <c r="Y430" s="1"/>
      <c r="Z430" s="1"/>
    </row>
    <row r="431" customFormat="false" ht="15.75" hidden="false" customHeight="true" outlineLevel="0" collapsed="false">
      <c r="A431" s="13" t="s">
        <v>507</v>
      </c>
      <c r="B431" s="42" t="n">
        <v>2031</v>
      </c>
      <c r="C431" s="22" t="n">
        <v>247.651377</v>
      </c>
      <c r="D431" s="22" t="n">
        <v>247.651377</v>
      </c>
      <c r="E431" s="22" t="n">
        <v>281.2045408</v>
      </c>
      <c r="F431" s="22" t="n">
        <v>312.4753928</v>
      </c>
      <c r="G431" s="22" t="n">
        <v>316.1290496</v>
      </c>
      <c r="H431" s="22" t="n">
        <v>309.7652736</v>
      </c>
      <c r="I431" s="22" t="n">
        <v>269.3471065</v>
      </c>
      <c r="J431" s="22" t="n">
        <v>273.5019906</v>
      </c>
      <c r="K431" s="22" t="n">
        <v>279.5376595</v>
      </c>
      <c r="L431" s="22" t="n">
        <v>279.5376595</v>
      </c>
      <c r="M431" s="22" t="n">
        <v>275.8840027</v>
      </c>
      <c r="N431" s="22" t="n">
        <v>282.2477788</v>
      </c>
      <c r="O431" s="14" t="n">
        <f aca="false">SUM(C431:N431)</f>
        <v>3374.9332084</v>
      </c>
      <c r="W431" s="1"/>
      <c r="X431" s="1"/>
      <c r="Y431" s="1"/>
      <c r="Z431" s="1"/>
    </row>
    <row r="432" customFormat="false" ht="15.75" hidden="false" customHeight="true" outlineLevel="0" collapsed="false">
      <c r="A432" s="13" t="s">
        <v>508</v>
      </c>
      <c r="B432" s="42" t="n">
        <v>2031</v>
      </c>
      <c r="C432" s="22" t="n">
        <v>224.3783882</v>
      </c>
      <c r="D432" s="22" t="n">
        <v>224.3783882</v>
      </c>
      <c r="E432" s="22" t="n">
        <v>282.8521264</v>
      </c>
      <c r="F432" s="22" t="n">
        <v>339.1178835</v>
      </c>
      <c r="G432" s="22" t="n">
        <v>342.358782</v>
      </c>
      <c r="H432" s="22" t="n">
        <v>334.5488071</v>
      </c>
      <c r="I432" s="22" t="n">
        <v>270.3465533</v>
      </c>
      <c r="J432" s="22" t="n">
        <v>271.5059925</v>
      </c>
      <c r="K432" s="22" t="n">
        <v>278.3490529</v>
      </c>
      <c r="L432" s="22" t="n">
        <v>278.3490529</v>
      </c>
      <c r="M432" s="22" t="n">
        <v>275.1081544</v>
      </c>
      <c r="N432" s="22" t="n">
        <v>282.9181293</v>
      </c>
      <c r="O432" s="14" t="n">
        <f aca="false">SUM(C432:N432)</f>
        <v>3404.2113107</v>
      </c>
      <c r="W432" s="1"/>
      <c r="X432" s="1"/>
      <c r="Y432" s="1"/>
      <c r="Z432" s="1"/>
    </row>
    <row r="433" customFormat="false" ht="15.75" hidden="false" customHeight="true" outlineLevel="0" collapsed="false">
      <c r="A433" s="13" t="s">
        <v>509</v>
      </c>
      <c r="B433" s="42" t="n">
        <v>2031</v>
      </c>
      <c r="C433" s="22" t="n">
        <v>7.011097143</v>
      </c>
      <c r="D433" s="22" t="n">
        <v>7.011097143</v>
      </c>
      <c r="E433" s="22" t="n">
        <v>6.429206767</v>
      </c>
      <c r="F433" s="22" t="n">
        <v>6.429206767</v>
      </c>
      <c r="G433" s="22" t="n">
        <v>6.429206767</v>
      </c>
      <c r="H433" s="22" t="n">
        <v>5.847316391</v>
      </c>
      <c r="I433" s="22" t="n">
        <v>5.847316391</v>
      </c>
      <c r="J433" s="22" t="n">
        <v>5.847316391</v>
      </c>
      <c r="K433" s="22" t="n">
        <v>6.429206767</v>
      </c>
      <c r="L433" s="22" t="n">
        <v>6.429206767</v>
      </c>
      <c r="M433" s="22" t="n">
        <v>6.429206767</v>
      </c>
      <c r="N433" s="22" t="n">
        <v>7.011097143</v>
      </c>
      <c r="O433" s="14" t="n">
        <f aca="false">SUM(C433:N433)</f>
        <v>77.150481204</v>
      </c>
      <c r="W433" s="1"/>
      <c r="X433" s="1"/>
      <c r="Y433" s="1"/>
      <c r="Z433" s="1"/>
    </row>
    <row r="434" customFormat="false" ht="15.75" hidden="false" customHeight="true" outlineLevel="0" collapsed="false">
      <c r="A434" s="13" t="s">
        <v>510</v>
      </c>
      <c r="B434" s="42" t="n">
        <v>2031</v>
      </c>
      <c r="C434" s="22" t="n">
        <v>5944.629806</v>
      </c>
      <c r="D434" s="22" t="n">
        <v>5086.873561</v>
      </c>
      <c r="E434" s="22" t="n">
        <v>4697.921108</v>
      </c>
      <c r="F434" s="22" t="n">
        <v>5139.164163</v>
      </c>
      <c r="G434" s="22" t="n">
        <v>5178.639142</v>
      </c>
      <c r="H434" s="22" t="n">
        <v>5124.300835</v>
      </c>
      <c r="I434" s="22" t="n">
        <v>4596.796879</v>
      </c>
      <c r="J434" s="22" t="n">
        <v>4640.633717</v>
      </c>
      <c r="K434" s="22" t="n">
        <v>4688.021479</v>
      </c>
      <c r="L434" s="22" t="n">
        <v>4688.021479</v>
      </c>
      <c r="M434" s="22" t="n">
        <v>5506.302745</v>
      </c>
      <c r="N434" s="22" t="n">
        <v>6418.397296</v>
      </c>
      <c r="O434" s="14" t="n">
        <f aca="false">SUM(C434:N434)</f>
        <v>61709.70221</v>
      </c>
      <c r="W434" s="1"/>
      <c r="X434" s="1"/>
      <c r="Y434" s="1"/>
      <c r="Z434" s="1"/>
    </row>
    <row r="435" customFormat="false" ht="15.75" hidden="false" customHeight="true" outlineLevel="0" collapsed="false">
      <c r="A435" s="13" t="s">
        <v>511</v>
      </c>
      <c r="B435" s="42" t="n">
        <v>2031</v>
      </c>
      <c r="C435" s="22" t="n">
        <v>378.7293616</v>
      </c>
      <c r="D435" s="22" t="n">
        <v>378.7293616</v>
      </c>
      <c r="E435" s="22" t="n">
        <v>442.402049</v>
      </c>
      <c r="F435" s="22" t="n">
        <v>503.1615843</v>
      </c>
      <c r="G435" s="22" t="n">
        <v>508.6112824</v>
      </c>
      <c r="H435" s="22" t="n">
        <v>497.4659506</v>
      </c>
      <c r="I435" s="22" t="n">
        <v>423.1503241</v>
      </c>
      <c r="J435" s="22" t="n">
        <v>428.0976294</v>
      </c>
      <c r="K435" s="22" t="n">
        <v>438.4191122</v>
      </c>
      <c r="L435" s="22" t="n">
        <v>438.4191122</v>
      </c>
      <c r="M435" s="22" t="n">
        <v>432.9694141</v>
      </c>
      <c r="N435" s="22" t="n">
        <v>444.1147459</v>
      </c>
      <c r="O435" s="14" t="n">
        <f aca="false">SUM(C435:N435)</f>
        <v>5314.2699274</v>
      </c>
      <c r="W435" s="1"/>
      <c r="X435" s="1"/>
      <c r="Y435" s="1"/>
      <c r="Z435" s="1"/>
    </row>
    <row r="436" customFormat="false" ht="15.75" hidden="false" customHeight="true" outlineLevel="0" collapsed="false">
      <c r="A436" s="13" t="s">
        <v>512</v>
      </c>
      <c r="B436" s="42" t="n">
        <v>2031</v>
      </c>
      <c r="C436" s="22" t="n">
        <v>61.72589976</v>
      </c>
      <c r="D436" s="22" t="n">
        <v>52.79940899</v>
      </c>
      <c r="E436" s="22" t="n">
        <v>48.75166174</v>
      </c>
      <c r="F436" s="22" t="n">
        <v>53.34358641</v>
      </c>
      <c r="G436" s="22" t="n">
        <v>53.75439429</v>
      </c>
      <c r="H436" s="22" t="n">
        <v>53.18890685</v>
      </c>
      <c r="I436" s="22" t="n">
        <v>47.69928293</v>
      </c>
      <c r="J436" s="22" t="n">
        <v>48.15548378</v>
      </c>
      <c r="K436" s="22" t="n">
        <v>48.64863836</v>
      </c>
      <c r="L436" s="22" t="n">
        <v>48.64863836</v>
      </c>
      <c r="M436" s="22" t="n">
        <v>57.16432124</v>
      </c>
      <c r="N436" s="22" t="n">
        <v>66.65629946</v>
      </c>
      <c r="O436" s="14" t="n">
        <f aca="false">SUM(C436:N436)</f>
        <v>640.53652217</v>
      </c>
      <c r="W436" s="1"/>
      <c r="X436" s="1"/>
      <c r="Y436" s="1"/>
      <c r="Z436" s="1"/>
    </row>
    <row r="437" customFormat="false" ht="15.75" hidden="false" customHeight="true" outlineLevel="0" collapsed="false">
      <c r="A437" s="13" t="s">
        <v>423</v>
      </c>
      <c r="B437" s="42" t="n">
        <v>2031</v>
      </c>
      <c r="C437" s="22" t="n">
        <v>1727.069661</v>
      </c>
      <c r="D437" s="22" t="n">
        <v>1512.6306</v>
      </c>
      <c r="E437" s="22" t="n">
        <v>1458.515248</v>
      </c>
      <c r="F437" s="22" t="n">
        <v>1610.132564</v>
      </c>
      <c r="G437" s="22" t="n">
        <v>1623.453036</v>
      </c>
      <c r="H437" s="22" t="n">
        <v>1602.547924</v>
      </c>
      <c r="I437" s="22" t="n">
        <v>1420.796788</v>
      </c>
      <c r="J437" s="22" t="n">
        <v>1434.639575</v>
      </c>
      <c r="K437" s="22" t="n">
        <v>1453.218367</v>
      </c>
      <c r="L437" s="22" t="n">
        <v>1453.218367</v>
      </c>
      <c r="M437" s="22" t="n">
        <v>1654.336956</v>
      </c>
      <c r="N437" s="22" t="n">
        <v>1889.681129</v>
      </c>
      <c r="O437" s="14" t="n">
        <f aca="false">SUM(C437:N437)</f>
        <v>18840.240215</v>
      </c>
      <c r="W437" s="1"/>
      <c r="X437" s="1"/>
      <c r="Y437" s="1"/>
      <c r="Z437" s="1"/>
    </row>
    <row r="438" customFormat="false" ht="15.75" hidden="false" customHeight="true" outlineLevel="0" collapsed="false">
      <c r="A438" s="13" t="s">
        <v>424</v>
      </c>
      <c r="B438" s="42" t="n">
        <v>2031</v>
      </c>
      <c r="C438" s="22" t="n">
        <v>1643.138846</v>
      </c>
      <c r="D438" s="22" t="n">
        <v>1420.122223</v>
      </c>
      <c r="E438" s="22" t="n">
        <v>1342.691831</v>
      </c>
      <c r="F438" s="22" t="n">
        <v>1480.617399</v>
      </c>
      <c r="G438" s="22" t="n">
        <v>1492.217347</v>
      </c>
      <c r="H438" s="22" t="n">
        <v>1474.453143</v>
      </c>
      <c r="I438" s="22" t="n">
        <v>1310.826958</v>
      </c>
      <c r="J438" s="22" t="n">
        <v>1322.702655</v>
      </c>
      <c r="K438" s="22" t="n">
        <v>1338.26099</v>
      </c>
      <c r="L438" s="22" t="n">
        <v>1338.26099</v>
      </c>
      <c r="M438" s="22" t="n">
        <v>1549.677666</v>
      </c>
      <c r="N438" s="22" t="n">
        <v>1790.458493</v>
      </c>
      <c r="O438" s="14" t="n">
        <f aca="false">SUM(C438:N438)</f>
        <v>17503.428541</v>
      </c>
      <c r="W438" s="1"/>
      <c r="X438" s="1"/>
      <c r="Y438" s="1"/>
      <c r="Z438" s="1"/>
    </row>
    <row r="439" customFormat="false" ht="15.75" hidden="false" customHeight="true" outlineLevel="0" collapsed="false">
      <c r="A439" s="13" t="s">
        <v>513</v>
      </c>
      <c r="B439" s="42" t="n">
        <v>2031</v>
      </c>
      <c r="C439" s="22" t="n">
        <v>1643.138846</v>
      </c>
      <c r="D439" s="22" t="n">
        <v>1420.122223</v>
      </c>
      <c r="E439" s="22" t="n">
        <v>1342.691831</v>
      </c>
      <c r="F439" s="22" t="n">
        <v>1480.617399</v>
      </c>
      <c r="G439" s="22" t="n">
        <v>1492.217347</v>
      </c>
      <c r="H439" s="22" t="n">
        <v>1474.453143</v>
      </c>
      <c r="I439" s="22" t="n">
        <v>1310.826958</v>
      </c>
      <c r="J439" s="22" t="n">
        <v>1322.702655</v>
      </c>
      <c r="K439" s="22" t="n">
        <v>1338.26099</v>
      </c>
      <c r="L439" s="22" t="n">
        <v>1338.26099</v>
      </c>
      <c r="M439" s="22" t="n">
        <v>1549.677666</v>
      </c>
      <c r="N439" s="22" t="n">
        <v>1790.458493</v>
      </c>
      <c r="O439" s="14" t="n">
        <f aca="false">SUM(C439:N439)</f>
        <v>17503.428541</v>
      </c>
      <c r="W439" s="1"/>
      <c r="X439" s="1"/>
      <c r="Y439" s="1"/>
      <c r="Z439" s="1"/>
    </row>
    <row r="440" customFormat="false" ht="15.75" hidden="false" customHeight="true" outlineLevel="0" collapsed="false">
      <c r="A440" s="13" t="s">
        <v>514</v>
      </c>
      <c r="B440" s="42" t="n">
        <v>2031</v>
      </c>
      <c r="C440" s="22" t="n">
        <v>989.318378</v>
      </c>
      <c r="D440" s="22" t="n">
        <v>860.6549414</v>
      </c>
      <c r="E440" s="22" t="n">
        <v>821.8282887</v>
      </c>
      <c r="F440" s="22" t="n">
        <v>906.8736744</v>
      </c>
      <c r="G440" s="22" t="n">
        <v>914.1736862</v>
      </c>
      <c r="H440" s="22" t="n">
        <v>902.836387</v>
      </c>
      <c r="I440" s="22" t="n">
        <v>801.4438839</v>
      </c>
      <c r="J440" s="22" t="n">
        <v>808.9623155</v>
      </c>
      <c r="K440" s="22" t="n">
        <v>818.9659902</v>
      </c>
      <c r="L440" s="22" t="n">
        <v>818.9659902</v>
      </c>
      <c r="M440" s="22" t="n">
        <v>940.3294151</v>
      </c>
      <c r="N440" s="22" t="n">
        <v>1080.330151</v>
      </c>
      <c r="O440" s="14" t="n">
        <f aca="false">SUM(C440:N440)</f>
        <v>10664.6831016</v>
      </c>
      <c r="W440" s="1"/>
      <c r="X440" s="1"/>
      <c r="Y440" s="1"/>
      <c r="Z440" s="1"/>
    </row>
    <row r="441" customFormat="false" ht="15.75" hidden="false" customHeight="true" outlineLevel="0" collapsed="false">
      <c r="A441" s="13" t="s">
        <v>515</v>
      </c>
      <c r="B441" s="42" t="n">
        <v>2031</v>
      </c>
      <c r="C441" s="22" t="n">
        <v>5954.005465</v>
      </c>
      <c r="D441" s="22" t="n">
        <v>5096.249221</v>
      </c>
      <c r="E441" s="22" t="n">
        <v>4707.296767</v>
      </c>
      <c r="F441" s="22" t="n">
        <v>5148.539823</v>
      </c>
      <c r="G441" s="22" t="n">
        <v>5188.014801</v>
      </c>
      <c r="H441" s="22" t="n">
        <v>5133.676495</v>
      </c>
      <c r="I441" s="22" t="n">
        <v>4606.172538</v>
      </c>
      <c r="J441" s="22" t="n">
        <v>4650.009376</v>
      </c>
      <c r="K441" s="22" t="n">
        <v>4697.397139</v>
      </c>
      <c r="L441" s="22" t="n">
        <v>4697.397139</v>
      </c>
      <c r="M441" s="22" t="n">
        <v>5515.678405</v>
      </c>
      <c r="N441" s="22" t="n">
        <v>6427.772956</v>
      </c>
      <c r="O441" s="14" t="n">
        <f aca="false">SUM(C441:N441)</f>
        <v>61822.210125</v>
      </c>
      <c r="W441" s="1"/>
      <c r="X441" s="1"/>
      <c r="Y441" s="1"/>
      <c r="Z441" s="1"/>
    </row>
    <row r="442" customFormat="false" ht="15.75" hidden="false" customHeight="true" outlineLevel="0" collapsed="false">
      <c r="A442" s="13" t="s">
        <v>516</v>
      </c>
      <c r="B442" s="42" t="n">
        <v>2031</v>
      </c>
      <c r="C442" s="22" t="n">
        <v>5944.629806</v>
      </c>
      <c r="D442" s="22" t="n">
        <v>5086.873561</v>
      </c>
      <c r="E442" s="22" t="n">
        <v>4697.921108</v>
      </c>
      <c r="F442" s="22" t="n">
        <v>5139.164163</v>
      </c>
      <c r="G442" s="22" t="n">
        <v>5178.639142</v>
      </c>
      <c r="H442" s="22" t="n">
        <v>5124.300835</v>
      </c>
      <c r="I442" s="22" t="n">
        <v>4596.796879</v>
      </c>
      <c r="J442" s="22" t="n">
        <v>4640.633717</v>
      </c>
      <c r="K442" s="22" t="n">
        <v>4688.021479</v>
      </c>
      <c r="L442" s="22" t="n">
        <v>4688.021479</v>
      </c>
      <c r="M442" s="22" t="n">
        <v>5506.302745</v>
      </c>
      <c r="N442" s="22" t="n">
        <v>6418.397296</v>
      </c>
      <c r="O442" s="14" t="n">
        <f aca="false">SUM(C442:N442)</f>
        <v>61709.70221</v>
      </c>
      <c r="W442" s="1"/>
      <c r="X442" s="1"/>
      <c r="Y442" s="1"/>
      <c r="Z442" s="1"/>
    </row>
    <row r="443" customFormat="false" ht="15.75" hidden="false" customHeight="true" outlineLevel="0" collapsed="false">
      <c r="A443" s="13" t="s">
        <v>517</v>
      </c>
      <c r="B443" s="42" t="n">
        <v>2031</v>
      </c>
      <c r="C443" s="22" t="n">
        <v>5944.629806</v>
      </c>
      <c r="D443" s="22" t="n">
        <v>5086.873561</v>
      </c>
      <c r="E443" s="22" t="n">
        <v>4697.921108</v>
      </c>
      <c r="F443" s="22" t="n">
        <v>5139.164163</v>
      </c>
      <c r="G443" s="22" t="n">
        <v>5178.639142</v>
      </c>
      <c r="H443" s="22" t="n">
        <v>5124.300835</v>
      </c>
      <c r="I443" s="22" t="n">
        <v>4596.796879</v>
      </c>
      <c r="J443" s="22" t="n">
        <v>4640.633717</v>
      </c>
      <c r="K443" s="22" t="n">
        <v>4688.021479</v>
      </c>
      <c r="L443" s="22" t="n">
        <v>4688.021479</v>
      </c>
      <c r="M443" s="22" t="n">
        <v>5506.302745</v>
      </c>
      <c r="N443" s="22" t="n">
        <v>6418.397296</v>
      </c>
      <c r="O443" s="14" t="n">
        <f aca="false">SUM(C443:N443)</f>
        <v>61709.70221</v>
      </c>
      <c r="W443" s="1"/>
      <c r="X443" s="1"/>
      <c r="Y443" s="1"/>
      <c r="Z443" s="1"/>
    </row>
    <row r="444" customFormat="false" ht="15.75" hidden="false" customHeight="true" outlineLevel="0" collapsed="false">
      <c r="A444" s="13" t="s">
        <v>518</v>
      </c>
      <c r="B444" s="42" t="n">
        <v>2031</v>
      </c>
      <c r="C444" s="22" t="n">
        <v>378.7293616</v>
      </c>
      <c r="D444" s="22" t="n">
        <v>378.7293616</v>
      </c>
      <c r="E444" s="22" t="n">
        <v>442.402049</v>
      </c>
      <c r="F444" s="22" t="n">
        <v>503.1615843</v>
      </c>
      <c r="G444" s="22" t="n">
        <v>508.6112824</v>
      </c>
      <c r="H444" s="22" t="n">
        <v>497.4659506</v>
      </c>
      <c r="I444" s="22" t="n">
        <v>423.1503241</v>
      </c>
      <c r="J444" s="22" t="n">
        <v>428.0976294</v>
      </c>
      <c r="K444" s="22" t="n">
        <v>438.4191122</v>
      </c>
      <c r="L444" s="22" t="n">
        <v>438.4191122</v>
      </c>
      <c r="M444" s="22" t="n">
        <v>432.9694141</v>
      </c>
      <c r="N444" s="22" t="n">
        <v>444.1147459</v>
      </c>
      <c r="O444" s="14" t="n">
        <f aca="false">SUM(C444:N444)</f>
        <v>5314.2699274</v>
      </c>
      <c r="W444" s="1"/>
      <c r="X444" s="1"/>
      <c r="Y444" s="1"/>
      <c r="Z444" s="1"/>
    </row>
    <row r="445" customFormat="false" ht="15.75" hidden="false" customHeight="true" outlineLevel="0" collapsed="false">
      <c r="A445" s="13" t="s">
        <v>519</v>
      </c>
      <c r="B445" s="42" t="n">
        <v>2031</v>
      </c>
      <c r="C445" s="22" t="n">
        <v>253.591252</v>
      </c>
      <c r="D445" s="22" t="n">
        <v>253.591252</v>
      </c>
      <c r="E445" s="22" t="n">
        <v>315.2040909</v>
      </c>
      <c r="F445" s="22" t="n">
        <v>375.5302635</v>
      </c>
      <c r="G445" s="22" t="n">
        <v>379.0050412</v>
      </c>
      <c r="H445" s="22" t="n">
        <v>369.5508064</v>
      </c>
      <c r="I445" s="22" t="n">
        <v>300.7154002</v>
      </c>
      <c r="J445" s="22" t="n">
        <v>301.9585103</v>
      </c>
      <c r="K445" s="22" t="n">
        <v>310.3760534</v>
      </c>
      <c r="L445" s="22" t="n">
        <v>310.3760534</v>
      </c>
      <c r="M445" s="22" t="n">
        <v>306.9012756</v>
      </c>
      <c r="N445" s="22" t="n">
        <v>316.3555105</v>
      </c>
      <c r="O445" s="14" t="n">
        <f aca="false">SUM(C445:N445)</f>
        <v>3793.1555094</v>
      </c>
      <c r="W445" s="1"/>
      <c r="X445" s="1"/>
      <c r="Y445" s="1"/>
      <c r="Z445" s="1"/>
    </row>
    <row r="446" customFormat="false" ht="15.75" hidden="false" customHeight="true" outlineLevel="0" collapsed="false">
      <c r="A446" s="13" t="s">
        <v>520</v>
      </c>
      <c r="B446" s="42" t="n">
        <v>2031</v>
      </c>
      <c r="C446" s="22" t="n">
        <v>6595.455854</v>
      </c>
      <c r="D446" s="22" t="n">
        <v>5737.699609</v>
      </c>
      <c r="E446" s="22" t="n">
        <v>5478.855258</v>
      </c>
      <c r="F446" s="22" t="n">
        <v>6045.824496</v>
      </c>
      <c r="G446" s="22" t="n">
        <v>6094.491241</v>
      </c>
      <c r="H446" s="22" t="n">
        <v>6018.909247</v>
      </c>
      <c r="I446" s="22" t="n">
        <v>5342.959226</v>
      </c>
      <c r="J446" s="22" t="n">
        <v>5393.082103</v>
      </c>
      <c r="K446" s="22" t="n">
        <v>5459.773268</v>
      </c>
      <c r="L446" s="22" t="n">
        <v>5459.773268</v>
      </c>
      <c r="M446" s="22" t="n">
        <v>6268.862767</v>
      </c>
      <c r="N446" s="22" t="n">
        <v>7202.201007</v>
      </c>
      <c r="O446" s="14" t="n">
        <f aca="false">SUM(C446:N446)</f>
        <v>71097.887344</v>
      </c>
      <c r="W446" s="1"/>
      <c r="X446" s="1"/>
      <c r="Y446" s="1"/>
      <c r="Z446" s="1"/>
    </row>
    <row r="447" customFormat="false" ht="15.75" hidden="false" customHeight="true" outlineLevel="0" collapsed="false">
      <c r="A447" s="13" t="s">
        <v>521</v>
      </c>
      <c r="B447" s="42" t="n">
        <v>2031</v>
      </c>
      <c r="C447" s="22" t="n">
        <v>6595.455854</v>
      </c>
      <c r="D447" s="22" t="n">
        <v>5737.699609</v>
      </c>
      <c r="E447" s="22" t="n">
        <v>5478.855258</v>
      </c>
      <c r="F447" s="22" t="n">
        <v>6045.824496</v>
      </c>
      <c r="G447" s="22" t="n">
        <v>6094.491241</v>
      </c>
      <c r="H447" s="22" t="n">
        <v>6018.909247</v>
      </c>
      <c r="I447" s="22" t="n">
        <v>5342.959226</v>
      </c>
      <c r="J447" s="22" t="n">
        <v>5393.082103</v>
      </c>
      <c r="K447" s="22" t="n">
        <v>5459.773268</v>
      </c>
      <c r="L447" s="22" t="n">
        <v>5459.773268</v>
      </c>
      <c r="M447" s="22" t="n">
        <v>6268.862767</v>
      </c>
      <c r="N447" s="22" t="n">
        <v>7202.201007</v>
      </c>
      <c r="O447" s="14" t="n">
        <f aca="false">SUM(C447:N447)</f>
        <v>71097.887344</v>
      </c>
      <c r="W447" s="1"/>
      <c r="X447" s="1"/>
      <c r="Y447" s="1"/>
      <c r="Z447" s="1"/>
    </row>
    <row r="448" customFormat="false" ht="15.75" hidden="false" customHeight="true" outlineLevel="0" collapsed="false">
      <c r="A448" s="13" t="s">
        <v>522</v>
      </c>
      <c r="B448" s="42" t="n">
        <v>2031</v>
      </c>
      <c r="C448" s="22" t="n">
        <v>521.4679903</v>
      </c>
      <c r="D448" s="22" t="n">
        <v>452.8474907</v>
      </c>
      <c r="E448" s="22" t="n">
        <v>430.5324172</v>
      </c>
      <c r="F448" s="22" t="n">
        <v>474.3431313</v>
      </c>
      <c r="G448" s="22" t="n">
        <v>478.147374</v>
      </c>
      <c r="H448" s="22" t="n">
        <v>472.3155217</v>
      </c>
      <c r="I448" s="22" t="n">
        <v>420.0045305</v>
      </c>
      <c r="J448" s="22" t="n">
        <v>423.982486</v>
      </c>
      <c r="K448" s="22" t="n">
        <v>429.1296538</v>
      </c>
      <c r="L448" s="22" t="n">
        <v>429.1296538</v>
      </c>
      <c r="M448" s="22" t="n">
        <v>493.9459106</v>
      </c>
      <c r="N448" s="22" t="n">
        <v>568.3982625</v>
      </c>
      <c r="O448" s="14" t="n">
        <f aca="false">SUM(C448:N448)</f>
        <v>5594.2444224</v>
      </c>
      <c r="W448" s="1"/>
      <c r="X448" s="1"/>
      <c r="Y448" s="1"/>
      <c r="Z448" s="1"/>
    </row>
    <row r="449" customFormat="false" ht="15.75" hidden="false" customHeight="true" outlineLevel="0" collapsed="false">
      <c r="A449" s="13" t="s">
        <v>523</v>
      </c>
      <c r="B449" s="42" t="n">
        <v>2031</v>
      </c>
      <c r="C449" s="22" t="n">
        <v>173.0879831</v>
      </c>
      <c r="D449" s="22" t="n">
        <v>173.0879831</v>
      </c>
      <c r="E449" s="22" t="n">
        <v>188.8045442</v>
      </c>
      <c r="F449" s="22" t="n">
        <v>210.313351</v>
      </c>
      <c r="G449" s="22" t="n">
        <v>213.7033831</v>
      </c>
      <c r="H449" s="22" t="n">
        <v>203.5377012</v>
      </c>
      <c r="I449" s="22" t="n">
        <v>177.9469491</v>
      </c>
      <c r="J449" s="22" t="n">
        <v>181.0454903</v>
      </c>
      <c r="K449" s="22" t="n">
        <v>189.6162618</v>
      </c>
      <c r="L449" s="22" t="n">
        <v>189.6162618</v>
      </c>
      <c r="M449" s="22" t="n">
        <v>186.2262296</v>
      </c>
      <c r="N449" s="22" t="n">
        <v>196.3919115</v>
      </c>
      <c r="O449" s="14" t="n">
        <f aca="false">SUM(C449:N449)</f>
        <v>2283.3780498</v>
      </c>
      <c r="W449" s="1"/>
      <c r="X449" s="1"/>
      <c r="Y449" s="1"/>
      <c r="Z449" s="1"/>
    </row>
    <row r="450" customFormat="false" ht="15.75" hidden="false" customHeight="true" outlineLevel="0" collapsed="false">
      <c r="A450" s="13" t="s">
        <v>503</v>
      </c>
      <c r="B450" s="42" t="n">
        <v>2032</v>
      </c>
      <c r="C450" s="22" t="n">
        <v>8216.904819</v>
      </c>
      <c r="D450" s="22" t="n">
        <v>7139.556426</v>
      </c>
      <c r="E450" s="22" t="n">
        <v>6796.000625</v>
      </c>
      <c r="F450" s="22" t="n">
        <v>7490.72294</v>
      </c>
      <c r="G450" s="22" t="n">
        <v>7550.538647</v>
      </c>
      <c r="H450" s="22" t="n">
        <v>7457.683065</v>
      </c>
      <c r="I450" s="22" t="n">
        <v>6629.139061</v>
      </c>
      <c r="J450" s="22" t="n">
        <v>6690.850599</v>
      </c>
      <c r="K450" s="22" t="n">
        <v>6772.77378</v>
      </c>
      <c r="L450" s="22" t="n">
        <v>6772.77378</v>
      </c>
      <c r="M450" s="22" t="n">
        <v>7790.306466</v>
      </c>
      <c r="N450" s="22" t="n">
        <v>8960.51044</v>
      </c>
      <c r="O450" s="14" t="n">
        <f aca="false">SUM(C450:N450)</f>
        <v>88267.760648</v>
      </c>
      <c r="W450" s="1"/>
      <c r="X450" s="1"/>
      <c r="Y450" s="1"/>
      <c r="Z450" s="1"/>
    </row>
    <row r="451" customFormat="false" ht="15.75" hidden="false" customHeight="true" outlineLevel="0" collapsed="false">
      <c r="A451" s="13" t="s">
        <v>504</v>
      </c>
      <c r="B451" s="42" t="n">
        <v>2032</v>
      </c>
      <c r="C451" s="22" t="n">
        <v>8216.904819</v>
      </c>
      <c r="D451" s="22" t="n">
        <v>7139.556426</v>
      </c>
      <c r="E451" s="22" t="n">
        <v>6796.000625</v>
      </c>
      <c r="F451" s="22" t="n">
        <v>7490.72294</v>
      </c>
      <c r="G451" s="22" t="n">
        <v>7550.538647</v>
      </c>
      <c r="H451" s="22" t="n">
        <v>7457.683065</v>
      </c>
      <c r="I451" s="22" t="n">
        <v>6629.139061</v>
      </c>
      <c r="J451" s="22" t="n">
        <v>6690.850599</v>
      </c>
      <c r="K451" s="22" t="n">
        <v>6772.77378</v>
      </c>
      <c r="L451" s="22" t="n">
        <v>6772.77378</v>
      </c>
      <c r="M451" s="22" t="n">
        <v>7790.306466</v>
      </c>
      <c r="N451" s="22" t="n">
        <v>8960.51044</v>
      </c>
      <c r="O451" s="14" t="n">
        <f aca="false">SUM(C451:N451)</f>
        <v>88267.760648</v>
      </c>
      <c r="W451" s="1"/>
      <c r="X451" s="1"/>
      <c r="Y451" s="1"/>
      <c r="Z451" s="1"/>
    </row>
    <row r="452" customFormat="false" ht="15.75" hidden="false" customHeight="true" outlineLevel="0" collapsed="false">
      <c r="A452" s="13" t="s">
        <v>505</v>
      </c>
      <c r="B452" s="42" t="n">
        <v>2032</v>
      </c>
      <c r="C452" s="22" t="n">
        <v>6327.223305</v>
      </c>
      <c r="D452" s="22" t="n">
        <v>5406.09043</v>
      </c>
      <c r="E452" s="22" t="n">
        <v>4976.119804</v>
      </c>
      <c r="F452" s="22" t="n">
        <v>5438.38529</v>
      </c>
      <c r="G452" s="22" t="n">
        <v>5479.858224</v>
      </c>
      <c r="H452" s="22" t="n">
        <v>5422.837868</v>
      </c>
      <c r="I452" s="22" t="n">
        <v>4869.995047</v>
      </c>
      <c r="J452" s="22" t="n">
        <v>4916.128196</v>
      </c>
      <c r="K452" s="22" t="n">
        <v>4965.853239</v>
      </c>
      <c r="L452" s="22" t="n">
        <v>4965.853239</v>
      </c>
      <c r="M452" s="22" t="n">
        <v>5845.51318</v>
      </c>
      <c r="N452" s="22" t="n">
        <v>6823.666412</v>
      </c>
      <c r="O452" s="14" t="n">
        <f aca="false">SUM(C452:N452)</f>
        <v>65437.524234</v>
      </c>
      <c r="W452" s="1"/>
      <c r="X452" s="1"/>
      <c r="Y452" s="1"/>
      <c r="Z452" s="1"/>
    </row>
    <row r="453" customFormat="false" ht="15.75" hidden="false" customHeight="true" outlineLevel="0" collapsed="false">
      <c r="A453" s="13" t="s">
        <v>506</v>
      </c>
      <c r="B453" s="42" t="n">
        <v>2032</v>
      </c>
      <c r="C453" s="22" t="n">
        <v>719.172942</v>
      </c>
      <c r="D453" s="22" t="n">
        <v>616.8248447</v>
      </c>
      <c r="E453" s="22" t="n">
        <v>569.0503307</v>
      </c>
      <c r="F453" s="22" t="n">
        <v>620.4131625</v>
      </c>
      <c r="G453" s="22" t="n">
        <v>625.0212663</v>
      </c>
      <c r="H453" s="22" t="n">
        <v>618.6856712</v>
      </c>
      <c r="I453" s="22" t="n">
        <v>557.2586911</v>
      </c>
      <c r="J453" s="22" t="n">
        <v>562.3845965</v>
      </c>
      <c r="K453" s="22" t="n">
        <v>567.9096013</v>
      </c>
      <c r="L453" s="22" t="n">
        <v>567.9096013</v>
      </c>
      <c r="M453" s="22" t="n">
        <v>665.6495948</v>
      </c>
      <c r="N453" s="22" t="n">
        <v>774.3332872</v>
      </c>
      <c r="O453" s="14" t="n">
        <f aca="false">SUM(C453:N453)</f>
        <v>7464.6135896</v>
      </c>
      <c r="W453" s="1"/>
      <c r="X453" s="1"/>
      <c r="Y453" s="1"/>
      <c r="Z453" s="1"/>
    </row>
    <row r="454" customFormat="false" ht="15.75" hidden="false" customHeight="true" outlineLevel="0" collapsed="false">
      <c r="A454" s="13" t="s">
        <v>507</v>
      </c>
      <c r="B454" s="42" t="n">
        <v>2032</v>
      </c>
      <c r="C454" s="22" t="n">
        <v>303.8571428</v>
      </c>
      <c r="D454" s="22" t="n">
        <v>303.8571428</v>
      </c>
      <c r="E454" s="22" t="n">
        <v>345.0276452</v>
      </c>
      <c r="F454" s="22" t="n">
        <v>383.3852143</v>
      </c>
      <c r="G454" s="22" t="n">
        <v>387.8744652</v>
      </c>
      <c r="H454" s="22" t="n">
        <v>380.0681524</v>
      </c>
      <c r="I454" s="22" t="n">
        <v>330.4712732</v>
      </c>
      <c r="J454" s="22" t="n">
        <v>335.5805881</v>
      </c>
      <c r="K454" s="22" t="n">
        <v>342.9848062</v>
      </c>
      <c r="L454" s="22" t="n">
        <v>342.9848062</v>
      </c>
      <c r="M454" s="22" t="n">
        <v>338.4955554</v>
      </c>
      <c r="N454" s="22" t="n">
        <v>346.3018681</v>
      </c>
      <c r="O454" s="14" t="n">
        <f aca="false">SUM(C454:N454)</f>
        <v>4140.8886599</v>
      </c>
      <c r="W454" s="1"/>
      <c r="X454" s="1"/>
      <c r="Y454" s="1"/>
      <c r="Z454" s="1"/>
    </row>
    <row r="455" customFormat="false" ht="15.75" hidden="false" customHeight="true" outlineLevel="0" collapsed="false">
      <c r="A455" s="13" t="s">
        <v>508</v>
      </c>
      <c r="B455" s="42" t="n">
        <v>2032</v>
      </c>
      <c r="C455" s="22" t="n">
        <v>275.652936</v>
      </c>
      <c r="D455" s="22" t="n">
        <v>275.652936</v>
      </c>
      <c r="E455" s="22" t="n">
        <v>347.238241</v>
      </c>
      <c r="F455" s="22" t="n">
        <v>416.1594926</v>
      </c>
      <c r="G455" s="22" t="n">
        <v>420.150936</v>
      </c>
      <c r="H455" s="22" t="n">
        <v>410.532458</v>
      </c>
      <c r="I455" s="22" t="n">
        <v>331.8794187</v>
      </c>
      <c r="J455" s="22" t="n">
        <v>333.3201185</v>
      </c>
      <c r="K455" s="22" t="n">
        <v>341.740275</v>
      </c>
      <c r="L455" s="22" t="n">
        <v>341.740275</v>
      </c>
      <c r="M455" s="22" t="n">
        <v>337.7488317</v>
      </c>
      <c r="N455" s="22" t="n">
        <v>347.3673096</v>
      </c>
      <c r="O455" s="14" t="n">
        <f aca="false">SUM(C455:N455)</f>
        <v>4179.1832281</v>
      </c>
      <c r="W455" s="1"/>
      <c r="X455" s="1"/>
      <c r="Y455" s="1"/>
      <c r="Z455" s="1"/>
    </row>
    <row r="456" customFormat="false" ht="15.75" hidden="false" customHeight="true" outlineLevel="0" collapsed="false">
      <c r="A456" s="13" t="s">
        <v>509</v>
      </c>
      <c r="B456" s="42" t="n">
        <v>2032</v>
      </c>
      <c r="C456" s="22" t="n">
        <v>8.788756136</v>
      </c>
      <c r="D456" s="22" t="n">
        <v>8.788756136</v>
      </c>
      <c r="E456" s="22" t="n">
        <v>8.059914567</v>
      </c>
      <c r="F456" s="22" t="n">
        <v>8.059914567</v>
      </c>
      <c r="G456" s="22" t="n">
        <v>8.059914567</v>
      </c>
      <c r="H456" s="22" t="n">
        <v>7.331072999</v>
      </c>
      <c r="I456" s="22" t="n">
        <v>7.331072999</v>
      </c>
      <c r="J456" s="22" t="n">
        <v>7.331072999</v>
      </c>
      <c r="K456" s="22" t="n">
        <v>8.059914567</v>
      </c>
      <c r="L456" s="22" t="n">
        <v>8.059914567</v>
      </c>
      <c r="M456" s="22" t="n">
        <v>8.059914567</v>
      </c>
      <c r="N456" s="22" t="n">
        <v>8.788756136</v>
      </c>
      <c r="O456" s="14" t="n">
        <f aca="false">SUM(C456:N456)</f>
        <v>96.718974807</v>
      </c>
      <c r="W456" s="1"/>
      <c r="X456" s="1"/>
      <c r="Y456" s="1"/>
      <c r="Z456" s="1"/>
    </row>
    <row r="457" customFormat="false" ht="15.75" hidden="false" customHeight="true" outlineLevel="0" collapsed="false">
      <c r="A457" s="13" t="s">
        <v>510</v>
      </c>
      <c r="B457" s="42" t="n">
        <v>2032</v>
      </c>
      <c r="C457" s="22" t="n">
        <v>7417.259207</v>
      </c>
      <c r="D457" s="22" t="n">
        <v>6339.910815</v>
      </c>
      <c r="E457" s="22" t="n">
        <v>5837.021194</v>
      </c>
      <c r="F457" s="22" t="n">
        <v>6377.682582</v>
      </c>
      <c r="G457" s="22" t="n">
        <v>6426.188938</v>
      </c>
      <c r="H457" s="22" t="n">
        <v>6359.498462</v>
      </c>
      <c r="I457" s="22" t="n">
        <v>5712.898672</v>
      </c>
      <c r="J457" s="22" t="n">
        <v>5766.855571</v>
      </c>
      <c r="K457" s="22" t="n">
        <v>5825.013516</v>
      </c>
      <c r="L457" s="22" t="n">
        <v>5825.013516</v>
      </c>
      <c r="M457" s="22" t="n">
        <v>6853.855552</v>
      </c>
      <c r="N457" s="22" t="n">
        <v>7997.89442</v>
      </c>
      <c r="O457" s="14" t="n">
        <f aca="false">SUM(C457:N457)</f>
        <v>76739.092445</v>
      </c>
      <c r="W457" s="1"/>
      <c r="X457" s="1"/>
      <c r="Y457" s="1"/>
      <c r="Z457" s="1"/>
    </row>
    <row r="458" customFormat="false" ht="15.75" hidden="false" customHeight="true" outlineLevel="0" collapsed="false">
      <c r="A458" s="13" t="s">
        <v>511</v>
      </c>
      <c r="B458" s="42" t="n">
        <v>2032</v>
      </c>
      <c r="C458" s="22" t="n">
        <v>465.0439568</v>
      </c>
      <c r="D458" s="22" t="n">
        <v>465.0439568</v>
      </c>
      <c r="E458" s="22" t="n">
        <v>543.0761422</v>
      </c>
      <c r="F458" s="22" t="n">
        <v>617.5578923</v>
      </c>
      <c r="G458" s="22" t="n">
        <v>624.2585668</v>
      </c>
      <c r="H458" s="22" t="n">
        <v>610.5528947</v>
      </c>
      <c r="I458" s="22" t="n">
        <v>519.4245618</v>
      </c>
      <c r="J458" s="22" t="n">
        <v>525.5157116</v>
      </c>
      <c r="K458" s="22" t="n">
        <v>538.2051424</v>
      </c>
      <c r="L458" s="22" t="n">
        <v>538.2051424</v>
      </c>
      <c r="M458" s="22" t="n">
        <v>531.5044679</v>
      </c>
      <c r="N458" s="22" t="n">
        <v>545.21014</v>
      </c>
      <c r="O458" s="14" t="n">
        <f aca="false">SUM(C458:N458)</f>
        <v>6523.5985757</v>
      </c>
      <c r="W458" s="1"/>
      <c r="X458" s="1"/>
      <c r="Y458" s="1"/>
      <c r="Z458" s="1"/>
    </row>
    <row r="459" customFormat="false" ht="15.75" hidden="false" customHeight="true" outlineLevel="0" collapsed="false">
      <c r="A459" s="13" t="s">
        <v>512</v>
      </c>
      <c r="B459" s="42" t="n">
        <v>2032</v>
      </c>
      <c r="C459" s="22" t="n">
        <v>77.01297831</v>
      </c>
      <c r="D459" s="22" t="n">
        <v>65.80123775</v>
      </c>
      <c r="E459" s="22" t="n">
        <v>60.5677701</v>
      </c>
      <c r="F459" s="22" t="n">
        <v>66.19432066</v>
      </c>
      <c r="G459" s="22" t="n">
        <v>66.69911622</v>
      </c>
      <c r="H459" s="22" t="n">
        <v>66.00508231</v>
      </c>
      <c r="I459" s="22" t="n">
        <v>59.27605283</v>
      </c>
      <c r="J459" s="22" t="n">
        <v>59.83757105</v>
      </c>
      <c r="K459" s="22" t="n">
        <v>60.44280869</v>
      </c>
      <c r="L459" s="22" t="n">
        <v>60.44280869</v>
      </c>
      <c r="M459" s="22" t="n">
        <v>71.1497537</v>
      </c>
      <c r="N459" s="22" t="n">
        <v>83.05552816</v>
      </c>
      <c r="O459" s="14" t="n">
        <f aca="false">SUM(C459:N459)</f>
        <v>796.48502847</v>
      </c>
      <c r="W459" s="1"/>
      <c r="X459" s="1"/>
      <c r="Y459" s="1"/>
      <c r="Z459" s="1"/>
    </row>
    <row r="460" customFormat="false" ht="15.75" hidden="false" customHeight="true" outlineLevel="0" collapsed="false">
      <c r="A460" s="13" t="s">
        <v>423</v>
      </c>
      <c r="B460" s="42" t="n">
        <v>2032</v>
      </c>
      <c r="C460" s="22" t="n">
        <v>2150.181092</v>
      </c>
      <c r="D460" s="22" t="n">
        <v>1880.843994</v>
      </c>
      <c r="E460" s="22" t="n">
        <v>1807.956255</v>
      </c>
      <c r="F460" s="22" t="n">
        <v>1993.74975</v>
      </c>
      <c r="G460" s="22" t="n">
        <v>2010.121335</v>
      </c>
      <c r="H460" s="22" t="n">
        <v>1984.442288</v>
      </c>
      <c r="I460" s="22" t="n">
        <v>1761.644115</v>
      </c>
      <c r="J460" s="22" t="n">
        <v>1778.685467</v>
      </c>
      <c r="K460" s="22" t="n">
        <v>1801.504437</v>
      </c>
      <c r="L460" s="22" t="n">
        <v>1801.504437</v>
      </c>
      <c r="M460" s="22" t="n">
        <v>2054.46995</v>
      </c>
      <c r="N460" s="22" t="n">
        <v>2349.486095</v>
      </c>
      <c r="O460" s="14" t="n">
        <f aca="false">SUM(C460:N460)</f>
        <v>23374.589215</v>
      </c>
      <c r="W460" s="1"/>
      <c r="X460" s="1"/>
      <c r="Y460" s="1"/>
      <c r="Z460" s="1"/>
    </row>
    <row r="461" customFormat="false" ht="15.75" hidden="false" customHeight="true" outlineLevel="0" collapsed="false">
      <c r="A461" s="13" t="s">
        <v>424</v>
      </c>
      <c r="B461" s="42" t="n">
        <v>2032</v>
      </c>
      <c r="C461" s="22" t="n">
        <v>2048.436391</v>
      </c>
      <c r="D461" s="22" t="n">
        <v>1768.325809</v>
      </c>
      <c r="E461" s="22" t="n">
        <v>1666.57362</v>
      </c>
      <c r="F461" s="22" t="n">
        <v>1835.566715</v>
      </c>
      <c r="G461" s="22" t="n">
        <v>1849.824324</v>
      </c>
      <c r="H461" s="22" t="n">
        <v>1827.997816</v>
      </c>
      <c r="I461" s="22" t="n">
        <v>1627.447628</v>
      </c>
      <c r="J461" s="22" t="n">
        <v>1642.070524</v>
      </c>
      <c r="K461" s="22" t="n">
        <v>1661.184421</v>
      </c>
      <c r="L461" s="22" t="n">
        <v>1661.184421</v>
      </c>
      <c r="M461" s="22" t="n">
        <v>1927.037394</v>
      </c>
      <c r="N461" s="22" t="n">
        <v>2228.974484</v>
      </c>
      <c r="O461" s="14" t="n">
        <f aca="false">SUM(C461:N461)</f>
        <v>21744.623547</v>
      </c>
      <c r="W461" s="1"/>
      <c r="X461" s="1"/>
      <c r="Y461" s="1"/>
      <c r="Z461" s="1"/>
    </row>
    <row r="462" customFormat="false" ht="15.75" hidden="false" customHeight="true" outlineLevel="0" collapsed="false">
      <c r="A462" s="13" t="s">
        <v>513</v>
      </c>
      <c r="B462" s="42" t="n">
        <v>2032</v>
      </c>
      <c r="C462" s="22" t="n">
        <v>2048.436391</v>
      </c>
      <c r="D462" s="22" t="n">
        <v>1768.325809</v>
      </c>
      <c r="E462" s="22" t="n">
        <v>1666.57362</v>
      </c>
      <c r="F462" s="22" t="n">
        <v>1835.566715</v>
      </c>
      <c r="G462" s="22" t="n">
        <v>1849.824324</v>
      </c>
      <c r="H462" s="22" t="n">
        <v>1827.997816</v>
      </c>
      <c r="I462" s="22" t="n">
        <v>1627.447628</v>
      </c>
      <c r="J462" s="22" t="n">
        <v>1642.070524</v>
      </c>
      <c r="K462" s="22" t="n">
        <v>1661.184421</v>
      </c>
      <c r="L462" s="22" t="n">
        <v>1661.184421</v>
      </c>
      <c r="M462" s="22" t="n">
        <v>1927.037394</v>
      </c>
      <c r="N462" s="22" t="n">
        <v>2228.974484</v>
      </c>
      <c r="O462" s="14" t="n">
        <f aca="false">SUM(C462:N462)</f>
        <v>21744.623547</v>
      </c>
      <c r="W462" s="1"/>
      <c r="X462" s="1"/>
      <c r="Y462" s="1"/>
      <c r="Z462" s="1"/>
    </row>
    <row r="463" customFormat="false" ht="15.75" hidden="false" customHeight="true" outlineLevel="0" collapsed="false">
      <c r="A463" s="13" t="s">
        <v>514</v>
      </c>
      <c r="B463" s="42" t="n">
        <v>2032</v>
      </c>
      <c r="C463" s="22" t="n">
        <v>1232.535723</v>
      </c>
      <c r="D463" s="22" t="n">
        <v>1070.933464</v>
      </c>
      <c r="E463" s="22" t="n">
        <v>1019.400094</v>
      </c>
      <c r="F463" s="22" t="n">
        <v>1123.608441</v>
      </c>
      <c r="G463" s="22" t="n">
        <v>1132.580797</v>
      </c>
      <c r="H463" s="22" t="n">
        <v>1118.65246</v>
      </c>
      <c r="I463" s="22" t="n">
        <v>994.3708592</v>
      </c>
      <c r="J463" s="22" t="n">
        <v>1003.62759</v>
      </c>
      <c r="K463" s="22" t="n">
        <v>1015.916067</v>
      </c>
      <c r="L463" s="22" t="n">
        <v>1015.916067</v>
      </c>
      <c r="M463" s="22" t="n">
        <v>1168.54597</v>
      </c>
      <c r="N463" s="22" t="n">
        <v>1344.076566</v>
      </c>
      <c r="O463" s="14" t="n">
        <f aca="false">SUM(C463:N463)</f>
        <v>13240.1640982</v>
      </c>
      <c r="W463" s="1"/>
      <c r="X463" s="1"/>
      <c r="Y463" s="1"/>
      <c r="Z463" s="1"/>
    </row>
    <row r="464" customFormat="false" ht="15.75" hidden="false" customHeight="true" outlineLevel="0" collapsed="false">
      <c r="A464" s="13" t="s">
        <v>515</v>
      </c>
      <c r="B464" s="42" t="n">
        <v>2032</v>
      </c>
      <c r="C464" s="22" t="n">
        <v>7429.240113</v>
      </c>
      <c r="D464" s="22" t="n">
        <v>6351.891721</v>
      </c>
      <c r="E464" s="22" t="n">
        <v>5849.0021</v>
      </c>
      <c r="F464" s="22" t="n">
        <v>6389.663488</v>
      </c>
      <c r="G464" s="22" t="n">
        <v>6438.169844</v>
      </c>
      <c r="H464" s="22" t="n">
        <v>6371.479368</v>
      </c>
      <c r="I464" s="22" t="n">
        <v>5724.879577</v>
      </c>
      <c r="J464" s="22" t="n">
        <v>5778.836477</v>
      </c>
      <c r="K464" s="22" t="n">
        <v>5836.994422</v>
      </c>
      <c r="L464" s="22" t="n">
        <v>5836.994422</v>
      </c>
      <c r="M464" s="22" t="n">
        <v>6865.836458</v>
      </c>
      <c r="N464" s="22" t="n">
        <v>8009.875326</v>
      </c>
      <c r="O464" s="14" t="n">
        <f aca="false">SUM(C464:N464)</f>
        <v>76882.863316</v>
      </c>
      <c r="W464" s="1"/>
      <c r="X464" s="1"/>
      <c r="Y464" s="1"/>
      <c r="Z464" s="1"/>
    </row>
    <row r="465" customFormat="false" ht="15.75" hidden="false" customHeight="true" outlineLevel="0" collapsed="false">
      <c r="A465" s="13" t="s">
        <v>516</v>
      </c>
      <c r="B465" s="42" t="n">
        <v>2032</v>
      </c>
      <c r="C465" s="22" t="n">
        <v>7417.259207</v>
      </c>
      <c r="D465" s="22" t="n">
        <v>6339.910815</v>
      </c>
      <c r="E465" s="22" t="n">
        <v>5837.021194</v>
      </c>
      <c r="F465" s="22" t="n">
        <v>6377.682582</v>
      </c>
      <c r="G465" s="22" t="n">
        <v>6426.188938</v>
      </c>
      <c r="H465" s="22" t="n">
        <v>6359.498462</v>
      </c>
      <c r="I465" s="22" t="n">
        <v>5712.898672</v>
      </c>
      <c r="J465" s="22" t="n">
        <v>5766.855571</v>
      </c>
      <c r="K465" s="22" t="n">
        <v>5825.013516</v>
      </c>
      <c r="L465" s="22" t="n">
        <v>5825.013516</v>
      </c>
      <c r="M465" s="22" t="n">
        <v>6853.855552</v>
      </c>
      <c r="N465" s="22" t="n">
        <v>7997.89442</v>
      </c>
      <c r="O465" s="14" t="n">
        <f aca="false">SUM(C465:N465)</f>
        <v>76739.092445</v>
      </c>
      <c r="W465" s="1"/>
      <c r="X465" s="1"/>
      <c r="Y465" s="1"/>
      <c r="Z465" s="1"/>
    </row>
    <row r="466" customFormat="false" ht="15.75" hidden="false" customHeight="true" outlineLevel="0" collapsed="false">
      <c r="A466" s="13" t="s">
        <v>517</v>
      </c>
      <c r="B466" s="42" t="n">
        <v>2032</v>
      </c>
      <c r="C466" s="22" t="n">
        <v>7417.259207</v>
      </c>
      <c r="D466" s="22" t="n">
        <v>6339.910815</v>
      </c>
      <c r="E466" s="22" t="n">
        <v>5837.021194</v>
      </c>
      <c r="F466" s="22" t="n">
        <v>6377.682582</v>
      </c>
      <c r="G466" s="22" t="n">
        <v>6426.188938</v>
      </c>
      <c r="H466" s="22" t="n">
        <v>6359.498462</v>
      </c>
      <c r="I466" s="22" t="n">
        <v>5712.898672</v>
      </c>
      <c r="J466" s="22" t="n">
        <v>5766.855571</v>
      </c>
      <c r="K466" s="22" t="n">
        <v>5825.013516</v>
      </c>
      <c r="L466" s="22" t="n">
        <v>5825.013516</v>
      </c>
      <c r="M466" s="22" t="n">
        <v>6853.855552</v>
      </c>
      <c r="N466" s="22" t="n">
        <v>7997.89442</v>
      </c>
      <c r="O466" s="14" t="n">
        <f aca="false">SUM(C466:N466)</f>
        <v>76739.092445</v>
      </c>
      <c r="W466" s="1"/>
      <c r="X466" s="1"/>
      <c r="Y466" s="1"/>
      <c r="Z466" s="1"/>
    </row>
    <row r="467" customFormat="false" ht="15.75" hidden="false" customHeight="true" outlineLevel="0" collapsed="false">
      <c r="A467" s="13" t="s">
        <v>518</v>
      </c>
      <c r="B467" s="42" t="n">
        <v>2032</v>
      </c>
      <c r="C467" s="22" t="n">
        <v>465.0439568</v>
      </c>
      <c r="D467" s="22" t="n">
        <v>465.0439568</v>
      </c>
      <c r="E467" s="22" t="n">
        <v>543.0761422</v>
      </c>
      <c r="F467" s="22" t="n">
        <v>617.5578923</v>
      </c>
      <c r="G467" s="22" t="n">
        <v>624.2585668</v>
      </c>
      <c r="H467" s="22" t="n">
        <v>610.5528947</v>
      </c>
      <c r="I467" s="22" t="n">
        <v>519.4245618</v>
      </c>
      <c r="J467" s="22" t="n">
        <v>525.5157116</v>
      </c>
      <c r="K467" s="22" t="n">
        <v>538.2051424</v>
      </c>
      <c r="L467" s="22" t="n">
        <v>538.2051424</v>
      </c>
      <c r="M467" s="22" t="n">
        <v>531.5044679</v>
      </c>
      <c r="N467" s="22" t="n">
        <v>545.21014</v>
      </c>
      <c r="O467" s="14" t="n">
        <f aca="false">SUM(C467:N467)</f>
        <v>6523.5985757</v>
      </c>
      <c r="W467" s="1"/>
      <c r="X467" s="1"/>
      <c r="Y467" s="1"/>
      <c r="Z467" s="1"/>
    </row>
    <row r="468" customFormat="false" ht="15.75" hidden="false" customHeight="true" outlineLevel="0" collapsed="false">
      <c r="A468" s="13" t="s">
        <v>519</v>
      </c>
      <c r="B468" s="42" t="n">
        <v>2032</v>
      </c>
      <c r="C468" s="22" t="n">
        <v>311.8673917</v>
      </c>
      <c r="D468" s="22" t="n">
        <v>311.8673917</v>
      </c>
      <c r="E468" s="22" t="n">
        <v>387.2650835</v>
      </c>
      <c r="F468" s="22" t="n">
        <v>461.1600337</v>
      </c>
      <c r="G468" s="22" t="n">
        <v>465.4395194</v>
      </c>
      <c r="H468" s="22" t="n">
        <v>453.7733616</v>
      </c>
      <c r="I468" s="22" t="n">
        <v>369.4443297</v>
      </c>
      <c r="J468" s="22" t="n">
        <v>370.9889976</v>
      </c>
      <c r="K468" s="22" t="n">
        <v>381.3703571</v>
      </c>
      <c r="L468" s="22" t="n">
        <v>381.3703571</v>
      </c>
      <c r="M468" s="22" t="n">
        <v>377.0908714</v>
      </c>
      <c r="N468" s="22" t="n">
        <v>388.7570293</v>
      </c>
      <c r="O468" s="14" t="n">
        <f aca="false">SUM(C468:N468)</f>
        <v>4660.3947238</v>
      </c>
      <c r="W468" s="1"/>
      <c r="X468" s="1"/>
      <c r="Y468" s="1"/>
      <c r="Z468" s="1"/>
    </row>
    <row r="469" customFormat="false" ht="15.75" hidden="false" customHeight="true" outlineLevel="0" collapsed="false">
      <c r="A469" s="13" t="s">
        <v>520</v>
      </c>
      <c r="B469" s="42" t="n">
        <v>2032</v>
      </c>
      <c r="C469" s="22" t="n">
        <v>8216.904819</v>
      </c>
      <c r="D469" s="22" t="n">
        <v>7139.556426</v>
      </c>
      <c r="E469" s="22" t="n">
        <v>6796.000625</v>
      </c>
      <c r="F469" s="22" t="n">
        <v>7490.72294</v>
      </c>
      <c r="G469" s="22" t="n">
        <v>7550.538647</v>
      </c>
      <c r="H469" s="22" t="n">
        <v>7457.683065</v>
      </c>
      <c r="I469" s="22" t="n">
        <v>6629.139061</v>
      </c>
      <c r="J469" s="22" t="n">
        <v>6690.850599</v>
      </c>
      <c r="K469" s="22" t="n">
        <v>6772.77378</v>
      </c>
      <c r="L469" s="22" t="n">
        <v>6772.77378</v>
      </c>
      <c r="M469" s="22" t="n">
        <v>7790.306466</v>
      </c>
      <c r="N469" s="22" t="n">
        <v>8960.51044</v>
      </c>
      <c r="O469" s="14" t="n">
        <f aca="false">SUM(C469:N469)</f>
        <v>88267.760648</v>
      </c>
      <c r="W469" s="1"/>
      <c r="X469" s="1"/>
      <c r="Y469" s="1"/>
      <c r="Z469" s="1"/>
    </row>
    <row r="470" customFormat="false" ht="15.75" hidden="false" customHeight="true" outlineLevel="0" collapsed="false">
      <c r="A470" s="13" t="s">
        <v>521</v>
      </c>
      <c r="B470" s="42" t="n">
        <v>2032</v>
      </c>
      <c r="C470" s="22" t="n">
        <v>8216.904819</v>
      </c>
      <c r="D470" s="22" t="n">
        <v>7139.556426</v>
      </c>
      <c r="E470" s="22" t="n">
        <v>6796.000625</v>
      </c>
      <c r="F470" s="22" t="n">
        <v>7490.72294</v>
      </c>
      <c r="G470" s="22" t="n">
        <v>7550.538647</v>
      </c>
      <c r="H470" s="22" t="n">
        <v>7457.683065</v>
      </c>
      <c r="I470" s="22" t="n">
        <v>6629.139061</v>
      </c>
      <c r="J470" s="22" t="n">
        <v>6690.850599</v>
      </c>
      <c r="K470" s="22" t="n">
        <v>6772.77378</v>
      </c>
      <c r="L470" s="22" t="n">
        <v>6772.77378</v>
      </c>
      <c r="M470" s="22" t="n">
        <v>7790.306466</v>
      </c>
      <c r="N470" s="22" t="n">
        <v>8960.51044</v>
      </c>
      <c r="O470" s="14" t="n">
        <f aca="false">SUM(C470:N470)</f>
        <v>88267.760648</v>
      </c>
      <c r="W470" s="1"/>
      <c r="X470" s="1"/>
      <c r="Y470" s="1"/>
      <c r="Z470" s="1"/>
    </row>
    <row r="471" customFormat="false" ht="15.75" hidden="false" customHeight="true" outlineLevel="0" collapsed="false">
      <c r="A471" s="13" t="s">
        <v>522</v>
      </c>
      <c r="B471" s="42" t="n">
        <v>2032</v>
      </c>
      <c r="C471" s="22" t="n">
        <v>649.7742979</v>
      </c>
      <c r="D471" s="22" t="n">
        <v>563.5864265</v>
      </c>
      <c r="E471" s="22" t="n">
        <v>534.1339815</v>
      </c>
      <c r="F471" s="22" t="n">
        <v>587.8170244</v>
      </c>
      <c r="G471" s="22" t="n">
        <v>592.4925506</v>
      </c>
      <c r="H471" s="22" t="n">
        <v>585.3285295</v>
      </c>
      <c r="I471" s="22" t="n">
        <v>521.2072921</v>
      </c>
      <c r="J471" s="22" t="n">
        <v>526.1046082</v>
      </c>
      <c r="K471" s="22" t="n">
        <v>532.4269808</v>
      </c>
      <c r="L471" s="22" t="n">
        <v>532.4269808</v>
      </c>
      <c r="M471" s="22" t="n">
        <v>613.939326</v>
      </c>
      <c r="N471" s="22" t="n">
        <v>707.2912184</v>
      </c>
      <c r="O471" s="14" t="n">
        <f aca="false">SUM(C471:N471)</f>
        <v>6946.5292167</v>
      </c>
      <c r="W471" s="1"/>
      <c r="X471" s="1"/>
      <c r="Y471" s="1"/>
      <c r="Z471" s="1"/>
    </row>
    <row r="472" customFormat="false" ht="15.75" hidden="false" customHeight="true" outlineLevel="0" collapsed="false">
      <c r="A472" s="13" t="s">
        <v>523</v>
      </c>
      <c r="B472" s="42" t="n">
        <v>2032</v>
      </c>
      <c r="C472" s="22" t="n">
        <v>213.8485086</v>
      </c>
      <c r="D472" s="22" t="n">
        <v>213.8485086</v>
      </c>
      <c r="E472" s="22" t="n">
        <v>233.2784269</v>
      </c>
      <c r="F472" s="22" t="n">
        <v>259.8700573</v>
      </c>
      <c r="G472" s="22" t="n">
        <v>264.0675569</v>
      </c>
      <c r="H472" s="22" t="n">
        <v>251.4930537</v>
      </c>
      <c r="I472" s="22" t="n">
        <v>219.8520037</v>
      </c>
      <c r="J472" s="22" t="n">
        <v>223.6861318</v>
      </c>
      <c r="K472" s="22" t="n">
        <v>234.2840223</v>
      </c>
      <c r="L472" s="22" t="n">
        <v>234.2840223</v>
      </c>
      <c r="M472" s="22" t="n">
        <v>230.0865226</v>
      </c>
      <c r="N472" s="22" t="n">
        <v>242.6610258</v>
      </c>
      <c r="O472" s="14" t="n">
        <f aca="false">SUM(C472:N472)</f>
        <v>2821.2598405</v>
      </c>
      <c r="W472" s="1"/>
      <c r="X472" s="1"/>
      <c r="Y472" s="1"/>
      <c r="Z472" s="1"/>
    </row>
    <row r="473" customFormat="false" ht="15.75" hidden="false" customHeight="true" outlineLevel="0" collapsed="false">
      <c r="A473" s="13" t="s">
        <v>503</v>
      </c>
      <c r="B473" s="42" t="n">
        <v>2033</v>
      </c>
      <c r="C473" s="22" t="n">
        <v>9393.869268</v>
      </c>
      <c r="D473" s="22" t="n">
        <v>8144.924963</v>
      </c>
      <c r="E473" s="22" t="n">
        <v>7710.539816</v>
      </c>
      <c r="F473" s="22" t="n">
        <v>8481.919716</v>
      </c>
      <c r="G473" s="22" t="n">
        <v>8548.618607</v>
      </c>
      <c r="H473" s="22" t="n">
        <v>8445.066926</v>
      </c>
      <c r="I473" s="22" t="n">
        <v>7524.667802</v>
      </c>
      <c r="J473" s="22" t="n">
        <v>7593.654976</v>
      </c>
      <c r="K473" s="22" t="n">
        <v>7685.009366</v>
      </c>
      <c r="L473" s="22" t="n">
        <v>7685.009366</v>
      </c>
      <c r="M473" s="22" t="n">
        <v>8867.25478</v>
      </c>
      <c r="N473" s="22" t="n">
        <v>10219.75077</v>
      </c>
      <c r="O473" s="14" t="n">
        <f aca="false">SUM(C473:N473)</f>
        <v>100300.286356</v>
      </c>
      <c r="W473" s="1"/>
      <c r="X473" s="1"/>
      <c r="Y473" s="1"/>
      <c r="Z473" s="1"/>
    </row>
    <row r="474" customFormat="false" ht="15.75" hidden="false" customHeight="true" outlineLevel="0" collapsed="false">
      <c r="A474" s="13" t="s">
        <v>504</v>
      </c>
      <c r="B474" s="42" t="n">
        <v>2033</v>
      </c>
      <c r="C474" s="22" t="n">
        <v>9393.869268</v>
      </c>
      <c r="D474" s="22" t="n">
        <v>8144.924963</v>
      </c>
      <c r="E474" s="22" t="n">
        <v>7710.539816</v>
      </c>
      <c r="F474" s="22" t="n">
        <v>8481.919716</v>
      </c>
      <c r="G474" s="22" t="n">
        <v>8548.618607</v>
      </c>
      <c r="H474" s="22" t="n">
        <v>8445.066926</v>
      </c>
      <c r="I474" s="22" t="n">
        <v>7524.667802</v>
      </c>
      <c r="J474" s="22" t="n">
        <v>7593.654976</v>
      </c>
      <c r="K474" s="22" t="n">
        <v>7685.009366</v>
      </c>
      <c r="L474" s="22" t="n">
        <v>7685.009366</v>
      </c>
      <c r="M474" s="22" t="n">
        <v>8867.25478</v>
      </c>
      <c r="N474" s="22" t="n">
        <v>10219.75077</v>
      </c>
      <c r="O474" s="14" t="n">
        <f aca="false">SUM(C474:N474)</f>
        <v>100300.286356</v>
      </c>
      <c r="W474" s="1"/>
      <c r="X474" s="1"/>
      <c r="Y474" s="1"/>
      <c r="Z474" s="1"/>
    </row>
    <row r="475" customFormat="false" ht="15.75" hidden="false" customHeight="true" outlineLevel="0" collapsed="false">
      <c r="A475" s="13" t="s">
        <v>505</v>
      </c>
      <c r="B475" s="42" t="n">
        <v>2033</v>
      </c>
      <c r="C475" s="22" t="n">
        <v>7251.411148</v>
      </c>
      <c r="D475" s="22" t="n">
        <v>6183.563766</v>
      </c>
      <c r="E475" s="22" t="n">
        <v>5661.075544</v>
      </c>
      <c r="F475" s="22" t="n">
        <v>6174.403288</v>
      </c>
      <c r="G475" s="22" t="n">
        <v>6220.625307</v>
      </c>
      <c r="H475" s="22" t="n">
        <v>6157.099137</v>
      </c>
      <c r="I475" s="22" t="n">
        <v>5542.896591</v>
      </c>
      <c r="J475" s="22" t="n">
        <v>5594.435827</v>
      </c>
      <c r="K475" s="22" t="n">
        <v>5649.843487</v>
      </c>
      <c r="L475" s="22" t="n">
        <v>5649.843487</v>
      </c>
      <c r="M475" s="22" t="n">
        <v>6671.46885</v>
      </c>
      <c r="N475" s="22" t="n">
        <v>7802.842401</v>
      </c>
      <c r="O475" s="14" t="n">
        <f aca="false">SUM(C475:N475)</f>
        <v>74559.508833</v>
      </c>
      <c r="W475" s="1"/>
      <c r="X475" s="1"/>
      <c r="Y475" s="1"/>
      <c r="Z475" s="1"/>
    </row>
    <row r="476" customFormat="false" ht="15.75" hidden="false" customHeight="true" outlineLevel="0" collapsed="false">
      <c r="A476" s="13" t="s">
        <v>506</v>
      </c>
      <c r="B476" s="42" t="n">
        <v>2033</v>
      </c>
      <c r="C476" s="22" t="n">
        <v>823.7207611</v>
      </c>
      <c r="D476" s="22" t="n">
        <v>705.071052</v>
      </c>
      <c r="E476" s="22" t="n">
        <v>647.0168051</v>
      </c>
      <c r="F476" s="22" t="n">
        <v>704.0532211</v>
      </c>
      <c r="G476" s="22" t="n">
        <v>709.189001</v>
      </c>
      <c r="H476" s="22" t="n">
        <v>702.1305377</v>
      </c>
      <c r="I476" s="22" t="n">
        <v>633.8858104</v>
      </c>
      <c r="J476" s="22" t="n">
        <v>639.6123922</v>
      </c>
      <c r="K476" s="22" t="n">
        <v>645.7687988</v>
      </c>
      <c r="L476" s="22" t="n">
        <v>645.7687988</v>
      </c>
      <c r="M476" s="22" t="n">
        <v>759.282728</v>
      </c>
      <c r="N476" s="22" t="n">
        <v>884.9909003</v>
      </c>
      <c r="O476" s="14" t="n">
        <f aca="false">SUM(C476:N476)</f>
        <v>8500.4908065</v>
      </c>
      <c r="W476" s="1"/>
      <c r="X476" s="1"/>
      <c r="Y476" s="1"/>
      <c r="Z476" s="1"/>
    </row>
    <row r="477" customFormat="false" ht="15.75" hidden="false" customHeight="true" outlineLevel="0" collapsed="false">
      <c r="A477" s="13" t="s">
        <v>507</v>
      </c>
      <c r="B477" s="42" t="n">
        <v>2033</v>
      </c>
      <c r="C477" s="22" t="n">
        <v>341.0877885</v>
      </c>
      <c r="D477" s="22" t="n">
        <v>341.0877885</v>
      </c>
      <c r="E477" s="22" t="n">
        <v>386.9558556</v>
      </c>
      <c r="F477" s="22" t="n">
        <v>429.6666537</v>
      </c>
      <c r="G477" s="22" t="n">
        <v>434.6796088</v>
      </c>
      <c r="H477" s="22" t="n">
        <v>425.9866885</v>
      </c>
      <c r="I477" s="22" t="n">
        <v>370.7254369</v>
      </c>
      <c r="J477" s="22" t="n">
        <v>376.4386562</v>
      </c>
      <c r="K477" s="22" t="n">
        <v>384.6845396</v>
      </c>
      <c r="L477" s="22" t="n">
        <v>384.6845396</v>
      </c>
      <c r="M477" s="22" t="n">
        <v>379.6715846</v>
      </c>
      <c r="N477" s="22" t="n">
        <v>388.3645048</v>
      </c>
      <c r="O477" s="14" t="n">
        <f aca="false">SUM(C477:N477)</f>
        <v>4644.0336453</v>
      </c>
      <c r="W477" s="1"/>
      <c r="X477" s="1"/>
      <c r="Y477" s="1"/>
      <c r="Z477" s="1"/>
    </row>
    <row r="478" customFormat="false" ht="15.75" hidden="false" customHeight="true" outlineLevel="0" collapsed="false">
      <c r="A478" s="13" t="s">
        <v>508</v>
      </c>
      <c r="B478" s="42" t="n">
        <v>2033</v>
      </c>
      <c r="C478" s="22" t="n">
        <v>306.8571062</v>
      </c>
      <c r="D478" s="22" t="n">
        <v>306.8571062</v>
      </c>
      <c r="E478" s="22" t="n">
        <v>386.1504659</v>
      </c>
      <c r="F478" s="22" t="n">
        <v>462.5609058</v>
      </c>
      <c r="G478" s="22" t="n">
        <v>467.0236665</v>
      </c>
      <c r="H478" s="22" t="n">
        <v>456.2697204</v>
      </c>
      <c r="I478" s="22" t="n">
        <v>369.0522711</v>
      </c>
      <c r="J478" s="22" t="n">
        <v>370.6851754</v>
      </c>
      <c r="K478" s="22" t="n">
        <v>380.0863391</v>
      </c>
      <c r="L478" s="22" t="n">
        <v>380.0863391</v>
      </c>
      <c r="M478" s="22" t="n">
        <v>375.6235784</v>
      </c>
      <c r="N478" s="22" t="n">
        <v>386.3775244</v>
      </c>
      <c r="O478" s="14" t="n">
        <f aca="false">SUM(C478:N478)</f>
        <v>4647.6301985</v>
      </c>
      <c r="W478" s="1"/>
      <c r="X478" s="1"/>
      <c r="Y478" s="1"/>
      <c r="Z478" s="1"/>
    </row>
    <row r="479" customFormat="false" ht="15.75" hidden="false" customHeight="true" outlineLevel="0" collapsed="false">
      <c r="A479" s="13" t="s">
        <v>509</v>
      </c>
      <c r="B479" s="42" t="n">
        <v>2033</v>
      </c>
      <c r="C479" s="22" t="n">
        <v>9.987105924</v>
      </c>
      <c r="D479" s="22" t="n">
        <v>9.987105924</v>
      </c>
      <c r="E479" s="22" t="n">
        <v>9.160000925</v>
      </c>
      <c r="F479" s="22" t="n">
        <v>9.160000925</v>
      </c>
      <c r="G479" s="22" t="n">
        <v>9.160000925</v>
      </c>
      <c r="H479" s="22" t="n">
        <v>8.332895926</v>
      </c>
      <c r="I479" s="22" t="n">
        <v>8.332895926</v>
      </c>
      <c r="J479" s="22" t="n">
        <v>8.332895926</v>
      </c>
      <c r="K479" s="22" t="n">
        <v>9.160000925</v>
      </c>
      <c r="L479" s="22" t="n">
        <v>9.160000925</v>
      </c>
      <c r="M479" s="22" t="n">
        <v>9.160000925</v>
      </c>
      <c r="N479" s="22" t="n">
        <v>9.987105924</v>
      </c>
      <c r="O479" s="14" t="n">
        <f aca="false">SUM(C479:N479)</f>
        <v>109.9200111</v>
      </c>
      <c r="W479" s="1"/>
      <c r="X479" s="1"/>
      <c r="Y479" s="1"/>
      <c r="Z479" s="1"/>
    </row>
    <row r="480" customFormat="false" ht="15.75" hidden="false" customHeight="true" outlineLevel="0" collapsed="false">
      <c r="A480" s="13" t="s">
        <v>510</v>
      </c>
      <c r="B480" s="42" t="n">
        <v>2033</v>
      </c>
      <c r="C480" s="22" t="n">
        <v>8500.138851</v>
      </c>
      <c r="D480" s="22" t="n">
        <v>7251.194546</v>
      </c>
      <c r="E480" s="22" t="n">
        <v>6640.09721</v>
      </c>
      <c r="F480" s="22" t="n">
        <v>7240.480535</v>
      </c>
      <c r="G480" s="22" t="n">
        <v>7294.541377</v>
      </c>
      <c r="H480" s="22" t="n">
        <v>7220.241763</v>
      </c>
      <c r="I480" s="22" t="n">
        <v>6501.876212</v>
      </c>
      <c r="J480" s="22" t="n">
        <v>6562.15602</v>
      </c>
      <c r="K480" s="22" t="n">
        <v>6626.960301</v>
      </c>
      <c r="L480" s="22" t="n">
        <v>6626.960301</v>
      </c>
      <c r="M480" s="22" t="n">
        <v>7821.843766</v>
      </c>
      <c r="N480" s="22" t="n">
        <v>9145.087685</v>
      </c>
      <c r="O480" s="14" t="n">
        <f aca="false">SUM(C480:N480)</f>
        <v>87431.578567</v>
      </c>
      <c r="W480" s="1"/>
      <c r="X480" s="1"/>
      <c r="Y480" s="1"/>
      <c r="Z480" s="1"/>
    </row>
    <row r="481" customFormat="false" ht="15.75" hidden="false" customHeight="true" outlineLevel="0" collapsed="false">
      <c r="A481" s="13" t="s">
        <v>511</v>
      </c>
      <c r="B481" s="42" t="n">
        <v>2033</v>
      </c>
      <c r="C481" s="22" t="n">
        <v>520.8736987</v>
      </c>
      <c r="D481" s="22" t="n">
        <v>520.8736987</v>
      </c>
      <c r="E481" s="22" t="n">
        <v>607.5667208</v>
      </c>
      <c r="F481" s="22" t="n">
        <v>690.3368074</v>
      </c>
      <c r="G481" s="22" t="n">
        <v>697.8219786</v>
      </c>
      <c r="H481" s="22" t="n">
        <v>682.5228909</v>
      </c>
      <c r="I481" s="22" t="n">
        <v>581.1940022</v>
      </c>
      <c r="J481" s="22" t="n">
        <v>588.0159523</v>
      </c>
      <c r="K481" s="22" t="n">
        <v>602.1750569</v>
      </c>
      <c r="L481" s="22" t="n">
        <v>602.1750569</v>
      </c>
      <c r="M481" s="22" t="n">
        <v>594.6898857</v>
      </c>
      <c r="N481" s="22" t="n">
        <v>609.9889733</v>
      </c>
      <c r="O481" s="14" t="n">
        <f aca="false">SUM(C481:N481)</f>
        <v>7298.2347224</v>
      </c>
      <c r="W481" s="1"/>
      <c r="X481" s="1"/>
      <c r="Y481" s="1"/>
      <c r="Z481" s="1"/>
    </row>
    <row r="482" customFormat="false" ht="15.75" hidden="false" customHeight="true" outlineLevel="0" collapsed="false">
      <c r="A482" s="13" t="s">
        <v>512</v>
      </c>
      <c r="B482" s="42" t="n">
        <v>2033</v>
      </c>
      <c r="C482" s="22" t="n">
        <v>88.26190297</v>
      </c>
      <c r="D482" s="22" t="n">
        <v>75.26439944</v>
      </c>
      <c r="E482" s="22" t="n">
        <v>68.90483662</v>
      </c>
      <c r="F482" s="22" t="n">
        <v>75.15290097</v>
      </c>
      <c r="G482" s="22" t="n">
        <v>75.71550089</v>
      </c>
      <c r="H482" s="22" t="n">
        <v>74.94228027</v>
      </c>
      <c r="I482" s="22" t="n">
        <v>67.46639945</v>
      </c>
      <c r="J482" s="22" t="n">
        <v>68.09371888</v>
      </c>
      <c r="K482" s="22" t="n">
        <v>68.76812354</v>
      </c>
      <c r="L482" s="22" t="n">
        <v>68.76812354</v>
      </c>
      <c r="M482" s="22" t="n">
        <v>81.20302714</v>
      </c>
      <c r="N482" s="22" t="n">
        <v>94.97375129</v>
      </c>
      <c r="O482" s="14" t="n">
        <f aca="false">SUM(C482:N482)</f>
        <v>907.514965</v>
      </c>
      <c r="W482" s="1"/>
      <c r="X482" s="1"/>
      <c r="Y482" s="1"/>
      <c r="Z482" s="1"/>
    </row>
    <row r="483" customFormat="false" ht="15.75" hidden="false" customHeight="true" outlineLevel="0" collapsed="false">
      <c r="A483" s="13" t="s">
        <v>423</v>
      </c>
      <c r="B483" s="42" t="n">
        <v>2033</v>
      </c>
      <c r="C483" s="22" t="n">
        <v>2456.17925</v>
      </c>
      <c r="D483" s="22" t="n">
        <v>2143.943174</v>
      </c>
      <c r="E483" s="22" t="n">
        <v>2049.83154</v>
      </c>
      <c r="F483" s="22" t="n">
        <v>2256.164135</v>
      </c>
      <c r="G483" s="22" t="n">
        <v>2274.421897</v>
      </c>
      <c r="H483" s="22" t="n">
        <v>2245.788844</v>
      </c>
      <c r="I483" s="22" t="n">
        <v>1998.238141</v>
      </c>
      <c r="J483" s="22" t="n">
        <v>2017.289109</v>
      </c>
      <c r="K483" s="22" t="n">
        <v>2042.73167</v>
      </c>
      <c r="L483" s="22" t="n">
        <v>2042.73167</v>
      </c>
      <c r="M483" s="22" t="n">
        <v>2336.709985</v>
      </c>
      <c r="N483" s="22" t="n">
        <v>2677.579114</v>
      </c>
      <c r="O483" s="14" t="n">
        <f aca="false">SUM(C483:N483)</f>
        <v>26541.608529</v>
      </c>
      <c r="W483" s="1"/>
      <c r="X483" s="1"/>
      <c r="Y483" s="1"/>
      <c r="Z483" s="1"/>
    </row>
    <row r="484" customFormat="false" ht="15.75" hidden="false" customHeight="true" outlineLevel="0" collapsed="false">
      <c r="A484" s="13" t="s">
        <v>424</v>
      </c>
      <c r="B484" s="42" t="n">
        <v>2033</v>
      </c>
      <c r="C484" s="22" t="n">
        <v>2343.708761</v>
      </c>
      <c r="D484" s="22" t="n">
        <v>2018.983242</v>
      </c>
      <c r="E484" s="22" t="n">
        <v>1892.205438</v>
      </c>
      <c r="F484" s="22" t="n">
        <v>2079.814562</v>
      </c>
      <c r="G484" s="22" t="n">
        <v>2095.710695</v>
      </c>
      <c r="H484" s="22" t="n">
        <v>2071.367389</v>
      </c>
      <c r="I484" s="22" t="n">
        <v>1848.626387</v>
      </c>
      <c r="J484" s="22" t="n">
        <v>1864.9725</v>
      </c>
      <c r="K484" s="22" t="n">
        <v>1886.289171</v>
      </c>
      <c r="L484" s="22" t="n">
        <v>1886.289171</v>
      </c>
      <c r="M484" s="22" t="n">
        <v>2195.118558</v>
      </c>
      <c r="N484" s="22" t="n">
        <v>2544.187383</v>
      </c>
      <c r="O484" s="14" t="n">
        <f aca="false">SUM(C484:N484)</f>
        <v>24727.273257</v>
      </c>
      <c r="W484" s="1"/>
      <c r="X484" s="1"/>
      <c r="Y484" s="1"/>
      <c r="Z484" s="1"/>
    </row>
    <row r="485" customFormat="false" ht="15.75" hidden="false" customHeight="true" outlineLevel="0" collapsed="false">
      <c r="A485" s="13" t="s">
        <v>513</v>
      </c>
      <c r="B485" s="42" t="n">
        <v>2033</v>
      </c>
      <c r="C485" s="22" t="n">
        <v>2343.708761</v>
      </c>
      <c r="D485" s="22" t="n">
        <v>2018.983242</v>
      </c>
      <c r="E485" s="22" t="n">
        <v>1892.205438</v>
      </c>
      <c r="F485" s="22" t="n">
        <v>2079.814562</v>
      </c>
      <c r="G485" s="22" t="n">
        <v>2095.710695</v>
      </c>
      <c r="H485" s="22" t="n">
        <v>2071.367389</v>
      </c>
      <c r="I485" s="22" t="n">
        <v>1848.626387</v>
      </c>
      <c r="J485" s="22" t="n">
        <v>1864.9725</v>
      </c>
      <c r="K485" s="22" t="n">
        <v>1886.289171</v>
      </c>
      <c r="L485" s="22" t="n">
        <v>1886.289171</v>
      </c>
      <c r="M485" s="22" t="n">
        <v>2195.118558</v>
      </c>
      <c r="N485" s="22" t="n">
        <v>2544.187383</v>
      </c>
      <c r="O485" s="14" t="n">
        <f aca="false">SUM(C485:N485)</f>
        <v>24727.273257</v>
      </c>
      <c r="W485" s="1"/>
      <c r="X485" s="1"/>
      <c r="Y485" s="1"/>
      <c r="Z485" s="1"/>
    </row>
    <row r="486" customFormat="false" ht="15.75" hidden="false" customHeight="true" outlineLevel="0" collapsed="false">
      <c r="A486" s="13" t="s">
        <v>514</v>
      </c>
      <c r="B486" s="42" t="n">
        <v>2033</v>
      </c>
      <c r="C486" s="22" t="n">
        <v>1409.08039</v>
      </c>
      <c r="D486" s="22" t="n">
        <v>1221.738744</v>
      </c>
      <c r="E486" s="22" t="n">
        <v>1156.580972</v>
      </c>
      <c r="F486" s="22" t="n">
        <v>1272.287957</v>
      </c>
      <c r="G486" s="22" t="n">
        <v>1282.292791</v>
      </c>
      <c r="H486" s="22" t="n">
        <v>1266.760039</v>
      </c>
      <c r="I486" s="22" t="n">
        <v>1128.70017</v>
      </c>
      <c r="J486" s="22" t="n">
        <v>1139.048246</v>
      </c>
      <c r="K486" s="22" t="n">
        <v>1152.751405</v>
      </c>
      <c r="L486" s="22" t="n">
        <v>1152.751405</v>
      </c>
      <c r="M486" s="22" t="n">
        <v>1330.088217</v>
      </c>
      <c r="N486" s="22" t="n">
        <v>1532.962615</v>
      </c>
      <c r="O486" s="14" t="n">
        <f aca="false">SUM(C486:N486)</f>
        <v>15045.042951</v>
      </c>
      <c r="W486" s="1"/>
      <c r="X486" s="1"/>
      <c r="Y486" s="1"/>
      <c r="Z486" s="1"/>
    </row>
    <row r="487" customFormat="false" ht="15.75" hidden="false" customHeight="true" outlineLevel="0" collapsed="false">
      <c r="A487" s="13" t="s">
        <v>515</v>
      </c>
      <c r="B487" s="42" t="n">
        <v>2033</v>
      </c>
      <c r="C487" s="22" t="n">
        <v>8513.55814</v>
      </c>
      <c r="D487" s="22" t="n">
        <v>7264.613834</v>
      </c>
      <c r="E487" s="22" t="n">
        <v>6653.516498</v>
      </c>
      <c r="F487" s="22" t="n">
        <v>7253.899824</v>
      </c>
      <c r="G487" s="22" t="n">
        <v>7307.960665</v>
      </c>
      <c r="H487" s="22" t="n">
        <v>7233.661051</v>
      </c>
      <c r="I487" s="22" t="n">
        <v>6515.2955</v>
      </c>
      <c r="J487" s="22" t="n">
        <v>6575.575309</v>
      </c>
      <c r="K487" s="22" t="n">
        <v>6640.37959</v>
      </c>
      <c r="L487" s="22" t="n">
        <v>6640.37959</v>
      </c>
      <c r="M487" s="22" t="n">
        <v>7835.263054</v>
      </c>
      <c r="N487" s="22" t="n">
        <v>9158.506974</v>
      </c>
      <c r="O487" s="14" t="n">
        <f aca="false">SUM(C487:N487)</f>
        <v>87592.610029</v>
      </c>
      <c r="W487" s="1"/>
      <c r="X487" s="1"/>
      <c r="Y487" s="1"/>
      <c r="Z487" s="1"/>
    </row>
    <row r="488" customFormat="false" ht="15.75" hidden="false" customHeight="true" outlineLevel="0" collapsed="false">
      <c r="A488" s="13" t="s">
        <v>516</v>
      </c>
      <c r="B488" s="42" t="n">
        <v>2033</v>
      </c>
      <c r="C488" s="22" t="n">
        <v>8500.138851</v>
      </c>
      <c r="D488" s="22" t="n">
        <v>7251.194546</v>
      </c>
      <c r="E488" s="22" t="n">
        <v>6640.09721</v>
      </c>
      <c r="F488" s="22" t="n">
        <v>7240.480535</v>
      </c>
      <c r="G488" s="22" t="n">
        <v>7294.541377</v>
      </c>
      <c r="H488" s="22" t="n">
        <v>7220.241763</v>
      </c>
      <c r="I488" s="22" t="n">
        <v>6501.876212</v>
      </c>
      <c r="J488" s="22" t="n">
        <v>6562.15602</v>
      </c>
      <c r="K488" s="22" t="n">
        <v>6626.960301</v>
      </c>
      <c r="L488" s="22" t="n">
        <v>6626.960301</v>
      </c>
      <c r="M488" s="22" t="n">
        <v>7821.843766</v>
      </c>
      <c r="N488" s="22" t="n">
        <v>9145.087685</v>
      </c>
      <c r="O488" s="14" t="n">
        <f aca="false">SUM(C488:N488)</f>
        <v>87431.578567</v>
      </c>
      <c r="W488" s="1"/>
      <c r="X488" s="1"/>
      <c r="Y488" s="1"/>
      <c r="Z488" s="1"/>
    </row>
    <row r="489" customFormat="false" ht="15.75" hidden="false" customHeight="true" outlineLevel="0" collapsed="false">
      <c r="A489" s="13" t="s">
        <v>517</v>
      </c>
      <c r="B489" s="42" t="n">
        <v>2033</v>
      </c>
      <c r="C489" s="22" t="n">
        <v>8500.138851</v>
      </c>
      <c r="D489" s="22" t="n">
        <v>7251.194546</v>
      </c>
      <c r="E489" s="22" t="n">
        <v>6640.09721</v>
      </c>
      <c r="F489" s="22" t="n">
        <v>7240.480535</v>
      </c>
      <c r="G489" s="22" t="n">
        <v>7294.541377</v>
      </c>
      <c r="H489" s="22" t="n">
        <v>7220.241763</v>
      </c>
      <c r="I489" s="22" t="n">
        <v>6501.876212</v>
      </c>
      <c r="J489" s="22" t="n">
        <v>6562.15602</v>
      </c>
      <c r="K489" s="22" t="n">
        <v>6626.960301</v>
      </c>
      <c r="L489" s="22" t="n">
        <v>6626.960301</v>
      </c>
      <c r="M489" s="22" t="n">
        <v>7821.843766</v>
      </c>
      <c r="N489" s="22" t="n">
        <v>9145.087685</v>
      </c>
      <c r="O489" s="14" t="n">
        <f aca="false">SUM(C489:N489)</f>
        <v>87431.578567</v>
      </c>
      <c r="W489" s="1"/>
      <c r="X489" s="1"/>
      <c r="Y489" s="1"/>
      <c r="Z489" s="1"/>
    </row>
    <row r="490" customFormat="false" ht="15.75" hidden="false" customHeight="true" outlineLevel="0" collapsed="false">
      <c r="A490" s="13" t="s">
        <v>518</v>
      </c>
      <c r="B490" s="42" t="n">
        <v>2033</v>
      </c>
      <c r="C490" s="22" t="n">
        <v>520.8736987</v>
      </c>
      <c r="D490" s="22" t="n">
        <v>520.8736987</v>
      </c>
      <c r="E490" s="22" t="n">
        <v>607.5667208</v>
      </c>
      <c r="F490" s="22" t="n">
        <v>690.3368074</v>
      </c>
      <c r="G490" s="22" t="n">
        <v>697.8219786</v>
      </c>
      <c r="H490" s="22" t="n">
        <v>682.5228909</v>
      </c>
      <c r="I490" s="22" t="n">
        <v>581.1940022</v>
      </c>
      <c r="J490" s="22" t="n">
        <v>588.0159523</v>
      </c>
      <c r="K490" s="22" t="n">
        <v>602.1750569</v>
      </c>
      <c r="L490" s="22" t="n">
        <v>602.1750569</v>
      </c>
      <c r="M490" s="22" t="n">
        <v>594.6898857</v>
      </c>
      <c r="N490" s="22" t="n">
        <v>609.9889733</v>
      </c>
      <c r="O490" s="14" t="n">
        <f aca="false">SUM(C490:N490)</f>
        <v>7298.2347224</v>
      </c>
      <c r="W490" s="1"/>
      <c r="X490" s="1"/>
      <c r="Y490" s="1"/>
      <c r="Z490" s="1"/>
    </row>
    <row r="491" customFormat="false" ht="15.75" hidden="false" customHeight="true" outlineLevel="0" collapsed="false">
      <c r="A491" s="13" t="s">
        <v>519</v>
      </c>
      <c r="B491" s="42" t="n">
        <v>2033</v>
      </c>
      <c r="C491" s="22" t="n">
        <v>347.5489158</v>
      </c>
      <c r="D491" s="22" t="n">
        <v>347.5489158</v>
      </c>
      <c r="E491" s="22" t="n">
        <v>431.0284246</v>
      </c>
      <c r="F491" s="22" t="n">
        <v>512.95302</v>
      </c>
      <c r="G491" s="22" t="n">
        <v>517.7378356</v>
      </c>
      <c r="H491" s="22" t="n">
        <v>504.6717794</v>
      </c>
      <c r="I491" s="22" t="n">
        <v>411.1602874</v>
      </c>
      <c r="J491" s="22" t="n">
        <v>412.9110301</v>
      </c>
      <c r="K491" s="22" t="n">
        <v>424.5266805</v>
      </c>
      <c r="L491" s="22" t="n">
        <v>424.5266805</v>
      </c>
      <c r="M491" s="22" t="n">
        <v>419.7418649</v>
      </c>
      <c r="N491" s="22" t="n">
        <v>432.807921</v>
      </c>
      <c r="O491" s="14" t="n">
        <f aca="false">SUM(C491:N491)</f>
        <v>5187.1633556</v>
      </c>
      <c r="W491" s="1"/>
      <c r="X491" s="1"/>
      <c r="Y491" s="1"/>
      <c r="Z491" s="1"/>
    </row>
    <row r="492" customFormat="false" ht="15.75" hidden="false" customHeight="true" outlineLevel="0" collapsed="false">
      <c r="A492" s="13" t="s">
        <v>520</v>
      </c>
      <c r="B492" s="42" t="n">
        <v>2033</v>
      </c>
      <c r="C492" s="22" t="n">
        <v>9393.869268</v>
      </c>
      <c r="D492" s="22" t="n">
        <v>8144.924963</v>
      </c>
      <c r="E492" s="22" t="n">
        <v>7710.539816</v>
      </c>
      <c r="F492" s="22" t="n">
        <v>8481.919716</v>
      </c>
      <c r="G492" s="22" t="n">
        <v>8548.618607</v>
      </c>
      <c r="H492" s="22" t="n">
        <v>8445.066926</v>
      </c>
      <c r="I492" s="22" t="n">
        <v>7524.667802</v>
      </c>
      <c r="J492" s="22" t="n">
        <v>7593.654976</v>
      </c>
      <c r="K492" s="22" t="n">
        <v>7685.009366</v>
      </c>
      <c r="L492" s="22" t="n">
        <v>7685.009366</v>
      </c>
      <c r="M492" s="22" t="n">
        <v>8867.25478</v>
      </c>
      <c r="N492" s="22" t="n">
        <v>10219.75077</v>
      </c>
      <c r="O492" s="14" t="n">
        <f aca="false">SUM(C492:N492)</f>
        <v>100300.286356</v>
      </c>
      <c r="W492" s="1"/>
      <c r="X492" s="1"/>
      <c r="Y492" s="1"/>
      <c r="Z492" s="1"/>
    </row>
    <row r="493" customFormat="false" ht="15.75" hidden="false" customHeight="true" outlineLevel="0" collapsed="false">
      <c r="A493" s="13" t="s">
        <v>521</v>
      </c>
      <c r="B493" s="42" t="n">
        <v>2033</v>
      </c>
      <c r="C493" s="22" t="n">
        <v>9393.869268</v>
      </c>
      <c r="D493" s="22" t="n">
        <v>8144.924963</v>
      </c>
      <c r="E493" s="22" t="n">
        <v>7710.539816</v>
      </c>
      <c r="F493" s="22" t="n">
        <v>8481.919716</v>
      </c>
      <c r="G493" s="22" t="n">
        <v>8548.618607</v>
      </c>
      <c r="H493" s="22" t="n">
        <v>8445.066926</v>
      </c>
      <c r="I493" s="22" t="n">
        <v>7524.667802</v>
      </c>
      <c r="J493" s="22" t="n">
        <v>7593.654976</v>
      </c>
      <c r="K493" s="22" t="n">
        <v>7685.009366</v>
      </c>
      <c r="L493" s="22" t="n">
        <v>7685.009366</v>
      </c>
      <c r="M493" s="22" t="n">
        <v>8867.25478</v>
      </c>
      <c r="N493" s="22" t="n">
        <v>10219.75077</v>
      </c>
      <c r="O493" s="14" t="n">
        <f aca="false">SUM(C493:N493)</f>
        <v>100300.286356</v>
      </c>
      <c r="W493" s="1"/>
      <c r="X493" s="1"/>
      <c r="Y493" s="1"/>
      <c r="Z493" s="1"/>
    </row>
    <row r="494" customFormat="false" ht="15.75" hidden="false" customHeight="true" outlineLevel="0" collapsed="false">
      <c r="A494" s="13" t="s">
        <v>522</v>
      </c>
      <c r="B494" s="42" t="n">
        <v>2033</v>
      </c>
      <c r="C494" s="22" t="n">
        <v>743.0736073</v>
      </c>
      <c r="D494" s="22" t="n">
        <v>643.1580628</v>
      </c>
      <c r="E494" s="22" t="n">
        <v>606.2273649</v>
      </c>
      <c r="F494" s="22" t="n">
        <v>665.8371262</v>
      </c>
      <c r="G494" s="22" t="n">
        <v>671.0503499</v>
      </c>
      <c r="H494" s="22" t="n">
        <v>663.0618566</v>
      </c>
      <c r="I494" s="22" t="n">
        <v>591.8276573</v>
      </c>
      <c r="J494" s="22" t="n">
        <v>597.3017403</v>
      </c>
      <c r="K494" s="22" t="n">
        <v>604.3516403</v>
      </c>
      <c r="L494" s="22" t="n">
        <v>604.3516403</v>
      </c>
      <c r="M494" s="22" t="n">
        <v>699.053961</v>
      </c>
      <c r="N494" s="22" t="n">
        <v>806.9579989</v>
      </c>
      <c r="O494" s="14" t="n">
        <f aca="false">SUM(C494:N494)</f>
        <v>7896.2530058</v>
      </c>
      <c r="W494" s="1"/>
      <c r="X494" s="1"/>
      <c r="Y494" s="1"/>
      <c r="Z494" s="1"/>
    </row>
    <row r="495" customFormat="false" ht="15.75" hidden="false" customHeight="true" outlineLevel="0" collapsed="false">
      <c r="A495" s="13" t="s">
        <v>523</v>
      </c>
      <c r="B495" s="42" t="n">
        <v>2033</v>
      </c>
      <c r="C495" s="22" t="n">
        <v>241.102123</v>
      </c>
      <c r="D495" s="22" t="n">
        <v>241.102123</v>
      </c>
      <c r="E495" s="22" t="n">
        <v>262.9867829</v>
      </c>
      <c r="F495" s="22" t="n">
        <v>292.9389189</v>
      </c>
      <c r="G495" s="22" t="n">
        <v>297.673476</v>
      </c>
      <c r="H495" s="22" t="n">
        <v>283.5030927</v>
      </c>
      <c r="I495" s="22" t="n">
        <v>247.8604545</v>
      </c>
      <c r="J495" s="22" t="n">
        <v>252.1826068</v>
      </c>
      <c r="K495" s="22" t="n">
        <v>264.1215965</v>
      </c>
      <c r="L495" s="22" t="n">
        <v>264.1215965</v>
      </c>
      <c r="M495" s="22" t="n">
        <v>259.3870394</v>
      </c>
      <c r="N495" s="22" t="n">
        <v>273.5574226</v>
      </c>
      <c r="O495" s="14" t="n">
        <f aca="false">SUM(C495:N495)</f>
        <v>3180.5372328</v>
      </c>
      <c r="W495" s="1"/>
      <c r="X495" s="1"/>
      <c r="Y495" s="1"/>
      <c r="Z495" s="1"/>
    </row>
    <row r="496" customFormat="false" ht="15.75" hidden="false" customHeight="true" outlineLevel="0" collapsed="false">
      <c r="A496" s="13" t="s">
        <v>503</v>
      </c>
      <c r="B496" s="42" t="n">
        <v>2034</v>
      </c>
      <c r="C496" s="22" t="n">
        <v>10100.32021</v>
      </c>
      <c r="D496" s="22" t="n">
        <v>8761.548583</v>
      </c>
      <c r="E496" s="22" t="n">
        <v>8302.283754</v>
      </c>
      <c r="F496" s="22" t="n">
        <v>9135.29362</v>
      </c>
      <c r="G496" s="22" t="n">
        <v>9207.413797</v>
      </c>
      <c r="H496" s="22" t="n">
        <v>9095.376187</v>
      </c>
      <c r="I496" s="22" t="n">
        <v>8101.299643</v>
      </c>
      <c r="J496" s="22" t="n">
        <v>8175.951956</v>
      </c>
      <c r="K496" s="22" t="n">
        <v>8274.799137</v>
      </c>
      <c r="L496" s="22" t="n">
        <v>8274.799137</v>
      </c>
      <c r="M496" s="22" t="n">
        <v>9541.450586</v>
      </c>
      <c r="N496" s="22" t="n">
        <v>10992.25982</v>
      </c>
      <c r="O496" s="14" t="n">
        <f aca="false">SUM(C496:N496)</f>
        <v>107962.79643</v>
      </c>
      <c r="W496" s="1"/>
      <c r="X496" s="1"/>
      <c r="Y496" s="1"/>
      <c r="Z496" s="1"/>
    </row>
    <row r="497" customFormat="false" ht="15.75" hidden="false" customHeight="true" outlineLevel="0" collapsed="false">
      <c r="A497" s="13" t="s">
        <v>504</v>
      </c>
      <c r="B497" s="42" t="n">
        <v>2034</v>
      </c>
      <c r="C497" s="22" t="n">
        <v>10100.32021</v>
      </c>
      <c r="D497" s="22" t="n">
        <v>8761.548583</v>
      </c>
      <c r="E497" s="22" t="n">
        <v>8302.283754</v>
      </c>
      <c r="F497" s="22" t="n">
        <v>9135.29362</v>
      </c>
      <c r="G497" s="22" t="n">
        <v>9207.413797</v>
      </c>
      <c r="H497" s="22" t="n">
        <v>9095.376187</v>
      </c>
      <c r="I497" s="22" t="n">
        <v>8101.299643</v>
      </c>
      <c r="J497" s="22" t="n">
        <v>8175.951956</v>
      </c>
      <c r="K497" s="22" t="n">
        <v>8274.799137</v>
      </c>
      <c r="L497" s="22" t="n">
        <v>8274.799137</v>
      </c>
      <c r="M497" s="22" t="n">
        <v>9541.450586</v>
      </c>
      <c r="N497" s="22" t="n">
        <v>10992.25982</v>
      </c>
      <c r="O497" s="14" t="n">
        <f aca="false">SUM(C497:N497)</f>
        <v>107962.79643</v>
      </c>
      <c r="W497" s="1"/>
      <c r="X497" s="1"/>
      <c r="Y497" s="1"/>
      <c r="Z497" s="1"/>
    </row>
    <row r="498" customFormat="false" ht="15.75" hidden="false" customHeight="true" outlineLevel="0" collapsed="false">
      <c r="A498" s="13" t="s">
        <v>505</v>
      </c>
      <c r="B498" s="42" t="n">
        <v>2034</v>
      </c>
      <c r="C498" s="22" t="n">
        <v>7790.634883</v>
      </c>
      <c r="D498" s="22" t="n">
        <v>6645.985142</v>
      </c>
      <c r="E498" s="22" t="n">
        <v>6090.172936</v>
      </c>
      <c r="F498" s="22" t="n">
        <v>6644.472313</v>
      </c>
      <c r="G498" s="22" t="n">
        <v>6694.437756</v>
      </c>
      <c r="H498" s="22" t="n">
        <v>6625.740995</v>
      </c>
      <c r="I498" s="22" t="n">
        <v>5962.41316</v>
      </c>
      <c r="J498" s="22" t="n">
        <v>6018.172142</v>
      </c>
      <c r="K498" s="22" t="n">
        <v>6078.10032</v>
      </c>
      <c r="L498" s="22" t="n">
        <v>6078.10032</v>
      </c>
      <c r="M498" s="22" t="n">
        <v>7172.784618</v>
      </c>
      <c r="N498" s="22" t="n">
        <v>8386.13112</v>
      </c>
      <c r="O498" s="14" t="n">
        <f aca="false">SUM(C498:N498)</f>
        <v>80187.145705</v>
      </c>
      <c r="W498" s="1"/>
      <c r="X498" s="1"/>
      <c r="Y498" s="1"/>
      <c r="Z498" s="1"/>
    </row>
    <row r="499" customFormat="false" ht="15.75" hidden="false" customHeight="true" outlineLevel="0" collapsed="false">
      <c r="A499" s="13" t="s">
        <v>506</v>
      </c>
      <c r="B499" s="42" t="n">
        <v>2034</v>
      </c>
      <c r="C499" s="22" t="n">
        <v>885.2808034</v>
      </c>
      <c r="D499" s="22" t="n">
        <v>758.0974988</v>
      </c>
      <c r="E499" s="22" t="n">
        <v>696.3405871</v>
      </c>
      <c r="F499" s="22" t="n">
        <v>757.9294067</v>
      </c>
      <c r="G499" s="22" t="n">
        <v>763.4811226</v>
      </c>
      <c r="H499" s="22" t="n">
        <v>755.8481492</v>
      </c>
      <c r="I499" s="22" t="n">
        <v>682.1450564</v>
      </c>
      <c r="J499" s="22" t="n">
        <v>688.3404989</v>
      </c>
      <c r="K499" s="22" t="n">
        <v>694.9991853</v>
      </c>
      <c r="L499" s="22" t="n">
        <v>694.9991853</v>
      </c>
      <c r="M499" s="22" t="n">
        <v>816.6307739</v>
      </c>
      <c r="N499" s="22" t="n">
        <v>951.4470519</v>
      </c>
      <c r="O499" s="14" t="n">
        <f aca="false">SUM(C499:N499)</f>
        <v>9145.5393195</v>
      </c>
      <c r="W499" s="1"/>
      <c r="X499" s="1"/>
      <c r="Y499" s="1"/>
      <c r="Z499" s="1"/>
    </row>
    <row r="500" customFormat="false" ht="15.75" hidden="false" customHeight="true" outlineLevel="0" collapsed="false">
      <c r="A500" s="13" t="s">
        <v>507</v>
      </c>
      <c r="B500" s="42" t="n">
        <v>2034</v>
      </c>
      <c r="C500" s="22" t="n">
        <v>369.7073631</v>
      </c>
      <c r="D500" s="22" t="n">
        <v>369.7073631</v>
      </c>
      <c r="E500" s="22" t="n">
        <v>419.2861385</v>
      </c>
      <c r="F500" s="22" t="n">
        <v>465.448381</v>
      </c>
      <c r="G500" s="22" t="n">
        <v>470.8687686</v>
      </c>
      <c r="H500" s="22" t="n">
        <v>461.4732675</v>
      </c>
      <c r="I500" s="22" t="n">
        <v>401.7405225</v>
      </c>
      <c r="J500" s="22" t="n">
        <v>407.9193785</v>
      </c>
      <c r="K500" s="22" t="n">
        <v>416.8318317</v>
      </c>
      <c r="L500" s="22" t="n">
        <v>416.8318317</v>
      </c>
      <c r="M500" s="22" t="n">
        <v>411.4114441</v>
      </c>
      <c r="N500" s="22" t="n">
        <v>420.8069453</v>
      </c>
      <c r="O500" s="14" t="n">
        <f aca="false">SUM(C500:N500)</f>
        <v>5032.0332356</v>
      </c>
      <c r="W500" s="1"/>
      <c r="X500" s="1"/>
      <c r="Y500" s="1"/>
      <c r="Z500" s="1"/>
    </row>
    <row r="501" customFormat="false" ht="15.75" hidden="false" customHeight="true" outlineLevel="0" collapsed="false">
      <c r="A501" s="13" t="s">
        <v>508</v>
      </c>
      <c r="B501" s="42" t="n">
        <v>2034</v>
      </c>
      <c r="C501" s="22" t="n">
        <v>331.9030292</v>
      </c>
      <c r="D501" s="22" t="n">
        <v>331.9030292</v>
      </c>
      <c r="E501" s="22" t="n">
        <v>417.5068067</v>
      </c>
      <c r="F501" s="22" t="n">
        <v>500.0263232</v>
      </c>
      <c r="G501" s="22" t="n">
        <v>504.8614045</v>
      </c>
      <c r="H501" s="22" t="n">
        <v>493.2103979</v>
      </c>
      <c r="I501" s="22" t="n">
        <v>399.0125211</v>
      </c>
      <c r="J501" s="22" t="n">
        <v>400.7906951</v>
      </c>
      <c r="K501" s="22" t="n">
        <v>410.970754</v>
      </c>
      <c r="L501" s="22" t="n">
        <v>410.970754</v>
      </c>
      <c r="M501" s="22" t="n">
        <v>406.1356727</v>
      </c>
      <c r="N501" s="22" t="n">
        <v>417.7866793</v>
      </c>
      <c r="O501" s="14" t="n">
        <f aca="false">SUM(C501:N501)</f>
        <v>5025.0780669</v>
      </c>
      <c r="W501" s="1"/>
      <c r="X501" s="1"/>
      <c r="Y501" s="1"/>
      <c r="Z501" s="1"/>
    </row>
    <row r="502" customFormat="false" ht="15.75" hidden="false" customHeight="true" outlineLevel="0" collapsed="false">
      <c r="A502" s="13" t="s">
        <v>509</v>
      </c>
      <c r="B502" s="42" t="n">
        <v>2034</v>
      </c>
      <c r="C502" s="22" t="n">
        <v>10.89998782</v>
      </c>
      <c r="D502" s="22" t="n">
        <v>10.89998782</v>
      </c>
      <c r="E502" s="22" t="n">
        <v>9.996160105</v>
      </c>
      <c r="F502" s="22" t="n">
        <v>9.996160105</v>
      </c>
      <c r="G502" s="22" t="n">
        <v>9.996160105</v>
      </c>
      <c r="H502" s="22" t="n">
        <v>9.092332389</v>
      </c>
      <c r="I502" s="22" t="n">
        <v>9.092332389</v>
      </c>
      <c r="J502" s="22" t="n">
        <v>9.092332389</v>
      </c>
      <c r="K502" s="22" t="n">
        <v>9.996160105</v>
      </c>
      <c r="L502" s="22" t="n">
        <v>9.996160105</v>
      </c>
      <c r="M502" s="22" t="n">
        <v>9.996160105</v>
      </c>
      <c r="N502" s="22" t="n">
        <v>10.89998782</v>
      </c>
      <c r="O502" s="14" t="n">
        <f aca="false">SUM(C502:N502)</f>
        <v>119.953921257</v>
      </c>
      <c r="W502" s="1"/>
      <c r="X502" s="1"/>
      <c r="Y502" s="1"/>
      <c r="Z502" s="1"/>
    </row>
    <row r="503" customFormat="false" ht="15.75" hidden="false" customHeight="true" outlineLevel="0" collapsed="false">
      <c r="A503" s="13" t="s">
        <v>510</v>
      </c>
      <c r="B503" s="42" t="n">
        <v>2034</v>
      </c>
      <c r="C503" s="22" t="n">
        <v>9132.542828</v>
      </c>
      <c r="D503" s="22" t="n">
        <v>7793.771201</v>
      </c>
      <c r="E503" s="22" t="n">
        <v>7143.698445</v>
      </c>
      <c r="F503" s="22" t="n">
        <v>7792.00181</v>
      </c>
      <c r="G503" s="22" t="n">
        <v>7850.440925</v>
      </c>
      <c r="H503" s="22" t="n">
        <v>7770.093836</v>
      </c>
      <c r="I503" s="22" t="n">
        <v>6994.271806</v>
      </c>
      <c r="J503" s="22" t="n">
        <v>7059.486991</v>
      </c>
      <c r="K503" s="22" t="n">
        <v>7129.578427</v>
      </c>
      <c r="L503" s="22" t="n">
        <v>7129.578427</v>
      </c>
      <c r="M503" s="22" t="n">
        <v>8409.910939</v>
      </c>
      <c r="N503" s="22" t="n">
        <v>9829.029655</v>
      </c>
      <c r="O503" s="14" t="n">
        <f aca="false">SUM(C503:N503)</f>
        <v>94034.40529</v>
      </c>
      <c r="W503" s="1"/>
      <c r="X503" s="1"/>
      <c r="Y503" s="1"/>
      <c r="Z503" s="1"/>
    </row>
    <row r="504" customFormat="false" ht="15.75" hidden="false" customHeight="true" outlineLevel="0" collapsed="false">
      <c r="A504" s="13" t="s">
        <v>511</v>
      </c>
      <c r="B504" s="42" t="n">
        <v>2034</v>
      </c>
      <c r="C504" s="22" t="n">
        <v>564.3063074</v>
      </c>
      <c r="D504" s="22" t="n">
        <v>564.3063074</v>
      </c>
      <c r="E504" s="22" t="n">
        <v>657.9512964</v>
      </c>
      <c r="F504" s="22" t="n">
        <v>747.3775307</v>
      </c>
      <c r="G504" s="22" t="n">
        <v>755.4758193</v>
      </c>
      <c r="H504" s="22" t="n">
        <v>738.9165439</v>
      </c>
      <c r="I504" s="22" t="n">
        <v>629.4265879</v>
      </c>
      <c r="J504" s="22" t="n">
        <v>636.810568</v>
      </c>
      <c r="K504" s="22" t="n">
        <v>652.1334803</v>
      </c>
      <c r="L504" s="22" t="n">
        <v>652.1334803</v>
      </c>
      <c r="M504" s="22" t="n">
        <v>644.0351916</v>
      </c>
      <c r="N504" s="22" t="n">
        <v>660.5944671</v>
      </c>
      <c r="O504" s="14" t="n">
        <f aca="false">SUM(C504:N504)</f>
        <v>7903.4675803</v>
      </c>
      <c r="W504" s="1"/>
      <c r="X504" s="1"/>
      <c r="Y504" s="1"/>
      <c r="Z504" s="1"/>
    </row>
    <row r="505" customFormat="false" ht="15.75" hidden="false" customHeight="true" outlineLevel="0" collapsed="false">
      <c r="A505" s="13" t="s">
        <v>512</v>
      </c>
      <c r="B505" s="42" t="n">
        <v>2034</v>
      </c>
      <c r="C505" s="22" t="n">
        <v>94.82516521</v>
      </c>
      <c r="D505" s="22" t="n">
        <v>80.89284744</v>
      </c>
      <c r="E505" s="22" t="n">
        <v>74.12767554</v>
      </c>
      <c r="F505" s="22" t="n">
        <v>80.87443376</v>
      </c>
      <c r="G505" s="22" t="n">
        <v>81.48259747</v>
      </c>
      <c r="H505" s="22" t="n">
        <v>80.64644204</v>
      </c>
      <c r="I505" s="22" t="n">
        <v>72.5726236</v>
      </c>
      <c r="J505" s="22" t="n">
        <v>73.25130445</v>
      </c>
      <c r="K505" s="22" t="n">
        <v>73.98073144</v>
      </c>
      <c r="L505" s="22" t="n">
        <v>73.98073144</v>
      </c>
      <c r="M505" s="22" t="n">
        <v>87.3048855</v>
      </c>
      <c r="N505" s="22" t="n">
        <v>102.0733587</v>
      </c>
      <c r="O505" s="14" t="n">
        <f aca="false">SUM(C505:N505)</f>
        <v>976.01279659</v>
      </c>
      <c r="W505" s="1"/>
      <c r="X505" s="1"/>
      <c r="Y505" s="1"/>
      <c r="Z505" s="1"/>
    </row>
    <row r="506" customFormat="false" ht="15.75" hidden="false" customHeight="true" outlineLevel="0" collapsed="false">
      <c r="A506" s="13" t="s">
        <v>423</v>
      </c>
      <c r="B506" s="42" t="n">
        <v>2034</v>
      </c>
      <c r="C506" s="22" t="n">
        <v>2641.829746</v>
      </c>
      <c r="D506" s="22" t="n">
        <v>2307.136839</v>
      </c>
      <c r="E506" s="22" t="n">
        <v>2207.977087</v>
      </c>
      <c r="F506" s="22" t="n">
        <v>2430.807104</v>
      </c>
      <c r="G506" s="22" t="n">
        <v>2450.54885</v>
      </c>
      <c r="H506" s="22" t="n">
        <v>2419.572447</v>
      </c>
      <c r="I506" s="22" t="n">
        <v>2152.190339</v>
      </c>
      <c r="J506" s="22" t="n">
        <v>2172.804635</v>
      </c>
      <c r="K506" s="22" t="n">
        <v>2200.330889</v>
      </c>
      <c r="L506" s="22" t="n">
        <v>2200.330889</v>
      </c>
      <c r="M506" s="22" t="n">
        <v>2515.28205</v>
      </c>
      <c r="N506" s="22" t="n">
        <v>2880.95136</v>
      </c>
      <c r="O506" s="14" t="n">
        <f aca="false">SUM(C506:N506)</f>
        <v>28579.762235</v>
      </c>
      <c r="W506" s="1"/>
      <c r="X506" s="1"/>
      <c r="Y506" s="1"/>
      <c r="Z506" s="1"/>
    </row>
    <row r="507" customFormat="false" ht="15.75" hidden="false" customHeight="true" outlineLevel="0" collapsed="false">
      <c r="A507" s="13" t="s">
        <v>424</v>
      </c>
      <c r="B507" s="42" t="n">
        <v>2034</v>
      </c>
      <c r="C507" s="22" t="n">
        <v>2519.114069</v>
      </c>
      <c r="D507" s="22" t="n">
        <v>2171.033446</v>
      </c>
      <c r="E507" s="22" t="n">
        <v>2036.669465</v>
      </c>
      <c r="F507" s="22" t="n">
        <v>2239.257007</v>
      </c>
      <c r="G507" s="22" t="n">
        <v>2256.445025</v>
      </c>
      <c r="H507" s="22" t="n">
        <v>2230.104652</v>
      </c>
      <c r="I507" s="22" t="n">
        <v>1989.546439</v>
      </c>
      <c r="J507" s="22" t="n">
        <v>2007.235654</v>
      </c>
      <c r="K507" s="22" t="n">
        <v>2030.302981</v>
      </c>
      <c r="L507" s="22" t="n">
        <v>2030.302981</v>
      </c>
      <c r="M507" s="22" t="n">
        <v>2361.195586</v>
      </c>
      <c r="N507" s="22" t="n">
        <v>2735.616583</v>
      </c>
      <c r="O507" s="14" t="n">
        <f aca="false">SUM(C507:N507)</f>
        <v>26606.823888</v>
      </c>
      <c r="W507" s="1"/>
      <c r="X507" s="1"/>
      <c r="Y507" s="1"/>
      <c r="Z507" s="1"/>
    </row>
    <row r="508" customFormat="false" ht="15.75" hidden="false" customHeight="true" outlineLevel="0" collapsed="false">
      <c r="A508" s="13" t="s">
        <v>513</v>
      </c>
      <c r="B508" s="42" t="n">
        <v>2034</v>
      </c>
      <c r="C508" s="22" t="n">
        <v>2519.114069</v>
      </c>
      <c r="D508" s="22" t="n">
        <v>2171.033446</v>
      </c>
      <c r="E508" s="22" t="n">
        <v>2036.669465</v>
      </c>
      <c r="F508" s="22" t="n">
        <v>2239.257007</v>
      </c>
      <c r="G508" s="22" t="n">
        <v>2256.445025</v>
      </c>
      <c r="H508" s="22" t="n">
        <v>2230.104652</v>
      </c>
      <c r="I508" s="22" t="n">
        <v>1989.546439</v>
      </c>
      <c r="J508" s="22" t="n">
        <v>2007.235654</v>
      </c>
      <c r="K508" s="22" t="n">
        <v>2030.302981</v>
      </c>
      <c r="L508" s="22" t="n">
        <v>2030.302981</v>
      </c>
      <c r="M508" s="22" t="n">
        <v>2361.195586</v>
      </c>
      <c r="N508" s="22" t="n">
        <v>2735.616583</v>
      </c>
      <c r="O508" s="14" t="n">
        <f aca="false">SUM(C508:N508)</f>
        <v>26606.823888</v>
      </c>
      <c r="W508" s="1"/>
      <c r="X508" s="1"/>
      <c r="Y508" s="1"/>
      <c r="Z508" s="1"/>
    </row>
    <row r="509" customFormat="false" ht="15.75" hidden="false" customHeight="true" outlineLevel="0" collapsed="false">
      <c r="A509" s="13" t="s">
        <v>514</v>
      </c>
      <c r="B509" s="42" t="n">
        <v>2034</v>
      </c>
      <c r="C509" s="22" t="n">
        <v>1515.048031</v>
      </c>
      <c r="D509" s="22" t="n">
        <v>1314.232287</v>
      </c>
      <c r="E509" s="22" t="n">
        <v>1245.342563</v>
      </c>
      <c r="F509" s="22" t="n">
        <v>1370.294043</v>
      </c>
      <c r="G509" s="22" t="n">
        <v>1381.11207</v>
      </c>
      <c r="H509" s="22" t="n">
        <v>1364.306428</v>
      </c>
      <c r="I509" s="22" t="n">
        <v>1215.194946</v>
      </c>
      <c r="J509" s="22" t="n">
        <v>1226.392793</v>
      </c>
      <c r="K509" s="22" t="n">
        <v>1241.219871</v>
      </c>
      <c r="L509" s="22" t="n">
        <v>1241.219871</v>
      </c>
      <c r="M509" s="22" t="n">
        <v>1431.217588</v>
      </c>
      <c r="N509" s="22" t="n">
        <v>1648.838973</v>
      </c>
      <c r="O509" s="14" t="n">
        <f aca="false">SUM(C509:N509)</f>
        <v>16194.419464</v>
      </c>
      <c r="W509" s="1"/>
      <c r="X509" s="1"/>
      <c r="Y509" s="1"/>
      <c r="Z509" s="1"/>
    </row>
    <row r="510" customFormat="false" ht="15.75" hidden="false" customHeight="true" outlineLevel="0" collapsed="false">
      <c r="A510" s="13" t="s">
        <v>515</v>
      </c>
      <c r="B510" s="42" t="n">
        <v>2034</v>
      </c>
      <c r="C510" s="22" t="n">
        <v>9147.198207</v>
      </c>
      <c r="D510" s="22" t="n">
        <v>7808.42658</v>
      </c>
      <c r="E510" s="22" t="n">
        <v>7158.353824</v>
      </c>
      <c r="F510" s="22" t="n">
        <v>7806.657189</v>
      </c>
      <c r="G510" s="22" t="n">
        <v>7865.096304</v>
      </c>
      <c r="H510" s="22" t="n">
        <v>7784.749215</v>
      </c>
      <c r="I510" s="22" t="n">
        <v>7008.927185</v>
      </c>
      <c r="J510" s="22" t="n">
        <v>7074.14237</v>
      </c>
      <c r="K510" s="22" t="n">
        <v>7144.233806</v>
      </c>
      <c r="L510" s="22" t="n">
        <v>7144.233806</v>
      </c>
      <c r="M510" s="22" t="n">
        <v>8424.566318</v>
      </c>
      <c r="N510" s="22" t="n">
        <v>9843.685034</v>
      </c>
      <c r="O510" s="14" t="n">
        <f aca="false">SUM(C510:N510)</f>
        <v>94210.269838</v>
      </c>
      <c r="W510" s="1"/>
      <c r="X510" s="1"/>
      <c r="Y510" s="1"/>
      <c r="Z510" s="1"/>
    </row>
    <row r="511" customFormat="false" ht="15.75" hidden="false" customHeight="true" outlineLevel="0" collapsed="false">
      <c r="A511" s="13" t="s">
        <v>516</v>
      </c>
      <c r="B511" s="42" t="n">
        <v>2034</v>
      </c>
      <c r="C511" s="22" t="n">
        <v>9132.542828</v>
      </c>
      <c r="D511" s="22" t="n">
        <v>7793.771201</v>
      </c>
      <c r="E511" s="22" t="n">
        <v>7143.698445</v>
      </c>
      <c r="F511" s="22" t="n">
        <v>7792.00181</v>
      </c>
      <c r="G511" s="22" t="n">
        <v>7850.440925</v>
      </c>
      <c r="H511" s="22" t="n">
        <v>7770.093836</v>
      </c>
      <c r="I511" s="22" t="n">
        <v>6994.271806</v>
      </c>
      <c r="J511" s="22" t="n">
        <v>7059.486991</v>
      </c>
      <c r="K511" s="22" t="n">
        <v>7129.578427</v>
      </c>
      <c r="L511" s="22" t="n">
        <v>7129.578427</v>
      </c>
      <c r="M511" s="22" t="n">
        <v>8409.910939</v>
      </c>
      <c r="N511" s="22" t="n">
        <v>9829.029655</v>
      </c>
      <c r="O511" s="14" t="n">
        <f aca="false">SUM(C511:N511)</f>
        <v>94034.40529</v>
      </c>
      <c r="W511" s="1"/>
      <c r="X511" s="1"/>
      <c r="Y511" s="1"/>
      <c r="Z511" s="1"/>
    </row>
    <row r="512" customFormat="false" ht="15.75" hidden="false" customHeight="true" outlineLevel="0" collapsed="false">
      <c r="A512" s="13" t="s">
        <v>517</v>
      </c>
      <c r="B512" s="42" t="n">
        <v>2034</v>
      </c>
      <c r="C512" s="22" t="n">
        <v>9132.542828</v>
      </c>
      <c r="D512" s="22" t="n">
        <v>7793.771201</v>
      </c>
      <c r="E512" s="22" t="n">
        <v>7143.698445</v>
      </c>
      <c r="F512" s="22" t="n">
        <v>7792.00181</v>
      </c>
      <c r="G512" s="22" t="n">
        <v>7850.440925</v>
      </c>
      <c r="H512" s="22" t="n">
        <v>7770.093836</v>
      </c>
      <c r="I512" s="22" t="n">
        <v>6994.271806</v>
      </c>
      <c r="J512" s="22" t="n">
        <v>7059.486991</v>
      </c>
      <c r="K512" s="22" t="n">
        <v>7129.578427</v>
      </c>
      <c r="L512" s="22" t="n">
        <v>7129.578427</v>
      </c>
      <c r="M512" s="22" t="n">
        <v>8409.910939</v>
      </c>
      <c r="N512" s="22" t="n">
        <v>9829.029655</v>
      </c>
      <c r="O512" s="14" t="n">
        <f aca="false">SUM(C512:N512)</f>
        <v>94034.40529</v>
      </c>
      <c r="W512" s="1"/>
      <c r="X512" s="1"/>
      <c r="Y512" s="1"/>
      <c r="Z512" s="1"/>
    </row>
    <row r="513" customFormat="false" ht="15.75" hidden="false" customHeight="true" outlineLevel="0" collapsed="false">
      <c r="A513" s="13" t="s">
        <v>518</v>
      </c>
      <c r="B513" s="42" t="n">
        <v>2034</v>
      </c>
      <c r="C513" s="22" t="n">
        <v>564.3063074</v>
      </c>
      <c r="D513" s="22" t="n">
        <v>564.3063074</v>
      </c>
      <c r="E513" s="22" t="n">
        <v>657.9512964</v>
      </c>
      <c r="F513" s="22" t="n">
        <v>747.3775307</v>
      </c>
      <c r="G513" s="22" t="n">
        <v>755.4758193</v>
      </c>
      <c r="H513" s="22" t="n">
        <v>738.9165439</v>
      </c>
      <c r="I513" s="22" t="n">
        <v>629.4265879</v>
      </c>
      <c r="J513" s="22" t="n">
        <v>636.810568</v>
      </c>
      <c r="K513" s="22" t="n">
        <v>652.1334803</v>
      </c>
      <c r="L513" s="22" t="n">
        <v>652.1334803</v>
      </c>
      <c r="M513" s="22" t="n">
        <v>644.0351916</v>
      </c>
      <c r="N513" s="22" t="n">
        <v>660.5944671</v>
      </c>
      <c r="O513" s="14" t="n">
        <f aca="false">SUM(C513:N513)</f>
        <v>7903.4675803</v>
      </c>
      <c r="W513" s="1"/>
      <c r="X513" s="1"/>
      <c r="Y513" s="1"/>
      <c r="Z513" s="1"/>
    </row>
    <row r="514" customFormat="false" ht="15.75" hidden="false" customHeight="true" outlineLevel="0" collapsed="false">
      <c r="A514" s="13" t="s">
        <v>519</v>
      </c>
      <c r="B514" s="42" t="n">
        <v>2034</v>
      </c>
      <c r="C514" s="22" t="n">
        <v>376.0976288</v>
      </c>
      <c r="D514" s="22" t="n">
        <v>376.0976288</v>
      </c>
      <c r="E514" s="22" t="n">
        <v>466.2004612</v>
      </c>
      <c r="F514" s="22" t="n">
        <v>554.6749944</v>
      </c>
      <c r="G514" s="22" t="n">
        <v>559.8589991</v>
      </c>
      <c r="H514" s="22" t="n">
        <v>545.688661</v>
      </c>
      <c r="I514" s="22" t="n">
        <v>444.6929992</v>
      </c>
      <c r="J514" s="22" t="n">
        <v>446.5994951</v>
      </c>
      <c r="K514" s="22" t="n">
        <v>459.1927346</v>
      </c>
      <c r="L514" s="22" t="n">
        <v>459.1927346</v>
      </c>
      <c r="M514" s="22" t="n">
        <v>454.0087299</v>
      </c>
      <c r="N514" s="22" t="n">
        <v>468.179068</v>
      </c>
      <c r="O514" s="14" t="n">
        <f aca="false">SUM(C514:N514)</f>
        <v>5610.4841347</v>
      </c>
      <c r="W514" s="1"/>
      <c r="X514" s="1"/>
      <c r="Y514" s="1"/>
      <c r="Z514" s="1"/>
    </row>
    <row r="515" customFormat="false" ht="15.75" hidden="false" customHeight="true" outlineLevel="0" collapsed="false">
      <c r="A515" s="13" t="s">
        <v>520</v>
      </c>
      <c r="B515" s="42" t="n">
        <v>2034</v>
      </c>
      <c r="C515" s="22" t="n">
        <v>10100.32021</v>
      </c>
      <c r="D515" s="22" t="n">
        <v>8761.548583</v>
      </c>
      <c r="E515" s="22" t="n">
        <v>8302.283754</v>
      </c>
      <c r="F515" s="22" t="n">
        <v>9135.29362</v>
      </c>
      <c r="G515" s="22" t="n">
        <v>9207.413797</v>
      </c>
      <c r="H515" s="22" t="n">
        <v>9095.376187</v>
      </c>
      <c r="I515" s="22" t="n">
        <v>8101.299643</v>
      </c>
      <c r="J515" s="22" t="n">
        <v>8175.951956</v>
      </c>
      <c r="K515" s="22" t="n">
        <v>8274.799137</v>
      </c>
      <c r="L515" s="22" t="n">
        <v>8274.799137</v>
      </c>
      <c r="M515" s="22" t="n">
        <v>9541.450586</v>
      </c>
      <c r="N515" s="22" t="n">
        <v>10992.25982</v>
      </c>
      <c r="O515" s="14" t="n">
        <f aca="false">SUM(C515:N515)</f>
        <v>107962.79643</v>
      </c>
      <c r="W515" s="1"/>
      <c r="X515" s="1"/>
      <c r="Y515" s="1"/>
      <c r="Z515" s="1"/>
    </row>
    <row r="516" customFormat="false" ht="15.75" hidden="false" customHeight="true" outlineLevel="0" collapsed="false">
      <c r="A516" s="13" t="s">
        <v>521</v>
      </c>
      <c r="B516" s="42" t="n">
        <v>2034</v>
      </c>
      <c r="C516" s="22" t="n">
        <v>10100.32021</v>
      </c>
      <c r="D516" s="22" t="n">
        <v>8761.548583</v>
      </c>
      <c r="E516" s="22" t="n">
        <v>8302.283754</v>
      </c>
      <c r="F516" s="22" t="n">
        <v>9135.29362</v>
      </c>
      <c r="G516" s="22" t="n">
        <v>9207.413797</v>
      </c>
      <c r="H516" s="22" t="n">
        <v>9095.376187</v>
      </c>
      <c r="I516" s="22" t="n">
        <v>8101.299643</v>
      </c>
      <c r="J516" s="22" t="n">
        <v>8175.951956</v>
      </c>
      <c r="K516" s="22" t="n">
        <v>8274.799137</v>
      </c>
      <c r="L516" s="22" t="n">
        <v>8274.799137</v>
      </c>
      <c r="M516" s="22" t="n">
        <v>9541.450586</v>
      </c>
      <c r="N516" s="22" t="n">
        <v>10992.25982</v>
      </c>
      <c r="O516" s="14" t="n">
        <f aca="false">SUM(C516:N516)</f>
        <v>107962.79643</v>
      </c>
      <c r="W516" s="1"/>
      <c r="X516" s="1"/>
      <c r="Y516" s="1"/>
      <c r="Z516" s="1"/>
    </row>
    <row r="517" customFormat="false" ht="15.75" hidden="false" customHeight="true" outlineLevel="0" collapsed="false">
      <c r="A517" s="13" t="s">
        <v>522</v>
      </c>
      <c r="B517" s="42" t="n">
        <v>2034</v>
      </c>
      <c r="C517" s="22" t="n">
        <v>798.9011348</v>
      </c>
      <c r="D517" s="22" t="n">
        <v>691.7994047</v>
      </c>
      <c r="E517" s="22" t="n">
        <v>652.70485</v>
      </c>
      <c r="F517" s="22" t="n">
        <v>717.0770614</v>
      </c>
      <c r="G517" s="22" t="n">
        <v>722.7137525</v>
      </c>
      <c r="H517" s="22" t="n">
        <v>714.0710462</v>
      </c>
      <c r="I517" s="22" t="n">
        <v>637.134555</v>
      </c>
      <c r="J517" s="22" t="n">
        <v>643.0578556</v>
      </c>
      <c r="K517" s="22" t="n">
        <v>650.6857659</v>
      </c>
      <c r="L517" s="22" t="n">
        <v>650.6857659</v>
      </c>
      <c r="M517" s="22" t="n">
        <v>752.150805</v>
      </c>
      <c r="N517" s="22" t="n">
        <v>867.8952414</v>
      </c>
      <c r="O517" s="14" t="n">
        <f aca="false">SUM(C517:N517)</f>
        <v>8498.8772384</v>
      </c>
      <c r="W517" s="1"/>
      <c r="X517" s="1"/>
      <c r="Y517" s="1"/>
      <c r="Z517" s="1"/>
    </row>
    <row r="518" customFormat="false" ht="15.75" hidden="false" customHeight="true" outlineLevel="0" collapsed="false">
      <c r="A518" s="13" t="s">
        <v>523</v>
      </c>
      <c r="B518" s="42" t="n">
        <v>2034</v>
      </c>
      <c r="C518" s="22" t="n">
        <v>261.9938226</v>
      </c>
      <c r="D518" s="22" t="n">
        <v>261.9938226</v>
      </c>
      <c r="E518" s="22" t="n">
        <v>285.7689828</v>
      </c>
      <c r="F518" s="22" t="n">
        <v>318.3089373</v>
      </c>
      <c r="G518" s="22" t="n">
        <v>323.4553627</v>
      </c>
      <c r="H518" s="22" t="n">
        <v>308.0577927</v>
      </c>
      <c r="I518" s="22" t="n">
        <v>269.3344234</v>
      </c>
      <c r="J518" s="22" t="n">
        <v>274.0314879</v>
      </c>
      <c r="K518" s="22" t="n">
        <v>287.0027523</v>
      </c>
      <c r="L518" s="22" t="n">
        <v>287.0027523</v>
      </c>
      <c r="M518" s="22" t="n">
        <v>281.8563269</v>
      </c>
      <c r="N518" s="22" t="n">
        <v>297.2538969</v>
      </c>
      <c r="O518" s="14" t="n">
        <f aca="false">SUM(C518:N518)</f>
        <v>3456.0603604</v>
      </c>
      <c r="W518" s="1"/>
      <c r="X518" s="1"/>
      <c r="Y518" s="1"/>
      <c r="Z518" s="1"/>
    </row>
    <row r="519" customFormat="false" ht="15.75" hidden="false" customHeight="true" outlineLevel="0" collapsed="false">
      <c r="A519" s="13" t="s">
        <v>503</v>
      </c>
      <c r="B519" s="42" t="n">
        <v>2035</v>
      </c>
      <c r="C519" s="22" t="n">
        <v>10822.07538</v>
      </c>
      <c r="D519" s="22" t="n">
        <v>9391.262503</v>
      </c>
      <c r="E519" s="22" t="n">
        <v>8906.03007</v>
      </c>
      <c r="F519" s="22" t="n">
        <v>9801.729969</v>
      </c>
      <c r="G519" s="22" t="n">
        <v>9879.358481</v>
      </c>
      <c r="H519" s="22" t="n">
        <v>9758.703258</v>
      </c>
      <c r="I519" s="22" t="n">
        <v>8689.691505</v>
      </c>
      <c r="J519" s="22" t="n">
        <v>8770.096101</v>
      </c>
      <c r="K519" s="22" t="n">
        <v>8876.551924</v>
      </c>
      <c r="L519" s="22" t="n">
        <v>8876.551924</v>
      </c>
      <c r="M519" s="22" t="n">
        <v>10229.73629</v>
      </c>
      <c r="N519" s="22" t="n">
        <v>11781.20439</v>
      </c>
      <c r="O519" s="14" t="n">
        <f aca="false">SUM(C519:N519)</f>
        <v>115782.991795</v>
      </c>
      <c r="W519" s="1"/>
      <c r="X519" s="1"/>
      <c r="Y519" s="1"/>
      <c r="Z519" s="1"/>
    </row>
    <row r="520" customFormat="false" ht="15.75" hidden="false" customHeight="true" outlineLevel="0" collapsed="false">
      <c r="A520" s="13" t="s">
        <v>504</v>
      </c>
      <c r="B520" s="42" t="n">
        <v>2035</v>
      </c>
      <c r="C520" s="22" t="n">
        <v>10822.07538</v>
      </c>
      <c r="D520" s="22" t="n">
        <v>9391.262503</v>
      </c>
      <c r="E520" s="22" t="n">
        <v>8906.03007</v>
      </c>
      <c r="F520" s="22" t="n">
        <v>9801.729969</v>
      </c>
      <c r="G520" s="22" t="n">
        <v>9879.358481</v>
      </c>
      <c r="H520" s="22" t="n">
        <v>9758.703258</v>
      </c>
      <c r="I520" s="22" t="n">
        <v>8689.691505</v>
      </c>
      <c r="J520" s="22" t="n">
        <v>8770.096101</v>
      </c>
      <c r="K520" s="22" t="n">
        <v>8876.551924</v>
      </c>
      <c r="L520" s="22" t="n">
        <v>8876.551924</v>
      </c>
      <c r="M520" s="22" t="n">
        <v>10229.73629</v>
      </c>
      <c r="N520" s="22" t="n">
        <v>11781.20439</v>
      </c>
      <c r="O520" s="14" t="n">
        <f aca="false">SUM(C520:N520)</f>
        <v>115782.991795</v>
      </c>
      <c r="W520" s="1"/>
      <c r="X520" s="1"/>
      <c r="Y520" s="1"/>
      <c r="Z520" s="1"/>
    </row>
    <row r="521" customFormat="false" ht="15.75" hidden="false" customHeight="true" outlineLevel="0" collapsed="false">
      <c r="A521" s="13" t="s">
        <v>505</v>
      </c>
      <c r="B521" s="42" t="n">
        <v>2035</v>
      </c>
      <c r="C521" s="22" t="n">
        <v>8342.078209</v>
      </c>
      <c r="D521" s="22" t="n">
        <v>7118.733197</v>
      </c>
      <c r="E521" s="22" t="n">
        <v>6528.458227</v>
      </c>
      <c r="F521" s="22" t="n">
        <v>7124.436728</v>
      </c>
      <c r="G521" s="22" t="n">
        <v>7178.206593</v>
      </c>
      <c r="H521" s="22" t="n">
        <v>7104.256694</v>
      </c>
      <c r="I521" s="22" t="n">
        <v>6390.962157</v>
      </c>
      <c r="J521" s="22" t="n">
        <v>6451.006618</v>
      </c>
      <c r="K521" s="22" t="n">
        <v>6515.526776</v>
      </c>
      <c r="L521" s="22" t="n">
        <v>6515.526776</v>
      </c>
      <c r="M521" s="22" t="n">
        <v>7685.101923</v>
      </c>
      <c r="N521" s="22" t="n">
        <v>8982.396835</v>
      </c>
      <c r="O521" s="14" t="n">
        <f aca="false">SUM(C521:N521)</f>
        <v>85936.690733</v>
      </c>
      <c r="W521" s="1"/>
      <c r="X521" s="1"/>
      <c r="Y521" s="1"/>
      <c r="Z521" s="1"/>
    </row>
    <row r="522" customFormat="false" ht="15.75" hidden="false" customHeight="true" outlineLevel="0" collapsed="false">
      <c r="A522" s="13" t="s">
        <v>506</v>
      </c>
      <c r="B522" s="42" t="n">
        <v>2035</v>
      </c>
      <c r="C522" s="22" t="n">
        <v>948.2112586</v>
      </c>
      <c r="D522" s="22" t="n">
        <v>812.284035</v>
      </c>
      <c r="E522" s="22" t="n">
        <v>746.6979271</v>
      </c>
      <c r="F522" s="22" t="n">
        <v>812.9177606</v>
      </c>
      <c r="G522" s="22" t="n">
        <v>818.8921901</v>
      </c>
      <c r="H522" s="22" t="n">
        <v>810.6755346</v>
      </c>
      <c r="I522" s="22" t="n">
        <v>731.4205861</v>
      </c>
      <c r="J522" s="22" t="n">
        <v>738.0921928</v>
      </c>
      <c r="K522" s="22" t="n">
        <v>745.2610993</v>
      </c>
      <c r="L522" s="22" t="n">
        <v>745.2610993</v>
      </c>
      <c r="M522" s="22" t="n">
        <v>875.2138934</v>
      </c>
      <c r="N522" s="22" t="n">
        <v>1019.357773</v>
      </c>
      <c r="O522" s="14" t="n">
        <f aca="false">SUM(C522:N522)</f>
        <v>9804.2853499</v>
      </c>
      <c r="W522" s="1"/>
      <c r="X522" s="1"/>
      <c r="Y522" s="1"/>
      <c r="Z522" s="1"/>
    </row>
    <row r="523" customFormat="false" ht="15.75" hidden="false" customHeight="true" outlineLevel="0" collapsed="false">
      <c r="A523" s="13" t="s">
        <v>507</v>
      </c>
      <c r="B523" s="42" t="n">
        <v>2035</v>
      </c>
      <c r="C523" s="22" t="n">
        <v>398.7181703</v>
      </c>
      <c r="D523" s="22" t="n">
        <v>398.7181703</v>
      </c>
      <c r="E523" s="22" t="n">
        <v>452.0683872</v>
      </c>
      <c r="F523" s="22" t="n">
        <v>501.7388191</v>
      </c>
      <c r="G523" s="22" t="n">
        <v>507.5731825</v>
      </c>
      <c r="H523" s="22" t="n">
        <v>497.4635567</v>
      </c>
      <c r="I523" s="22" t="n">
        <v>433.1861918</v>
      </c>
      <c r="J523" s="22" t="n">
        <v>439.8380774</v>
      </c>
      <c r="K523" s="22" t="n">
        <v>449.4280445</v>
      </c>
      <c r="L523" s="22" t="n">
        <v>449.4280445</v>
      </c>
      <c r="M523" s="22" t="n">
        <v>443.5936811</v>
      </c>
      <c r="N523" s="22" t="n">
        <v>453.7033068</v>
      </c>
      <c r="O523" s="14" t="n">
        <f aca="false">SUM(C523:N523)</f>
        <v>5425.4576322</v>
      </c>
      <c r="W523" s="1"/>
      <c r="X523" s="1"/>
      <c r="Y523" s="1"/>
      <c r="Z523" s="1"/>
    </row>
    <row r="524" customFormat="false" ht="15.75" hidden="false" customHeight="true" outlineLevel="0" collapsed="false">
      <c r="A524" s="13" t="s">
        <v>508</v>
      </c>
      <c r="B524" s="42" t="n">
        <v>2035</v>
      </c>
      <c r="C524" s="22" t="n">
        <v>357.241917</v>
      </c>
      <c r="D524" s="22" t="n">
        <v>357.241917</v>
      </c>
      <c r="E524" s="22" t="n">
        <v>449.2663192</v>
      </c>
      <c r="F524" s="22" t="n">
        <v>537.999709</v>
      </c>
      <c r="G524" s="22" t="n">
        <v>543.2124561</v>
      </c>
      <c r="H524" s="22" t="n">
        <v>530.6515023</v>
      </c>
      <c r="I524" s="22" t="n">
        <v>429.3539456</v>
      </c>
      <c r="J524" s="22" t="n">
        <v>431.2788934</v>
      </c>
      <c r="K524" s="22" t="n">
        <v>442.2493788</v>
      </c>
      <c r="L524" s="22" t="n">
        <v>442.2493788</v>
      </c>
      <c r="M524" s="22" t="n">
        <v>437.0366318</v>
      </c>
      <c r="N524" s="22" t="n">
        <v>449.5975855</v>
      </c>
      <c r="O524" s="14" t="n">
        <f aca="false">SUM(C524:N524)</f>
        <v>5407.3796345</v>
      </c>
      <c r="W524" s="1"/>
      <c r="X524" s="1"/>
      <c r="Y524" s="1"/>
      <c r="Z524" s="1"/>
    </row>
    <row r="525" customFormat="false" ht="15.75" hidden="false" customHeight="true" outlineLevel="0" collapsed="false">
      <c r="A525" s="13" t="s">
        <v>509</v>
      </c>
      <c r="B525" s="42" t="n">
        <v>2035</v>
      </c>
      <c r="C525" s="22" t="n">
        <v>11.84923458</v>
      </c>
      <c r="D525" s="22" t="n">
        <v>11.84923458</v>
      </c>
      <c r="E525" s="22" t="n">
        <v>10.86807918</v>
      </c>
      <c r="F525" s="22" t="n">
        <v>10.86807918</v>
      </c>
      <c r="G525" s="22" t="n">
        <v>10.86807918</v>
      </c>
      <c r="H525" s="22" t="n">
        <v>9.886923774</v>
      </c>
      <c r="I525" s="22" t="n">
        <v>9.886923774</v>
      </c>
      <c r="J525" s="22" t="n">
        <v>9.886923774</v>
      </c>
      <c r="K525" s="22" t="n">
        <v>10.86807918</v>
      </c>
      <c r="L525" s="22" t="n">
        <v>10.86807918</v>
      </c>
      <c r="M525" s="22" t="n">
        <v>10.86807918</v>
      </c>
      <c r="N525" s="22" t="n">
        <v>11.84923458</v>
      </c>
      <c r="O525" s="14" t="n">
        <f aca="false">SUM(C525:N525)</f>
        <v>130.416950142</v>
      </c>
      <c r="W525" s="1"/>
      <c r="X525" s="1"/>
      <c r="Y525" s="1"/>
      <c r="Z525" s="1"/>
    </row>
    <row r="526" customFormat="false" ht="15.75" hidden="false" customHeight="true" outlineLevel="0" collapsed="false">
      <c r="A526" s="13" t="s">
        <v>510</v>
      </c>
      <c r="B526" s="42" t="n">
        <v>2035</v>
      </c>
      <c r="C526" s="22" t="n">
        <v>9779.252072</v>
      </c>
      <c r="D526" s="22" t="n">
        <v>8348.439192</v>
      </c>
      <c r="E526" s="22" t="n">
        <v>7658.059109</v>
      </c>
      <c r="F526" s="22" t="n">
        <v>8355.109988</v>
      </c>
      <c r="G526" s="22" t="n">
        <v>8417.99872</v>
      </c>
      <c r="H526" s="22" t="n">
        <v>8331.507609</v>
      </c>
      <c r="I526" s="22" t="n">
        <v>7497.244993</v>
      </c>
      <c r="J526" s="22" t="n">
        <v>7567.472432</v>
      </c>
      <c r="K526" s="22" t="n">
        <v>7642.934606</v>
      </c>
      <c r="L526" s="22" t="n">
        <v>7642.934606</v>
      </c>
      <c r="M526" s="22" t="n">
        <v>9010.858754</v>
      </c>
      <c r="N526" s="22" t="n">
        <v>10528.16274</v>
      </c>
      <c r="O526" s="14" t="n">
        <f aca="false">SUM(C526:N526)</f>
        <v>100779.974821</v>
      </c>
      <c r="W526" s="1"/>
      <c r="X526" s="1"/>
      <c r="Y526" s="1"/>
      <c r="Z526" s="1"/>
    </row>
    <row r="527" customFormat="false" ht="15.75" hidden="false" customHeight="true" outlineLevel="0" collapsed="false">
      <c r="A527" s="13" t="s">
        <v>511</v>
      </c>
      <c r="B527" s="42" t="n">
        <v>2035</v>
      </c>
      <c r="C527" s="22" t="n">
        <v>608.3320771</v>
      </c>
      <c r="D527" s="22" t="n">
        <v>608.3320771</v>
      </c>
      <c r="E527" s="22" t="n">
        <v>709.0468933</v>
      </c>
      <c r="F527" s="22" t="n">
        <v>805.2408647</v>
      </c>
      <c r="G527" s="22" t="n">
        <v>813.9618035</v>
      </c>
      <c r="H527" s="22" t="n">
        <v>796.1232071</v>
      </c>
      <c r="I527" s="22" t="n">
        <v>678.3361969</v>
      </c>
      <c r="J527" s="22" t="n">
        <v>686.2907333</v>
      </c>
      <c r="K527" s="22" t="n">
        <v>702.7952847</v>
      </c>
      <c r="L527" s="22" t="n">
        <v>702.7952847</v>
      </c>
      <c r="M527" s="22" t="n">
        <v>694.0743458</v>
      </c>
      <c r="N527" s="22" t="n">
        <v>711.9129423</v>
      </c>
      <c r="O527" s="14" t="n">
        <f aca="false">SUM(C527:N527)</f>
        <v>8517.2417105</v>
      </c>
      <c r="W527" s="1"/>
      <c r="X527" s="1"/>
      <c r="Y527" s="1"/>
      <c r="Z527" s="1"/>
    </row>
    <row r="528" customFormat="false" ht="15.75" hidden="false" customHeight="true" outlineLevel="0" collapsed="false">
      <c r="A528" s="13" t="s">
        <v>512</v>
      </c>
      <c r="B528" s="42" t="n">
        <v>2035</v>
      </c>
      <c r="C528" s="22" t="n">
        <v>101.5371605</v>
      </c>
      <c r="D528" s="22" t="n">
        <v>86.64698856</v>
      </c>
      <c r="E528" s="22" t="n">
        <v>79.46234668</v>
      </c>
      <c r="F528" s="22" t="n">
        <v>86.71641015</v>
      </c>
      <c r="G528" s="22" t="n">
        <v>87.37088009</v>
      </c>
      <c r="H528" s="22" t="n">
        <v>86.47078509</v>
      </c>
      <c r="I528" s="22" t="n">
        <v>77.78878763</v>
      </c>
      <c r="J528" s="22" t="n">
        <v>78.51962998</v>
      </c>
      <c r="K528" s="22" t="n">
        <v>79.30494912</v>
      </c>
      <c r="L528" s="22" t="n">
        <v>79.30494912</v>
      </c>
      <c r="M528" s="22" t="n">
        <v>93.54065111</v>
      </c>
      <c r="N528" s="22" t="n">
        <v>109.330918</v>
      </c>
      <c r="O528" s="14" t="n">
        <f aca="false">SUM(C528:N528)</f>
        <v>1045.99445603</v>
      </c>
      <c r="W528" s="1"/>
      <c r="X528" s="1"/>
      <c r="Y528" s="1"/>
      <c r="Z528" s="1"/>
    </row>
    <row r="529" customFormat="false" ht="15.75" hidden="false" customHeight="true" outlineLevel="0" collapsed="false">
      <c r="A529" s="13" t="s">
        <v>423</v>
      </c>
      <c r="B529" s="42" t="n">
        <v>2035</v>
      </c>
      <c r="C529" s="22" t="n">
        <v>2831.429847</v>
      </c>
      <c r="D529" s="22" t="n">
        <v>2473.726627</v>
      </c>
      <c r="E529" s="22" t="n">
        <v>2369.265956</v>
      </c>
      <c r="F529" s="22" t="n">
        <v>2608.87633</v>
      </c>
      <c r="G529" s="22" t="n">
        <v>2630.125888</v>
      </c>
      <c r="H529" s="22" t="n">
        <v>2596.769569</v>
      </c>
      <c r="I529" s="22" t="n">
        <v>2309.218516</v>
      </c>
      <c r="J529" s="22" t="n">
        <v>2331.42026</v>
      </c>
      <c r="K529" s="22" t="n">
        <v>2361.062627</v>
      </c>
      <c r="L529" s="22" t="n">
        <v>2361.062627</v>
      </c>
      <c r="M529" s="22" t="n">
        <v>2697.516288</v>
      </c>
      <c r="N529" s="22" t="n">
        <v>3088.575827</v>
      </c>
      <c r="O529" s="14" t="n">
        <f aca="false">SUM(C529:N529)</f>
        <v>30659.050362</v>
      </c>
      <c r="W529" s="1"/>
      <c r="X529" s="1"/>
      <c r="Y529" s="1"/>
      <c r="Z529" s="1"/>
    </row>
    <row r="530" customFormat="false" ht="15.75" hidden="false" customHeight="true" outlineLevel="0" collapsed="false">
      <c r="A530" s="13" t="s">
        <v>424</v>
      </c>
      <c r="B530" s="42" t="n">
        <v>2035</v>
      </c>
      <c r="C530" s="22" t="n">
        <v>2698.385532</v>
      </c>
      <c r="D530" s="22" t="n">
        <v>2326.374183</v>
      </c>
      <c r="E530" s="22" t="n">
        <v>2184.122744</v>
      </c>
      <c r="F530" s="22" t="n">
        <v>2401.947061</v>
      </c>
      <c r="G530" s="22" t="n">
        <v>2420.447717</v>
      </c>
      <c r="H530" s="22" t="n">
        <v>2392.079428</v>
      </c>
      <c r="I530" s="22" t="n">
        <v>2133.39896</v>
      </c>
      <c r="J530" s="22" t="n">
        <v>2152.451887</v>
      </c>
      <c r="K530" s="22" t="n">
        <v>2177.296789</v>
      </c>
      <c r="L530" s="22" t="n">
        <v>2177.296789</v>
      </c>
      <c r="M530" s="22" t="n">
        <v>2530.807481</v>
      </c>
      <c r="N530" s="22" t="n">
        <v>2931.187119</v>
      </c>
      <c r="O530" s="14" t="n">
        <f aca="false">SUM(C530:N530)</f>
        <v>28525.79569</v>
      </c>
      <c r="W530" s="1"/>
      <c r="X530" s="1"/>
      <c r="Y530" s="1"/>
      <c r="Z530" s="1"/>
    </row>
    <row r="531" customFormat="false" ht="15.75" hidden="false" customHeight="true" outlineLevel="0" collapsed="false">
      <c r="A531" s="13" t="s">
        <v>513</v>
      </c>
      <c r="B531" s="42" t="n">
        <v>2035</v>
      </c>
      <c r="C531" s="22" t="n">
        <v>2698.385532</v>
      </c>
      <c r="D531" s="22" t="n">
        <v>2326.374183</v>
      </c>
      <c r="E531" s="22" t="n">
        <v>2184.122744</v>
      </c>
      <c r="F531" s="22" t="n">
        <v>2401.947061</v>
      </c>
      <c r="G531" s="22" t="n">
        <v>2420.447717</v>
      </c>
      <c r="H531" s="22" t="n">
        <v>2392.079428</v>
      </c>
      <c r="I531" s="22" t="n">
        <v>2133.39896</v>
      </c>
      <c r="J531" s="22" t="n">
        <v>2152.451887</v>
      </c>
      <c r="K531" s="22" t="n">
        <v>2177.296789</v>
      </c>
      <c r="L531" s="22" t="n">
        <v>2177.296789</v>
      </c>
      <c r="M531" s="22" t="n">
        <v>2530.807481</v>
      </c>
      <c r="N531" s="22" t="n">
        <v>2931.187119</v>
      </c>
      <c r="O531" s="14" t="n">
        <f aca="false">SUM(C531:N531)</f>
        <v>28525.79569</v>
      </c>
      <c r="W531" s="1"/>
      <c r="X531" s="1"/>
      <c r="Y531" s="1"/>
      <c r="Z531" s="1"/>
    </row>
    <row r="532" customFormat="false" ht="15.75" hidden="false" customHeight="true" outlineLevel="0" collapsed="false">
      <c r="A532" s="13" t="s">
        <v>514</v>
      </c>
      <c r="B532" s="42" t="n">
        <v>2035</v>
      </c>
      <c r="C532" s="22" t="n">
        <v>1623.311307</v>
      </c>
      <c r="D532" s="22" t="n">
        <v>1408.689375</v>
      </c>
      <c r="E532" s="22" t="n">
        <v>1335.904511</v>
      </c>
      <c r="F532" s="22" t="n">
        <v>1470.259495</v>
      </c>
      <c r="G532" s="22" t="n">
        <v>1481.903772</v>
      </c>
      <c r="H532" s="22" t="n">
        <v>1463.805489</v>
      </c>
      <c r="I532" s="22" t="n">
        <v>1303.453726</v>
      </c>
      <c r="J532" s="22" t="n">
        <v>1315.514415</v>
      </c>
      <c r="K532" s="22" t="n">
        <v>1331.482789</v>
      </c>
      <c r="L532" s="22" t="n">
        <v>1331.482789</v>
      </c>
      <c r="M532" s="22" t="n">
        <v>1534.460444</v>
      </c>
      <c r="N532" s="22" t="n">
        <v>1767.180659</v>
      </c>
      <c r="O532" s="14" t="n">
        <f aca="false">SUM(C532:N532)</f>
        <v>17367.448771</v>
      </c>
      <c r="W532" s="1"/>
      <c r="X532" s="1"/>
      <c r="Y532" s="1"/>
      <c r="Z532" s="1"/>
    </row>
    <row r="533" customFormat="false" ht="15.75" hidden="false" customHeight="true" outlineLevel="0" collapsed="false">
      <c r="A533" s="13" t="s">
        <v>515</v>
      </c>
      <c r="B533" s="42" t="n">
        <v>2035</v>
      </c>
      <c r="C533" s="22" t="n">
        <v>9795.152494</v>
      </c>
      <c r="D533" s="22" t="n">
        <v>8364.339614</v>
      </c>
      <c r="E533" s="22" t="n">
        <v>7673.959532</v>
      </c>
      <c r="F533" s="22" t="n">
        <v>8371.010411</v>
      </c>
      <c r="G533" s="22" t="n">
        <v>8433.899142</v>
      </c>
      <c r="H533" s="22" t="n">
        <v>8347.408031</v>
      </c>
      <c r="I533" s="22" t="n">
        <v>7513.145415</v>
      </c>
      <c r="J533" s="22" t="n">
        <v>7583.372854</v>
      </c>
      <c r="K533" s="22" t="n">
        <v>7658.835028</v>
      </c>
      <c r="L533" s="22" t="n">
        <v>7658.835028</v>
      </c>
      <c r="M533" s="22" t="n">
        <v>9026.759177</v>
      </c>
      <c r="N533" s="22" t="n">
        <v>10544.06317</v>
      </c>
      <c r="O533" s="14" t="n">
        <f aca="false">SUM(C533:N533)</f>
        <v>100970.779896</v>
      </c>
      <c r="W533" s="1"/>
      <c r="X533" s="1"/>
      <c r="Y533" s="1"/>
      <c r="Z533" s="1"/>
    </row>
    <row r="534" customFormat="false" ht="15.75" hidden="false" customHeight="true" outlineLevel="0" collapsed="false">
      <c r="A534" s="13" t="s">
        <v>516</v>
      </c>
      <c r="B534" s="42" t="n">
        <v>2035</v>
      </c>
      <c r="C534" s="22" t="n">
        <v>9779.252072</v>
      </c>
      <c r="D534" s="22" t="n">
        <v>8348.439192</v>
      </c>
      <c r="E534" s="22" t="n">
        <v>7658.059109</v>
      </c>
      <c r="F534" s="22" t="n">
        <v>8355.109988</v>
      </c>
      <c r="G534" s="22" t="n">
        <v>8417.99872</v>
      </c>
      <c r="H534" s="22" t="n">
        <v>8331.507609</v>
      </c>
      <c r="I534" s="22" t="n">
        <v>7497.244993</v>
      </c>
      <c r="J534" s="22" t="n">
        <v>7567.472432</v>
      </c>
      <c r="K534" s="22" t="n">
        <v>7642.934606</v>
      </c>
      <c r="L534" s="22" t="n">
        <v>7642.934606</v>
      </c>
      <c r="M534" s="22" t="n">
        <v>9010.858754</v>
      </c>
      <c r="N534" s="22" t="n">
        <v>10528.16274</v>
      </c>
      <c r="O534" s="14" t="n">
        <f aca="false">SUM(C534:N534)</f>
        <v>100779.974821</v>
      </c>
      <c r="W534" s="1"/>
      <c r="X534" s="1"/>
      <c r="Y534" s="1"/>
      <c r="Z534" s="1"/>
    </row>
    <row r="535" customFormat="false" ht="15.75" hidden="false" customHeight="true" outlineLevel="0" collapsed="false">
      <c r="A535" s="13" t="s">
        <v>517</v>
      </c>
      <c r="B535" s="42" t="n">
        <v>2035</v>
      </c>
      <c r="C535" s="22" t="n">
        <v>9779.252072</v>
      </c>
      <c r="D535" s="22" t="n">
        <v>8348.439192</v>
      </c>
      <c r="E535" s="22" t="n">
        <v>7658.059109</v>
      </c>
      <c r="F535" s="22" t="n">
        <v>8355.109988</v>
      </c>
      <c r="G535" s="22" t="n">
        <v>8417.99872</v>
      </c>
      <c r="H535" s="22" t="n">
        <v>8331.507609</v>
      </c>
      <c r="I535" s="22" t="n">
        <v>7497.244993</v>
      </c>
      <c r="J535" s="22" t="n">
        <v>7567.472432</v>
      </c>
      <c r="K535" s="22" t="n">
        <v>7642.934606</v>
      </c>
      <c r="L535" s="22" t="n">
        <v>7642.934606</v>
      </c>
      <c r="M535" s="22" t="n">
        <v>9010.858754</v>
      </c>
      <c r="N535" s="22" t="n">
        <v>10528.16274</v>
      </c>
      <c r="O535" s="14" t="n">
        <f aca="false">SUM(C535:N535)</f>
        <v>100779.974821</v>
      </c>
      <c r="W535" s="1"/>
      <c r="X535" s="1"/>
      <c r="Y535" s="1"/>
      <c r="Z535" s="1"/>
    </row>
    <row r="536" customFormat="false" ht="15.75" hidden="false" customHeight="true" outlineLevel="0" collapsed="false">
      <c r="A536" s="13" t="s">
        <v>518</v>
      </c>
      <c r="B536" s="42" t="n">
        <v>2035</v>
      </c>
      <c r="C536" s="22" t="n">
        <v>608.3320771</v>
      </c>
      <c r="D536" s="22" t="n">
        <v>608.3320771</v>
      </c>
      <c r="E536" s="22" t="n">
        <v>709.0468933</v>
      </c>
      <c r="F536" s="22" t="n">
        <v>805.2408647</v>
      </c>
      <c r="G536" s="22" t="n">
        <v>813.9618035</v>
      </c>
      <c r="H536" s="22" t="n">
        <v>796.1232071</v>
      </c>
      <c r="I536" s="22" t="n">
        <v>678.3361969</v>
      </c>
      <c r="J536" s="22" t="n">
        <v>686.2907333</v>
      </c>
      <c r="K536" s="22" t="n">
        <v>702.7952847</v>
      </c>
      <c r="L536" s="22" t="n">
        <v>702.7952847</v>
      </c>
      <c r="M536" s="22" t="n">
        <v>694.0743458</v>
      </c>
      <c r="N536" s="22" t="n">
        <v>711.9129423</v>
      </c>
      <c r="O536" s="14" t="n">
        <f aca="false">SUM(C536:N536)</f>
        <v>8517.2417105</v>
      </c>
      <c r="W536" s="1"/>
      <c r="X536" s="1"/>
      <c r="Y536" s="1"/>
      <c r="Z536" s="1"/>
    </row>
    <row r="537" customFormat="false" ht="15.75" hidden="false" customHeight="true" outlineLevel="0" collapsed="false">
      <c r="A537" s="13" t="s">
        <v>519</v>
      </c>
      <c r="B537" s="42" t="n">
        <v>2035</v>
      </c>
      <c r="C537" s="22" t="n">
        <v>405.0279829</v>
      </c>
      <c r="D537" s="22" t="n">
        <v>405.0279829</v>
      </c>
      <c r="E537" s="22" t="n">
        <v>501.8711756</v>
      </c>
      <c r="F537" s="22" t="n">
        <v>597.0080059</v>
      </c>
      <c r="G537" s="22" t="n">
        <v>602.5969306</v>
      </c>
      <c r="H537" s="22" t="n">
        <v>587.3073705</v>
      </c>
      <c r="I537" s="22" t="n">
        <v>478.6996808</v>
      </c>
      <c r="J537" s="22" t="n">
        <v>480.7635424</v>
      </c>
      <c r="K537" s="22" t="n">
        <v>494.3478581</v>
      </c>
      <c r="L537" s="22" t="n">
        <v>494.3478581</v>
      </c>
      <c r="M537" s="22" t="n">
        <v>488.7589334</v>
      </c>
      <c r="N537" s="22" t="n">
        <v>504.0484935</v>
      </c>
      <c r="O537" s="14" t="n">
        <f aca="false">SUM(C537:N537)</f>
        <v>6039.8058147</v>
      </c>
      <c r="W537" s="1"/>
      <c r="X537" s="1"/>
      <c r="Y537" s="1"/>
      <c r="Z537" s="1"/>
    </row>
    <row r="538" customFormat="false" ht="15.75" hidden="false" customHeight="true" outlineLevel="0" collapsed="false">
      <c r="A538" s="13" t="s">
        <v>520</v>
      </c>
      <c r="B538" s="42" t="n">
        <v>2035</v>
      </c>
      <c r="C538" s="22" t="n">
        <v>10822.07538</v>
      </c>
      <c r="D538" s="22" t="n">
        <v>9391.262503</v>
      </c>
      <c r="E538" s="22" t="n">
        <v>8906.03007</v>
      </c>
      <c r="F538" s="22" t="n">
        <v>9801.729969</v>
      </c>
      <c r="G538" s="22" t="n">
        <v>9879.358481</v>
      </c>
      <c r="H538" s="22" t="n">
        <v>9758.703258</v>
      </c>
      <c r="I538" s="22" t="n">
        <v>8689.691505</v>
      </c>
      <c r="J538" s="22" t="n">
        <v>8770.096101</v>
      </c>
      <c r="K538" s="22" t="n">
        <v>8876.551924</v>
      </c>
      <c r="L538" s="22" t="n">
        <v>8876.551924</v>
      </c>
      <c r="M538" s="22" t="n">
        <v>10229.73629</v>
      </c>
      <c r="N538" s="22" t="n">
        <v>11781.20439</v>
      </c>
      <c r="O538" s="14" t="n">
        <f aca="false">SUM(C538:N538)</f>
        <v>115782.991795</v>
      </c>
      <c r="W538" s="1"/>
      <c r="X538" s="1"/>
      <c r="Y538" s="1"/>
      <c r="Z538" s="1"/>
    </row>
    <row r="539" customFormat="false" ht="15.75" hidden="false" customHeight="true" outlineLevel="0" collapsed="false">
      <c r="A539" s="13" t="s">
        <v>521</v>
      </c>
      <c r="B539" s="42" t="n">
        <v>2035</v>
      </c>
      <c r="C539" s="22" t="n">
        <v>10822.07538</v>
      </c>
      <c r="D539" s="22" t="n">
        <v>9391.262503</v>
      </c>
      <c r="E539" s="22" t="n">
        <v>8906.03007</v>
      </c>
      <c r="F539" s="22" t="n">
        <v>9801.729969</v>
      </c>
      <c r="G539" s="22" t="n">
        <v>9879.358481</v>
      </c>
      <c r="H539" s="22" t="n">
        <v>9758.703258</v>
      </c>
      <c r="I539" s="22" t="n">
        <v>8689.691505</v>
      </c>
      <c r="J539" s="22" t="n">
        <v>8770.096101</v>
      </c>
      <c r="K539" s="22" t="n">
        <v>8876.551924</v>
      </c>
      <c r="L539" s="22" t="n">
        <v>8876.551924</v>
      </c>
      <c r="M539" s="22" t="n">
        <v>10229.73629</v>
      </c>
      <c r="N539" s="22" t="n">
        <v>11781.20439</v>
      </c>
      <c r="O539" s="14" t="n">
        <f aca="false">SUM(C539:N539)</f>
        <v>115782.991795</v>
      </c>
      <c r="W539" s="1"/>
      <c r="X539" s="1"/>
      <c r="Y539" s="1"/>
      <c r="Z539" s="1"/>
    </row>
    <row r="540" customFormat="false" ht="15.75" hidden="false" customHeight="true" outlineLevel="0" collapsed="false">
      <c r="A540" s="13" t="s">
        <v>522</v>
      </c>
      <c r="B540" s="42" t="n">
        <v>2035</v>
      </c>
      <c r="C540" s="22" t="n">
        <v>855.944947</v>
      </c>
      <c r="D540" s="22" t="n">
        <v>741.4799166</v>
      </c>
      <c r="E540" s="22" t="n">
        <v>700.1314415</v>
      </c>
      <c r="F540" s="22" t="n">
        <v>769.3480275</v>
      </c>
      <c r="G540" s="22" t="n">
        <v>775.4150027</v>
      </c>
      <c r="H540" s="22" t="n">
        <v>766.1079032</v>
      </c>
      <c r="I540" s="22" t="n">
        <v>683.3717755</v>
      </c>
      <c r="J540" s="22" t="n">
        <v>689.7512237</v>
      </c>
      <c r="K540" s="22" t="n">
        <v>697.9660954</v>
      </c>
      <c r="L540" s="22" t="n">
        <v>697.9660954</v>
      </c>
      <c r="M540" s="22" t="n">
        <v>806.3641506</v>
      </c>
      <c r="N540" s="22" t="n">
        <v>930.1362804</v>
      </c>
      <c r="O540" s="14" t="n">
        <f aca="false">SUM(C540:N540)</f>
        <v>9113.9828595</v>
      </c>
      <c r="W540" s="1"/>
      <c r="X540" s="1"/>
      <c r="Y540" s="1"/>
      <c r="Z540" s="1"/>
    </row>
    <row r="541" customFormat="false" ht="15.75" hidden="false" customHeight="true" outlineLevel="0" collapsed="false">
      <c r="A541" s="13" t="s">
        <v>523</v>
      </c>
      <c r="B541" s="42" t="n">
        <v>2035</v>
      </c>
      <c r="C541" s="22" t="n">
        <v>283.2153412</v>
      </c>
      <c r="D541" s="22" t="n">
        <v>283.2153412</v>
      </c>
      <c r="E541" s="22" t="n">
        <v>308.9039811</v>
      </c>
      <c r="F541" s="22" t="n">
        <v>344.0631836</v>
      </c>
      <c r="G541" s="22" t="n">
        <v>349.6263048</v>
      </c>
      <c r="H541" s="22" t="n">
        <v>332.9868231</v>
      </c>
      <c r="I541" s="22" t="n">
        <v>291.145385</v>
      </c>
      <c r="J541" s="22" t="n">
        <v>296.2218228</v>
      </c>
      <c r="K541" s="22" t="n">
        <v>310.2378516</v>
      </c>
      <c r="L541" s="22" t="n">
        <v>310.2378516</v>
      </c>
      <c r="M541" s="22" t="n">
        <v>304.6747303</v>
      </c>
      <c r="N541" s="22" t="n">
        <v>321.3142121</v>
      </c>
      <c r="O541" s="14" t="n">
        <f aca="false">SUM(C541:N541)</f>
        <v>3735.8428284</v>
      </c>
      <c r="W541" s="1"/>
      <c r="X541" s="1"/>
      <c r="Y541" s="1"/>
      <c r="Z541" s="1"/>
    </row>
    <row r="542" customFormat="false" ht="15.75" hidden="false" customHeight="true" outlineLevel="0" collapsed="false">
      <c r="W542" s="1"/>
      <c r="X542" s="1"/>
      <c r="Y542" s="1"/>
      <c r="Z542" s="1"/>
    </row>
    <row r="543" customFormat="false" ht="15.75" hidden="false" customHeight="true" outlineLevel="0" collapsed="false">
      <c r="W543" s="1"/>
      <c r="X543" s="1"/>
      <c r="Y543" s="1"/>
      <c r="Z543" s="1"/>
    </row>
    <row r="544" customFormat="false" ht="15.75" hidden="false" customHeight="true" outlineLevel="0" collapsed="false">
      <c r="A544" s="9" t="s">
        <v>914</v>
      </c>
      <c r="W544" s="1"/>
      <c r="X544" s="1"/>
      <c r="Y544" s="1"/>
      <c r="Z544" s="1"/>
    </row>
    <row r="545" customFormat="false" ht="15.75" hidden="false" customHeight="true" outlineLevel="0" collapsed="false">
      <c r="A545" s="1" t="s">
        <v>915</v>
      </c>
      <c r="W545" s="1"/>
      <c r="X545" s="1"/>
      <c r="Y545" s="1"/>
      <c r="Z545" s="1"/>
    </row>
    <row r="546" customFormat="false" ht="15.75" hidden="false" customHeight="true" outlineLevel="0" collapsed="false">
      <c r="A546" s="10" t="s">
        <v>916</v>
      </c>
      <c r="B546" s="10" t="s">
        <v>917</v>
      </c>
      <c r="C546" s="10" t="s">
        <v>675</v>
      </c>
      <c r="D546" s="10" t="s">
        <v>233</v>
      </c>
      <c r="E546" s="10" t="s">
        <v>234</v>
      </c>
      <c r="F546" s="10" t="s">
        <v>235</v>
      </c>
      <c r="G546" s="10" t="s">
        <v>236</v>
      </c>
      <c r="H546" s="10" t="s">
        <v>918</v>
      </c>
      <c r="I546" s="10" t="s">
        <v>676</v>
      </c>
      <c r="J546" s="10" t="s">
        <v>666</v>
      </c>
      <c r="K546" s="10" t="s">
        <v>664</v>
      </c>
      <c r="W546" s="1"/>
      <c r="X546" s="1"/>
      <c r="Y546" s="1"/>
      <c r="Z546" s="1"/>
    </row>
    <row r="547" customFormat="false" ht="15.75" hidden="false" customHeight="true" outlineLevel="0" collapsed="false">
      <c r="A547" s="76" t="s">
        <v>678</v>
      </c>
      <c r="B547" s="76" t="s">
        <v>919</v>
      </c>
      <c r="C547" s="76" t="s">
        <v>920</v>
      </c>
      <c r="D547" s="77" t="n">
        <v>90</v>
      </c>
      <c r="E547" s="77" t="n">
        <v>0</v>
      </c>
      <c r="F547" s="77" t="n">
        <v>0</v>
      </c>
      <c r="G547" s="77" t="n">
        <v>0</v>
      </c>
      <c r="H547" s="77" t="n">
        <f aca="false">SUM(D547:G547)</f>
        <v>90</v>
      </c>
      <c r="I547" s="77" t="n">
        <v>90</v>
      </c>
      <c r="J547" s="76" t="s">
        <v>921</v>
      </c>
      <c r="K547" s="76" t="s">
        <v>922</v>
      </c>
      <c r="W547" s="1"/>
      <c r="X547" s="1"/>
      <c r="Y547" s="1"/>
      <c r="Z547" s="1"/>
    </row>
    <row r="548" customFormat="false" ht="15.75" hidden="false" customHeight="true" outlineLevel="0" collapsed="false">
      <c r="A548" s="76" t="s">
        <v>680</v>
      </c>
      <c r="B548" s="76" t="s">
        <v>923</v>
      </c>
      <c r="C548" s="76" t="s">
        <v>924</v>
      </c>
      <c r="D548" s="77" t="n">
        <v>741.96</v>
      </c>
      <c r="E548" s="77" t="n">
        <v>444.98</v>
      </c>
      <c r="F548" s="77" t="n">
        <v>143.44</v>
      </c>
      <c r="G548" s="77" t="n">
        <v>173.83</v>
      </c>
      <c r="H548" s="77" t="n">
        <f aca="false">SUM(D548:G548)</f>
        <v>1504.21</v>
      </c>
      <c r="I548" s="77" t="n">
        <v>1998.02743512742</v>
      </c>
      <c r="J548" s="76" t="s">
        <v>925</v>
      </c>
      <c r="K548" s="76" t="s">
        <v>926</v>
      </c>
      <c r="W548" s="1"/>
      <c r="X548" s="1"/>
      <c r="Y548" s="1"/>
      <c r="Z548" s="1"/>
    </row>
    <row r="549" customFormat="false" ht="15.75" hidden="false" customHeight="true" outlineLevel="0" collapsed="false">
      <c r="A549" s="76" t="s">
        <v>681</v>
      </c>
      <c r="B549" s="76" t="s">
        <v>927</v>
      </c>
      <c r="C549" s="76" t="s">
        <v>623</v>
      </c>
      <c r="D549" s="77" t="n">
        <v>322.5</v>
      </c>
      <c r="E549" s="77" t="n">
        <v>0</v>
      </c>
      <c r="F549" s="77" t="n">
        <v>239.48</v>
      </c>
      <c r="G549" s="77" t="n">
        <v>18</v>
      </c>
      <c r="H549" s="77" t="n">
        <f aca="false">SUM(D549:G549)</f>
        <v>579.98</v>
      </c>
      <c r="I549" s="77" t="n">
        <v>1170.71830847388</v>
      </c>
      <c r="J549" s="76" t="s">
        <v>928</v>
      </c>
      <c r="K549" s="76" t="s">
        <v>929</v>
      </c>
      <c r="W549" s="1"/>
      <c r="X549" s="1"/>
      <c r="Y549" s="1"/>
      <c r="Z549" s="1"/>
    </row>
    <row r="550" customFormat="false" ht="15.75" hidden="false" customHeight="true" outlineLevel="0" collapsed="false">
      <c r="A550" s="76" t="s">
        <v>683</v>
      </c>
      <c r="B550" s="76" t="s">
        <v>930</v>
      </c>
      <c r="C550" s="76" t="s">
        <v>931</v>
      </c>
      <c r="D550" s="77" t="n">
        <v>257.29</v>
      </c>
      <c r="E550" s="77" t="n">
        <v>0</v>
      </c>
      <c r="F550" s="77" t="n">
        <v>147</v>
      </c>
      <c r="G550" s="77" t="n">
        <v>0</v>
      </c>
      <c r="H550" s="77" t="n">
        <f aca="false">SUM(D550:G550)</f>
        <v>404.29</v>
      </c>
      <c r="I550" s="77" t="n">
        <v>760.33876931304</v>
      </c>
      <c r="J550" s="76" t="s">
        <v>928</v>
      </c>
      <c r="K550" s="76" t="s">
        <v>932</v>
      </c>
      <c r="W550" s="1"/>
      <c r="X550" s="1"/>
      <c r="Y550" s="1"/>
      <c r="Z550" s="1"/>
    </row>
    <row r="551" customFormat="false" ht="15.75" hidden="false" customHeight="true" outlineLevel="0" collapsed="false">
      <c r="A551" s="76" t="s">
        <v>686</v>
      </c>
      <c r="B551" s="76" t="s">
        <v>933</v>
      </c>
      <c r="C551" s="76" t="s">
        <v>924</v>
      </c>
      <c r="D551" s="77" t="n">
        <v>3928.96</v>
      </c>
      <c r="E551" s="77" t="n">
        <v>659.28</v>
      </c>
      <c r="F551" s="77" t="n">
        <v>1966.64</v>
      </c>
      <c r="G551" s="77" t="n">
        <v>52.15</v>
      </c>
      <c r="H551" s="77" t="n">
        <f aca="false">SUM(D551:G551)</f>
        <v>6607.03</v>
      </c>
      <c r="I551" s="77" t="n">
        <v>7920.36774698088</v>
      </c>
      <c r="J551" s="76" t="s">
        <v>934</v>
      </c>
      <c r="K551" s="76" t="s">
        <v>935</v>
      </c>
      <c r="W551" s="1"/>
      <c r="X551" s="1"/>
      <c r="Y551" s="1"/>
      <c r="Z551" s="1"/>
    </row>
    <row r="552" customFormat="false" ht="15.75" hidden="false" customHeight="true" outlineLevel="0" collapsed="false">
      <c r="A552" s="76" t="s">
        <v>688</v>
      </c>
      <c r="B552" s="76" t="s">
        <v>936</v>
      </c>
      <c r="C552" s="76" t="s">
        <v>924</v>
      </c>
      <c r="D552" s="77" t="n">
        <v>4128.9</v>
      </c>
      <c r="E552" s="77" t="n">
        <v>635.69</v>
      </c>
      <c r="F552" s="77" t="n">
        <v>1976.94</v>
      </c>
      <c r="G552" s="77" t="n">
        <v>22.11</v>
      </c>
      <c r="H552" s="77" t="n">
        <f aca="false">SUM(D552:G552)</f>
        <v>6763.64</v>
      </c>
      <c r="I552" s="77" t="n">
        <v>7920.36774698088</v>
      </c>
      <c r="J552" s="76" t="s">
        <v>934</v>
      </c>
      <c r="K552" s="76" t="s">
        <v>937</v>
      </c>
      <c r="W552" s="1"/>
      <c r="X552" s="1"/>
      <c r="Y552" s="1"/>
      <c r="Z552" s="1"/>
    </row>
    <row r="553" customFormat="false" ht="15.75" hidden="false" customHeight="true" outlineLevel="0" collapsed="false">
      <c r="A553" s="76" t="s">
        <v>689</v>
      </c>
      <c r="B553" s="76" t="s">
        <v>938</v>
      </c>
      <c r="C553" s="76" t="s">
        <v>939</v>
      </c>
      <c r="D553" s="77" t="n">
        <v>127</v>
      </c>
      <c r="E553" s="77" t="n">
        <v>74</v>
      </c>
      <c r="F553" s="77" t="n">
        <v>0</v>
      </c>
      <c r="G553" s="77" t="n">
        <v>0</v>
      </c>
      <c r="H553" s="77" t="n">
        <f aca="false">SUM(D553:G553)</f>
        <v>201</v>
      </c>
      <c r="I553" s="77" t="n">
        <v>256</v>
      </c>
      <c r="J553" s="76" t="s">
        <v>940</v>
      </c>
      <c r="K553" s="76" t="s">
        <v>941</v>
      </c>
      <c r="W553" s="1"/>
      <c r="X553" s="1"/>
      <c r="Y553" s="1"/>
      <c r="Z553" s="1"/>
    </row>
    <row r="554" customFormat="false" ht="15.75" hidden="false" customHeight="true" outlineLevel="0" collapsed="false">
      <c r="A554" s="76" t="s">
        <v>691</v>
      </c>
      <c r="B554" s="76" t="s">
        <v>942</v>
      </c>
      <c r="C554" s="76" t="s">
        <v>623</v>
      </c>
      <c r="D554" s="77" t="n">
        <v>0</v>
      </c>
      <c r="E554" s="77" t="n">
        <v>0</v>
      </c>
      <c r="F554" s="77" t="n">
        <v>0</v>
      </c>
      <c r="G554" s="77" t="n">
        <v>0</v>
      </c>
      <c r="H554" s="77" t="n">
        <f aca="false">SUM(D554:G554)</f>
        <v>0</v>
      </c>
      <c r="I554" s="77" t="n">
        <v>2600.0203849239</v>
      </c>
      <c r="J554" s="76" t="s">
        <v>943</v>
      </c>
      <c r="K554" s="76" t="s">
        <v>944</v>
      </c>
      <c r="W554" s="1"/>
      <c r="X554" s="1"/>
      <c r="Y554" s="1"/>
      <c r="Z554" s="1"/>
    </row>
    <row r="555" customFormat="false" ht="15.75" hidden="false" customHeight="true" outlineLevel="0" collapsed="false">
      <c r="A555" s="76" t="s">
        <v>693</v>
      </c>
      <c r="B555" s="76" t="s">
        <v>945</v>
      </c>
      <c r="C555" s="76" t="s">
        <v>622</v>
      </c>
      <c r="D555" s="77" t="n">
        <v>315</v>
      </c>
      <c r="E555" s="77" t="n">
        <v>0</v>
      </c>
      <c r="F555" s="77" t="n">
        <v>0</v>
      </c>
      <c r="G555" s="77" t="n">
        <v>0</v>
      </c>
      <c r="H555" s="77" t="n">
        <f aca="false">SUM(D555:G555)</f>
        <v>315</v>
      </c>
      <c r="I555" s="77" t="n">
        <v>509.33876931304</v>
      </c>
      <c r="J555" s="76" t="s">
        <v>946</v>
      </c>
      <c r="K555" s="76" t="s">
        <v>947</v>
      </c>
      <c r="W555" s="1"/>
      <c r="X555" s="1"/>
      <c r="Y555" s="1"/>
      <c r="Z555" s="1"/>
    </row>
    <row r="556" customFormat="false" ht="15.75" hidden="false" customHeight="true" outlineLevel="0" collapsed="false">
      <c r="A556" s="76" t="s">
        <v>696</v>
      </c>
      <c r="B556" s="76" t="s">
        <v>948</v>
      </c>
      <c r="C556" s="76" t="s">
        <v>623</v>
      </c>
      <c r="D556" s="77" t="n">
        <v>138.29</v>
      </c>
      <c r="E556" s="77" t="n">
        <v>0</v>
      </c>
      <c r="F556" s="77" t="n">
        <v>231</v>
      </c>
      <c r="G556" s="77" t="n">
        <v>0</v>
      </c>
      <c r="H556" s="77" t="n">
        <f aca="false">SUM(D556:G556)</f>
        <v>369.29</v>
      </c>
      <c r="I556" s="77" t="n">
        <v>744.0203849239</v>
      </c>
      <c r="J556" s="76" t="s">
        <v>928</v>
      </c>
      <c r="K556" s="76" t="s">
        <v>949</v>
      </c>
      <c r="W556" s="1"/>
      <c r="X556" s="1"/>
      <c r="Y556" s="1"/>
      <c r="Z556" s="1"/>
    </row>
    <row r="557" customFormat="false" ht="15.75" hidden="false" customHeight="true" outlineLevel="0" collapsed="false">
      <c r="A557" s="76" t="s">
        <v>697</v>
      </c>
      <c r="B557" s="76" t="s">
        <v>950</v>
      </c>
      <c r="C557" s="76" t="s">
        <v>951</v>
      </c>
      <c r="D557" s="77" t="n">
        <v>214.88</v>
      </c>
      <c r="E557" s="77" t="n">
        <v>27.57</v>
      </c>
      <c r="F557" s="77" t="n">
        <v>110.71</v>
      </c>
      <c r="G557" s="77" t="n">
        <v>16.77</v>
      </c>
      <c r="H557" s="77" t="n">
        <f aca="false">SUM(D557:G557)</f>
        <v>369.93</v>
      </c>
      <c r="I557" s="77" t="n">
        <v>1140.0407698478</v>
      </c>
      <c r="J557" s="76" t="s">
        <v>946</v>
      </c>
      <c r="K557" s="76" t="s">
        <v>952</v>
      </c>
      <c r="W557" s="1"/>
      <c r="X557" s="1"/>
      <c r="Y557" s="1"/>
      <c r="Z557" s="1"/>
    </row>
    <row r="558" customFormat="false" ht="15.75" hidden="false" customHeight="true" outlineLevel="0" collapsed="false">
      <c r="A558" s="76" t="s">
        <v>698</v>
      </c>
      <c r="B558" s="76" t="s">
        <v>950</v>
      </c>
      <c r="C558" s="76" t="s">
        <v>951</v>
      </c>
      <c r="D558" s="77" t="n">
        <v>311.21</v>
      </c>
      <c r="E558" s="77" t="n">
        <v>27.57</v>
      </c>
      <c r="F558" s="77" t="n">
        <v>5.49</v>
      </c>
      <c r="G558" s="77" t="n">
        <v>0</v>
      </c>
      <c r="H558" s="77" t="n">
        <f aca="false">SUM(D558:G558)</f>
        <v>344.27</v>
      </c>
      <c r="I558" s="77" t="n">
        <v>585.33876931304</v>
      </c>
      <c r="J558" s="76" t="s">
        <v>946</v>
      </c>
      <c r="K558" s="76" t="s">
        <v>953</v>
      </c>
      <c r="W558" s="1"/>
      <c r="X558" s="1"/>
      <c r="Y558" s="1"/>
      <c r="Z558" s="1"/>
    </row>
    <row r="559" customFormat="false" ht="15.75" hidden="false" customHeight="true" outlineLevel="0" collapsed="false">
      <c r="A559" s="76" t="s">
        <v>699</v>
      </c>
      <c r="B559" s="76" t="s">
        <v>950</v>
      </c>
      <c r="C559" s="76" t="s">
        <v>951</v>
      </c>
      <c r="D559" s="77" t="n">
        <v>288</v>
      </c>
      <c r="E559" s="77" t="n">
        <v>27.57</v>
      </c>
      <c r="F559" s="77" t="n">
        <v>2.18</v>
      </c>
      <c r="G559" s="77" t="n">
        <v>16.77</v>
      </c>
      <c r="H559" s="77" t="n">
        <f aca="false">SUM(D559:G559)</f>
        <v>334.52</v>
      </c>
      <c r="I559" s="77" t="n">
        <v>585.33876931304</v>
      </c>
      <c r="J559" s="76" t="s">
        <v>946</v>
      </c>
      <c r="K559" s="76" t="s">
        <v>954</v>
      </c>
      <c r="W559" s="1"/>
      <c r="X559" s="1"/>
      <c r="Y559" s="1"/>
      <c r="Z559" s="1"/>
    </row>
    <row r="560" customFormat="false" ht="15.75" hidden="false" customHeight="true" outlineLevel="0" collapsed="false">
      <c r="A560" s="76" t="s">
        <v>700</v>
      </c>
      <c r="B560" s="76" t="s">
        <v>955</v>
      </c>
      <c r="C560" s="76" t="s">
        <v>956</v>
      </c>
      <c r="D560" s="77" t="n">
        <v>445.31</v>
      </c>
      <c r="E560" s="77" t="n">
        <v>0</v>
      </c>
      <c r="F560" s="77" t="n">
        <v>42</v>
      </c>
      <c r="G560" s="77" t="n">
        <v>0</v>
      </c>
      <c r="H560" s="77" t="n">
        <f aca="false">SUM(D560:G560)</f>
        <v>487.31</v>
      </c>
      <c r="I560" s="77" t="n">
        <v>585.33876931304</v>
      </c>
      <c r="J560" s="76" t="s">
        <v>928</v>
      </c>
      <c r="K560" s="76" t="s">
        <v>957</v>
      </c>
      <c r="W560" s="1"/>
      <c r="X560" s="1"/>
      <c r="Y560" s="1"/>
      <c r="Z560" s="1"/>
    </row>
    <row r="561" customFormat="false" ht="15.75" hidden="false" customHeight="true" outlineLevel="0" collapsed="false">
      <c r="A561" s="76" t="s">
        <v>701</v>
      </c>
      <c r="B561" s="76" t="s">
        <v>958</v>
      </c>
      <c r="C561" s="76" t="s">
        <v>623</v>
      </c>
      <c r="D561" s="77" t="n">
        <v>420.96</v>
      </c>
      <c r="E561" s="77" t="n">
        <v>0</v>
      </c>
      <c r="F561" s="77" t="n">
        <v>0</v>
      </c>
      <c r="G561" s="77" t="n">
        <v>0</v>
      </c>
      <c r="H561" s="77" t="n">
        <f aca="false">SUM(D561:G561)</f>
        <v>420.96</v>
      </c>
      <c r="I561" s="77" t="n">
        <v>563.688068</v>
      </c>
      <c r="J561" s="76" t="s">
        <v>928</v>
      </c>
      <c r="K561" s="76" t="s">
        <v>959</v>
      </c>
      <c r="W561" s="1"/>
      <c r="X561" s="1"/>
      <c r="Y561" s="1"/>
      <c r="Z561" s="1"/>
    </row>
    <row r="562" customFormat="false" ht="15.75" hidden="false" customHeight="true" outlineLevel="0" collapsed="false">
      <c r="A562" s="76" t="s">
        <v>704</v>
      </c>
      <c r="B562" s="76" t="s">
        <v>960</v>
      </c>
      <c r="C562" s="76" t="s">
        <v>961</v>
      </c>
      <c r="D562" s="77" t="n">
        <v>143.05</v>
      </c>
      <c r="E562" s="77" t="n">
        <v>40.21</v>
      </c>
      <c r="F562" s="77" t="n">
        <v>144.53</v>
      </c>
      <c r="G562" s="77" t="n">
        <v>0</v>
      </c>
      <c r="H562" s="77" t="n">
        <f aca="false">SUM(D562:G562)</f>
        <v>327.79</v>
      </c>
      <c r="I562" s="77" t="n">
        <v>684.03096116084</v>
      </c>
      <c r="J562" s="76" t="s">
        <v>928</v>
      </c>
      <c r="K562" s="76" t="s">
        <v>962</v>
      </c>
      <c r="W562" s="1"/>
      <c r="X562" s="1"/>
      <c r="Y562" s="1"/>
      <c r="Z562" s="1"/>
    </row>
    <row r="563" customFormat="false" ht="15.75" hidden="false" customHeight="true" outlineLevel="0" collapsed="false">
      <c r="A563" s="76" t="s">
        <v>705</v>
      </c>
      <c r="B563" s="76" t="s">
        <v>963</v>
      </c>
      <c r="C563" s="76" t="s">
        <v>623</v>
      </c>
      <c r="D563" s="77" t="n">
        <v>22.29</v>
      </c>
      <c r="E563" s="77" t="n">
        <v>34</v>
      </c>
      <c r="F563" s="77" t="n">
        <v>126</v>
      </c>
      <c r="G563" s="77" t="n">
        <v>0</v>
      </c>
      <c r="H563" s="77" t="n">
        <f aca="false">SUM(D563:G563)</f>
        <v>182.29</v>
      </c>
      <c r="I563" s="77" t="n">
        <v>357.68166247388</v>
      </c>
      <c r="J563" s="76" t="s">
        <v>928</v>
      </c>
      <c r="K563" s="76" t="s">
        <v>964</v>
      </c>
      <c r="W563" s="1"/>
      <c r="X563" s="1"/>
      <c r="Y563" s="1"/>
      <c r="Z563" s="1"/>
    </row>
    <row r="564" customFormat="false" ht="15.75" hidden="false" customHeight="true" outlineLevel="0" collapsed="false">
      <c r="A564" s="76" t="s">
        <v>706</v>
      </c>
      <c r="B564" s="76" t="s">
        <v>950</v>
      </c>
      <c r="C564" s="76" t="s">
        <v>961</v>
      </c>
      <c r="D564" s="77" t="n">
        <v>71.05</v>
      </c>
      <c r="E564" s="77" t="n">
        <v>40.21</v>
      </c>
      <c r="F564" s="77" t="n">
        <v>54.53</v>
      </c>
      <c r="G564" s="77" t="n">
        <v>0</v>
      </c>
      <c r="H564" s="77" t="n">
        <f aca="false">SUM(D564:G564)</f>
        <v>165.79</v>
      </c>
      <c r="I564" s="77" t="n">
        <v>336.03096116084</v>
      </c>
      <c r="J564" s="76" t="s">
        <v>928</v>
      </c>
      <c r="K564" s="76" t="s">
        <v>965</v>
      </c>
      <c r="W564" s="1"/>
      <c r="X564" s="1"/>
      <c r="Y564" s="1"/>
      <c r="Z564" s="1"/>
    </row>
    <row r="565" customFormat="false" ht="15.75" hidden="false" customHeight="true" outlineLevel="0" collapsed="false">
      <c r="A565" s="76" t="s">
        <v>707</v>
      </c>
      <c r="B565" s="76" t="s">
        <v>966</v>
      </c>
      <c r="C565" s="76" t="s">
        <v>623</v>
      </c>
      <c r="D565" s="77" t="n">
        <v>142.59</v>
      </c>
      <c r="E565" s="77" t="n">
        <v>0</v>
      </c>
      <c r="F565" s="77" t="n">
        <v>18</v>
      </c>
      <c r="G565" s="77" t="n">
        <v>0</v>
      </c>
      <c r="H565" s="77" t="n">
        <f aca="false">SUM(D565:G565)</f>
        <v>160.59</v>
      </c>
      <c r="I565" s="77" t="n">
        <v>195.30140262608</v>
      </c>
      <c r="J565" s="76" t="s">
        <v>928</v>
      </c>
      <c r="K565" s="76" t="s">
        <v>967</v>
      </c>
      <c r="W565" s="1"/>
      <c r="X565" s="1"/>
      <c r="Y565" s="1"/>
      <c r="Z565" s="1"/>
    </row>
    <row r="566" customFormat="false" ht="15.75" hidden="false" customHeight="true" outlineLevel="0" collapsed="false">
      <c r="A566" s="76" t="s">
        <v>708</v>
      </c>
      <c r="B566" s="76" t="s">
        <v>968</v>
      </c>
      <c r="C566" s="76" t="s">
        <v>623</v>
      </c>
      <c r="D566" s="77" t="n">
        <v>133.11</v>
      </c>
      <c r="E566" s="77" t="n">
        <v>33.46</v>
      </c>
      <c r="F566" s="77" t="n">
        <v>72.81</v>
      </c>
      <c r="G566" s="77" t="n">
        <v>0</v>
      </c>
      <c r="H566" s="77" t="n">
        <f aca="false">SUM(D566:G566)</f>
        <v>239.38</v>
      </c>
      <c r="I566" s="77" t="n">
        <v>195.30140262608</v>
      </c>
      <c r="J566" s="76" t="s">
        <v>928</v>
      </c>
      <c r="K566" s="76" t="s">
        <v>969</v>
      </c>
      <c r="W566" s="1"/>
      <c r="X566" s="1"/>
      <c r="Y566" s="1"/>
      <c r="Z566" s="1"/>
    </row>
    <row r="567" customFormat="false" ht="15.75" hidden="false" customHeight="true" outlineLevel="0" collapsed="false">
      <c r="A567" s="76" t="s">
        <v>709</v>
      </c>
      <c r="B567" s="76" t="s">
        <v>970</v>
      </c>
      <c r="C567" s="76" t="s">
        <v>622</v>
      </c>
      <c r="D567" s="77" t="n">
        <v>142.76</v>
      </c>
      <c r="E567" s="77" t="n">
        <v>0</v>
      </c>
      <c r="F567" s="77" t="n">
        <v>18</v>
      </c>
      <c r="G567" s="77" t="n">
        <v>0</v>
      </c>
      <c r="H567" s="77" t="n">
        <f aca="false">SUM(D567:G567)</f>
        <v>160.76</v>
      </c>
      <c r="I567" s="77" t="n">
        <v>357.68166247388</v>
      </c>
      <c r="J567" s="76" t="s">
        <v>946</v>
      </c>
      <c r="K567" s="76" t="s">
        <v>971</v>
      </c>
      <c r="W567" s="1"/>
      <c r="X567" s="1"/>
      <c r="Y567" s="1"/>
      <c r="Z567" s="1"/>
    </row>
    <row r="568" customFormat="false" ht="15.75" hidden="false" customHeight="true" outlineLevel="0" collapsed="false">
      <c r="W568" s="1"/>
      <c r="X568" s="1"/>
      <c r="Y568" s="1"/>
      <c r="Z568" s="1"/>
    </row>
    <row r="569" customFormat="false" ht="15.75" hidden="false" customHeight="true" outlineLevel="0" collapsed="false">
      <c r="A569" s="1" t="s">
        <v>972</v>
      </c>
      <c r="W569" s="1"/>
      <c r="X569" s="1"/>
      <c r="Y569" s="1"/>
      <c r="Z569" s="1"/>
    </row>
    <row r="570" customFormat="false" ht="15.75" hidden="false" customHeight="true" outlineLevel="0" collapsed="false">
      <c r="A570" s="10" t="s">
        <v>916</v>
      </c>
      <c r="B570" s="10" t="s">
        <v>917</v>
      </c>
      <c r="C570" s="10" t="s">
        <v>675</v>
      </c>
      <c r="D570" s="10" t="s">
        <v>328</v>
      </c>
      <c r="E570" s="10" t="s">
        <v>329</v>
      </c>
      <c r="F570" s="10" t="s">
        <v>330</v>
      </c>
      <c r="G570" s="10" t="s">
        <v>331</v>
      </c>
      <c r="H570" s="10" t="s">
        <v>918</v>
      </c>
      <c r="I570" s="10" t="s">
        <v>973</v>
      </c>
      <c r="J570" s="10" t="s">
        <v>666</v>
      </c>
      <c r="K570" s="10" t="s">
        <v>714</v>
      </c>
      <c r="W570" s="1"/>
      <c r="X570" s="1"/>
      <c r="Y570" s="1"/>
      <c r="Z570" s="1"/>
    </row>
    <row r="571" customFormat="false" ht="15.75" hidden="false" customHeight="true" outlineLevel="0" collapsed="false">
      <c r="A571" s="76" t="s">
        <v>722</v>
      </c>
      <c r="B571" s="76" t="s">
        <v>974</v>
      </c>
      <c r="C571" s="76" t="s">
        <v>679</v>
      </c>
      <c r="D571" s="77" t="n">
        <v>15.06</v>
      </c>
      <c r="E571" s="77" t="n">
        <v>30.71</v>
      </c>
      <c r="F571" s="77" t="n">
        <v>2.59</v>
      </c>
      <c r="G571" s="77" t="n">
        <v>1.71</v>
      </c>
      <c r="H571" s="77" t="n">
        <f aca="false">SUM(D571:G571)</f>
        <v>50.07</v>
      </c>
      <c r="I571" s="77" t="n">
        <v>61.2983184887686</v>
      </c>
      <c r="J571" s="76" t="s">
        <v>975</v>
      </c>
      <c r="K571" s="76" t="s">
        <v>976</v>
      </c>
      <c r="W571" s="1"/>
      <c r="X571" s="1"/>
      <c r="Y571" s="1"/>
      <c r="Z571" s="1"/>
    </row>
    <row r="572" customFormat="false" ht="15.75" hidden="false" customHeight="true" outlineLevel="0" collapsed="false">
      <c r="A572" s="76" t="s">
        <v>681</v>
      </c>
      <c r="B572" s="76" t="s">
        <v>977</v>
      </c>
      <c r="C572" s="76" t="s">
        <v>978</v>
      </c>
      <c r="D572" s="77" t="n">
        <v>0</v>
      </c>
      <c r="E572" s="77" t="n">
        <v>1.07</v>
      </c>
      <c r="F572" s="77" t="n">
        <v>0</v>
      </c>
      <c r="G572" s="77" t="n">
        <v>0</v>
      </c>
      <c r="H572" s="77" t="n">
        <f aca="false">SUM(D572:G572)</f>
        <v>1.07</v>
      </c>
      <c r="I572" s="77" t="n">
        <v>6.60305953275</v>
      </c>
      <c r="J572" s="76" t="s">
        <v>979</v>
      </c>
      <c r="K572" s="76" t="s">
        <v>980</v>
      </c>
      <c r="W572" s="1"/>
      <c r="X572" s="1"/>
      <c r="Y572" s="1"/>
      <c r="Z572" s="1"/>
    </row>
    <row r="573" customFormat="false" ht="15.75" hidden="false" customHeight="true" outlineLevel="0" collapsed="false">
      <c r="A573" s="76" t="s">
        <v>683</v>
      </c>
      <c r="B573" s="76" t="s">
        <v>981</v>
      </c>
      <c r="C573" s="76" t="s">
        <v>623</v>
      </c>
      <c r="D573" s="77" t="n">
        <v>0</v>
      </c>
      <c r="E573" s="77" t="n">
        <v>6.26</v>
      </c>
      <c r="F573" s="77" t="n">
        <v>1.59</v>
      </c>
      <c r="G573" s="77" t="n">
        <v>1.05</v>
      </c>
      <c r="H573" s="77" t="n">
        <f aca="false">SUM(D573:G573)</f>
        <v>8.9</v>
      </c>
      <c r="I573" s="77" t="n">
        <v>6.60305953275</v>
      </c>
      <c r="J573" s="76" t="s">
        <v>982</v>
      </c>
      <c r="K573" s="76" t="s">
        <v>983</v>
      </c>
      <c r="W573" s="1"/>
      <c r="X573" s="1"/>
      <c r="Y573" s="1"/>
      <c r="Z573" s="1"/>
    </row>
    <row r="574" customFormat="false" ht="15.75" hidden="false" customHeight="true" outlineLevel="0" collapsed="false">
      <c r="A574" s="76" t="s">
        <v>729</v>
      </c>
      <c r="B574" s="76" t="s">
        <v>984</v>
      </c>
      <c r="C574" s="76" t="s">
        <v>623</v>
      </c>
      <c r="D574" s="77" t="n">
        <v>0.23</v>
      </c>
      <c r="E574" s="77" t="n">
        <v>7.26</v>
      </c>
      <c r="F574" s="77" t="n">
        <v>1.59</v>
      </c>
      <c r="G574" s="77" t="n">
        <v>1.05</v>
      </c>
      <c r="H574" s="77" t="n">
        <f aca="false">SUM(D574:G574)</f>
        <v>10.13</v>
      </c>
      <c r="I574" s="77" t="n">
        <v>13.2061190655</v>
      </c>
      <c r="J574" s="76" t="s">
        <v>985</v>
      </c>
      <c r="K574" s="76" t="s">
        <v>986</v>
      </c>
      <c r="W574" s="1"/>
      <c r="X574" s="1"/>
      <c r="Y574" s="1"/>
      <c r="Z574" s="1"/>
    </row>
    <row r="575" customFormat="false" ht="15.75" hidden="false" customHeight="true" outlineLevel="0" collapsed="false">
      <c r="A575" s="76" t="s">
        <v>731</v>
      </c>
      <c r="B575" s="76" t="s">
        <v>987</v>
      </c>
      <c r="C575" s="76" t="s">
        <v>951</v>
      </c>
      <c r="D575" s="77" t="n">
        <v>0</v>
      </c>
      <c r="E575" s="77" t="n">
        <v>0.66</v>
      </c>
      <c r="F575" s="77" t="n">
        <v>0</v>
      </c>
      <c r="G575" s="77" t="n">
        <v>0</v>
      </c>
      <c r="H575" s="77" t="n">
        <f aca="false">SUM(D575:G575)</f>
        <v>0.66</v>
      </c>
      <c r="I575" s="77" t="n">
        <v>6.60305953275</v>
      </c>
      <c r="J575" s="76" t="s">
        <v>988</v>
      </c>
      <c r="K575" s="76" t="s">
        <v>989</v>
      </c>
      <c r="W575" s="1"/>
      <c r="X575" s="1"/>
      <c r="Y575" s="1"/>
      <c r="Z575" s="1"/>
    </row>
    <row r="576" customFormat="false" ht="15.75" hidden="false" customHeight="true" outlineLevel="0" collapsed="false">
      <c r="A576" s="76" t="s">
        <v>990</v>
      </c>
      <c r="B576" s="76" t="s">
        <v>991</v>
      </c>
      <c r="C576" s="76" t="s">
        <v>37</v>
      </c>
      <c r="D576" s="77"/>
      <c r="E576" s="77"/>
      <c r="F576" s="77"/>
      <c r="G576" s="77"/>
      <c r="H576" s="77" t="s">
        <v>37</v>
      </c>
      <c r="I576" s="77" t="n">
        <v>66.0305953275</v>
      </c>
      <c r="J576" s="76" t="s">
        <v>992</v>
      </c>
      <c r="K576" s="76" t="s">
        <v>993</v>
      </c>
      <c r="W576" s="1"/>
      <c r="X576" s="1"/>
      <c r="Y576" s="1"/>
      <c r="Z576" s="1"/>
    </row>
    <row r="577" customFormat="false" ht="15.75" hidden="false" customHeight="true" outlineLevel="0" collapsed="false">
      <c r="A577" s="76" t="s">
        <v>736</v>
      </c>
      <c r="B577" s="76" t="s">
        <v>991</v>
      </c>
      <c r="C577" s="76" t="s">
        <v>37</v>
      </c>
      <c r="D577" s="77"/>
      <c r="E577" s="77"/>
      <c r="F577" s="77"/>
      <c r="G577" s="77"/>
      <c r="H577" s="77" t="s">
        <v>37</v>
      </c>
      <c r="I577" s="77" t="n">
        <v>39.6183571965</v>
      </c>
      <c r="J577" s="76" t="s">
        <v>994</v>
      </c>
      <c r="K577" s="76" t="s">
        <v>995</v>
      </c>
      <c r="W577" s="1"/>
      <c r="X577" s="1"/>
      <c r="Y577" s="1"/>
      <c r="Z577" s="1"/>
    </row>
    <row r="578" customFormat="false" ht="15.75" hidden="false" customHeight="true" outlineLevel="0" collapsed="false">
      <c r="A578" s="76" t="s">
        <v>739</v>
      </c>
      <c r="B578" s="76" t="s">
        <v>991</v>
      </c>
      <c r="C578" s="76" t="s">
        <v>37</v>
      </c>
      <c r="D578" s="77"/>
      <c r="E578" s="77"/>
      <c r="F578" s="77"/>
      <c r="G578" s="77"/>
      <c r="H578" s="77" t="s">
        <v>37</v>
      </c>
      <c r="I578" s="77" t="n">
        <v>26.412238131</v>
      </c>
      <c r="J578" s="76" t="s">
        <v>996</v>
      </c>
      <c r="K578" s="76" t="s">
        <v>997</v>
      </c>
      <c r="W578" s="1"/>
      <c r="X578" s="1"/>
      <c r="Y578" s="1"/>
      <c r="Z578" s="1"/>
    </row>
    <row r="579" customFormat="false" ht="15.75" hidden="false" customHeight="true" outlineLevel="0" collapsed="false">
      <c r="A579" s="76" t="s">
        <v>998</v>
      </c>
      <c r="B579" s="76" t="s">
        <v>991</v>
      </c>
      <c r="C579" s="76" t="s">
        <v>37</v>
      </c>
      <c r="D579" s="77"/>
      <c r="E579" s="77"/>
      <c r="F579" s="77"/>
      <c r="G579" s="77"/>
      <c r="H579" s="77" t="s">
        <v>37</v>
      </c>
      <c r="I579" s="77" t="n">
        <v>53.9867934585</v>
      </c>
      <c r="J579" s="76" t="s">
        <v>999</v>
      </c>
      <c r="K579" s="76" t="s">
        <v>1000</v>
      </c>
      <c r="W579" s="1"/>
      <c r="X579" s="1"/>
      <c r="Y579" s="1"/>
      <c r="Z579" s="1"/>
    </row>
    <row r="580" customFormat="false" ht="15.75" hidden="false" customHeight="true" outlineLevel="0" collapsed="false">
      <c r="W580" s="1"/>
      <c r="X580" s="1"/>
      <c r="Y580" s="1"/>
      <c r="Z580" s="1"/>
    </row>
    <row r="581" customFormat="false" ht="15.75" hidden="false" customHeight="true" outlineLevel="0" collapsed="false">
      <c r="W581" s="1"/>
      <c r="X581" s="1"/>
      <c r="Y581" s="1"/>
      <c r="Z581" s="1"/>
    </row>
    <row r="582" customFormat="false" ht="15.75" hidden="false" customHeight="true" outlineLevel="0" collapsed="false">
      <c r="A582" s="9" t="s">
        <v>1001</v>
      </c>
      <c r="W582" s="1"/>
      <c r="X582" s="1"/>
      <c r="Y582" s="1"/>
      <c r="Z582" s="1"/>
    </row>
    <row r="583" customFormat="false" ht="15.75" hidden="false" customHeight="true" outlineLevel="0" collapsed="false">
      <c r="A583" s="78" t="s">
        <v>1002</v>
      </c>
      <c r="B583" s="78" t="n">
        <v>9</v>
      </c>
      <c r="C583" s="78" t="s">
        <v>1003</v>
      </c>
      <c r="W583" s="1"/>
      <c r="X583" s="1"/>
      <c r="Y583" s="1"/>
      <c r="Z583" s="1"/>
    </row>
    <row r="584" customFormat="false" ht="15.75" hidden="false" customHeight="true" outlineLevel="0" collapsed="false">
      <c r="A584" s="78" t="s">
        <v>1004</v>
      </c>
      <c r="B584" s="78" t="n">
        <v>15</v>
      </c>
      <c r="C584" s="78" t="s">
        <v>1005</v>
      </c>
      <c r="W584" s="1"/>
      <c r="X584" s="1"/>
      <c r="Y584" s="1"/>
      <c r="Z584" s="1"/>
    </row>
    <row r="585" customFormat="false" ht="15.75" hidden="false" customHeight="true" outlineLevel="0" collapsed="false">
      <c r="A585" s="78" t="s">
        <v>1006</v>
      </c>
      <c r="B585" s="78" t="n">
        <v>124.2</v>
      </c>
      <c r="C585" s="78" t="s">
        <v>1007</v>
      </c>
      <c r="W585" s="1"/>
      <c r="X585" s="1"/>
      <c r="Y585" s="1"/>
      <c r="Z585" s="1"/>
    </row>
    <row r="586" customFormat="false" ht="15.75" hidden="false" customHeight="true" outlineLevel="0" collapsed="false">
      <c r="A586" s="78" t="s">
        <v>1008</v>
      </c>
      <c r="B586" s="78" t="n">
        <v>33.6</v>
      </c>
      <c r="C586" s="78" t="s">
        <v>1009</v>
      </c>
      <c r="W586" s="1"/>
      <c r="X586" s="1"/>
      <c r="Y586" s="1"/>
      <c r="Z586" s="1"/>
    </row>
    <row r="587" customFormat="false" ht="15.75" hidden="false" customHeight="true" outlineLevel="0" collapsed="false">
      <c r="A587" s="78" t="s">
        <v>1010</v>
      </c>
      <c r="B587" s="78" t="n">
        <v>18</v>
      </c>
      <c r="C587" s="78" t="s">
        <v>1011</v>
      </c>
      <c r="W587" s="1"/>
      <c r="X587" s="1"/>
      <c r="Y587" s="1"/>
      <c r="Z587" s="1"/>
    </row>
    <row r="588" customFormat="false" ht="15.75" hidden="false" customHeight="true" outlineLevel="0" collapsed="false">
      <c r="A588" s="78" t="s">
        <v>1012</v>
      </c>
      <c r="B588" s="78" t="n">
        <v>11.466</v>
      </c>
      <c r="C588" s="78" t="s">
        <v>1013</v>
      </c>
      <c r="W588" s="1"/>
      <c r="X588" s="1"/>
      <c r="Y588" s="1"/>
      <c r="Z588" s="1"/>
    </row>
    <row r="589" customFormat="false" ht="15.75" hidden="false" customHeight="true" outlineLevel="0" collapsed="false">
      <c r="W589" s="1"/>
      <c r="X589" s="1"/>
      <c r="Y589" s="1"/>
      <c r="Z589" s="1"/>
    </row>
    <row r="590" customFormat="false" ht="15.75" hidden="false" customHeight="true" outlineLevel="0" collapsed="false">
      <c r="W590" s="1"/>
      <c r="X590" s="1"/>
      <c r="Y590" s="1"/>
      <c r="Z590" s="1"/>
    </row>
    <row r="591" customFormat="false" ht="15.75" hidden="false" customHeight="true" outlineLevel="0" collapsed="false">
      <c r="W591" s="1"/>
      <c r="X591" s="1"/>
      <c r="Y591" s="1"/>
      <c r="Z591" s="1"/>
    </row>
    <row r="592" customFormat="false" ht="15.75" hidden="false" customHeight="true" outlineLevel="0" collapsed="false">
      <c r="W592" s="1"/>
      <c r="X592" s="1"/>
      <c r="Y592" s="1"/>
      <c r="Z592" s="1"/>
    </row>
    <row r="593" customFormat="false" ht="15.75" hidden="false" customHeight="true" outlineLevel="0" collapsed="false">
      <c r="W593" s="1"/>
      <c r="X593" s="1"/>
      <c r="Y593" s="1"/>
      <c r="Z593" s="1"/>
    </row>
    <row r="594" customFormat="false" ht="15.75" hidden="false" customHeight="true" outlineLevel="0" collapsed="false">
      <c r="W594" s="1"/>
      <c r="X594" s="1"/>
      <c r="Y594" s="1"/>
      <c r="Z594" s="1"/>
    </row>
    <row r="595" customFormat="false" ht="15.75" hidden="false" customHeight="true" outlineLevel="0" collapsed="false">
      <c r="W595" s="1"/>
      <c r="X595" s="1"/>
      <c r="Y595" s="1"/>
      <c r="Z595" s="1"/>
    </row>
    <row r="596" customFormat="false" ht="15.75" hidden="false" customHeight="true" outlineLevel="0" collapsed="false">
      <c r="W596" s="1"/>
      <c r="X596" s="1"/>
      <c r="Y596" s="1"/>
      <c r="Z596" s="1"/>
    </row>
    <row r="597" customFormat="false" ht="15.75" hidden="false" customHeight="true" outlineLevel="0" collapsed="false">
      <c r="W597" s="1"/>
      <c r="X597" s="1"/>
      <c r="Y597" s="1"/>
      <c r="Z597" s="1"/>
    </row>
    <row r="598" customFormat="false" ht="15.75" hidden="false" customHeight="true" outlineLevel="0" collapsed="false">
      <c r="W598" s="1"/>
      <c r="X598" s="1"/>
      <c r="Y598" s="1"/>
      <c r="Z598" s="1"/>
    </row>
    <row r="599" customFormat="false" ht="15.75" hidden="false" customHeight="true" outlineLevel="0" collapsed="false">
      <c r="W599" s="1"/>
      <c r="X599" s="1"/>
      <c r="Y599" s="1"/>
      <c r="Z599" s="1"/>
    </row>
    <row r="600" customFormat="false" ht="15.75" hidden="false" customHeight="true" outlineLevel="0" collapsed="false">
      <c r="W600" s="1"/>
      <c r="X600" s="1"/>
      <c r="Y600" s="1"/>
      <c r="Z600" s="1"/>
    </row>
    <row r="601" customFormat="false" ht="15.75" hidden="false" customHeight="true" outlineLevel="0" collapsed="false">
      <c r="W601" s="1"/>
      <c r="X601" s="1"/>
      <c r="Y601" s="1"/>
      <c r="Z601" s="1"/>
    </row>
    <row r="602" customFormat="false" ht="15.75" hidden="false" customHeight="true" outlineLevel="0" collapsed="false">
      <c r="W602" s="1"/>
      <c r="X602" s="1"/>
      <c r="Y602" s="1"/>
      <c r="Z602" s="1"/>
    </row>
    <row r="603" customFormat="false" ht="15.75" hidden="false" customHeight="true" outlineLevel="0" collapsed="false">
      <c r="W603" s="1"/>
      <c r="X603" s="1"/>
      <c r="Y603" s="1"/>
      <c r="Z603" s="1"/>
    </row>
    <row r="604" customFormat="false" ht="15.75" hidden="false" customHeight="true" outlineLevel="0" collapsed="false">
      <c r="W604" s="1"/>
      <c r="X604" s="1"/>
      <c r="Y604" s="1"/>
      <c r="Z604" s="1"/>
    </row>
    <row r="605" customFormat="false" ht="15.75" hidden="false" customHeight="true" outlineLevel="0" collapsed="false">
      <c r="W605" s="1"/>
      <c r="X605" s="1"/>
      <c r="Y605" s="1"/>
      <c r="Z605" s="1"/>
    </row>
    <row r="606" customFormat="false" ht="15.75" hidden="false" customHeight="true" outlineLevel="0" collapsed="false">
      <c r="W606" s="1"/>
      <c r="X606" s="1"/>
      <c r="Y606" s="1"/>
      <c r="Z606" s="1"/>
    </row>
    <row r="607" customFormat="false" ht="15.75" hidden="false" customHeight="true" outlineLevel="0" collapsed="false">
      <c r="W607" s="1"/>
      <c r="X607" s="1"/>
      <c r="Y607" s="1"/>
      <c r="Z607" s="1"/>
    </row>
    <row r="608" customFormat="false" ht="15.75" hidden="false" customHeight="true" outlineLevel="0" collapsed="false">
      <c r="W608" s="1"/>
      <c r="X608" s="1"/>
      <c r="Y608" s="1"/>
      <c r="Z608" s="1"/>
    </row>
    <row r="609" customFormat="false" ht="15.75" hidden="false" customHeight="true" outlineLevel="0" collapsed="false">
      <c r="W609" s="1"/>
      <c r="X609" s="1"/>
      <c r="Y609" s="1"/>
      <c r="Z609" s="1"/>
    </row>
    <row r="610" customFormat="false" ht="15.75" hidden="false" customHeight="true" outlineLevel="0" collapsed="false">
      <c r="W610" s="1"/>
      <c r="X610" s="1"/>
      <c r="Y610" s="1"/>
      <c r="Z610" s="1"/>
    </row>
    <row r="611" customFormat="false" ht="15.75" hidden="false" customHeight="true" outlineLevel="0" collapsed="false">
      <c r="W611" s="1"/>
      <c r="X611" s="1"/>
      <c r="Y611" s="1"/>
      <c r="Z611" s="1"/>
    </row>
    <row r="612" customFormat="false" ht="15.75" hidden="false" customHeight="true" outlineLevel="0" collapsed="false">
      <c r="W612" s="1"/>
      <c r="X612" s="1"/>
      <c r="Y612" s="1"/>
      <c r="Z612" s="1"/>
    </row>
    <row r="613" customFormat="false" ht="15.75" hidden="false" customHeight="true" outlineLevel="0" collapsed="false">
      <c r="W613" s="1"/>
      <c r="X613" s="1"/>
      <c r="Y613" s="1"/>
      <c r="Z613" s="1"/>
    </row>
    <row r="614" customFormat="false" ht="15.75" hidden="false" customHeight="true" outlineLevel="0" collapsed="false">
      <c r="W614" s="1"/>
      <c r="X614" s="1"/>
      <c r="Y614" s="1"/>
      <c r="Z614" s="1"/>
    </row>
    <row r="615" customFormat="false" ht="15.75" hidden="false" customHeight="true" outlineLevel="0" collapsed="false">
      <c r="W615" s="1"/>
      <c r="X615" s="1"/>
      <c r="Y615" s="1"/>
      <c r="Z615" s="1"/>
    </row>
    <row r="616" customFormat="false" ht="15.75" hidden="false" customHeight="true" outlineLevel="0" collapsed="false">
      <c r="W616" s="1"/>
      <c r="X616" s="1"/>
      <c r="Y616" s="1"/>
      <c r="Z616" s="1"/>
    </row>
    <row r="617" customFormat="false" ht="15.75" hidden="false" customHeight="true" outlineLevel="0" collapsed="false">
      <c r="W617" s="1"/>
      <c r="X617" s="1"/>
      <c r="Y617" s="1"/>
      <c r="Z617" s="1"/>
    </row>
    <row r="618" customFormat="false" ht="15.75" hidden="false" customHeight="true" outlineLevel="0" collapsed="false">
      <c r="W618" s="1"/>
      <c r="X618" s="1"/>
      <c r="Y618" s="1"/>
      <c r="Z618" s="1"/>
    </row>
    <row r="619" customFormat="false" ht="15.75" hidden="false" customHeight="true" outlineLevel="0" collapsed="false">
      <c r="W619" s="1"/>
      <c r="X619" s="1"/>
      <c r="Y619" s="1"/>
      <c r="Z619" s="1"/>
    </row>
    <row r="620" customFormat="false" ht="15.75" hidden="false" customHeight="true" outlineLevel="0" collapsed="false">
      <c r="W620" s="1"/>
      <c r="X620" s="1"/>
      <c r="Y620" s="1"/>
      <c r="Z620" s="1"/>
    </row>
    <row r="621" customFormat="false" ht="15.75" hidden="false" customHeight="true" outlineLevel="0" collapsed="false">
      <c r="W621" s="1"/>
      <c r="X621" s="1"/>
      <c r="Y621" s="1"/>
      <c r="Z621" s="1"/>
    </row>
    <row r="622" customFormat="false" ht="15.75" hidden="false" customHeight="true" outlineLevel="0" collapsed="false">
      <c r="W622" s="1"/>
      <c r="X622" s="1"/>
      <c r="Y622" s="1"/>
      <c r="Z622" s="1"/>
    </row>
    <row r="623" customFormat="false" ht="15.75" hidden="false" customHeight="true" outlineLevel="0" collapsed="false">
      <c r="W623" s="1"/>
      <c r="X623" s="1"/>
      <c r="Y623" s="1"/>
      <c r="Z623" s="1"/>
    </row>
    <row r="624" customFormat="false" ht="15.75" hidden="false" customHeight="true" outlineLevel="0" collapsed="false">
      <c r="W624" s="1"/>
      <c r="X624" s="1"/>
      <c r="Y624" s="1"/>
      <c r="Z624" s="1"/>
    </row>
    <row r="625" customFormat="false" ht="15.75" hidden="false" customHeight="true" outlineLevel="0" collapsed="false">
      <c r="W625" s="1"/>
      <c r="X625" s="1"/>
      <c r="Y625" s="1"/>
      <c r="Z625" s="1"/>
    </row>
    <row r="626" customFormat="false" ht="15.75" hidden="false" customHeight="true" outlineLevel="0" collapsed="false">
      <c r="W626" s="1"/>
      <c r="X626" s="1"/>
      <c r="Y626" s="1"/>
      <c r="Z626" s="1"/>
    </row>
    <row r="627" customFormat="false" ht="15.75" hidden="false" customHeight="true" outlineLevel="0" collapsed="false">
      <c r="W627" s="1"/>
      <c r="X627" s="1"/>
      <c r="Y627" s="1"/>
      <c r="Z627" s="1"/>
    </row>
    <row r="628" customFormat="false" ht="15.75" hidden="false" customHeight="true" outlineLevel="0" collapsed="false">
      <c r="W628" s="1"/>
      <c r="X628" s="1"/>
      <c r="Y628" s="1"/>
      <c r="Z628" s="1"/>
    </row>
    <row r="629" customFormat="false" ht="15.75" hidden="false" customHeight="true" outlineLevel="0" collapsed="false">
      <c r="W629" s="1"/>
      <c r="X629" s="1"/>
      <c r="Y629" s="1"/>
      <c r="Z629" s="1"/>
    </row>
    <row r="630" customFormat="false" ht="15.75" hidden="false" customHeight="true" outlineLevel="0" collapsed="false">
      <c r="W630" s="1"/>
      <c r="X630" s="1"/>
      <c r="Y630" s="1"/>
      <c r="Z630" s="1"/>
    </row>
    <row r="631" customFormat="false" ht="15.75" hidden="false" customHeight="true" outlineLevel="0" collapsed="false">
      <c r="W631" s="1"/>
      <c r="X631" s="1"/>
      <c r="Y631" s="1"/>
      <c r="Z631" s="1"/>
    </row>
    <row r="632" customFormat="false" ht="15.75" hidden="false" customHeight="true" outlineLevel="0" collapsed="false">
      <c r="W632" s="1"/>
      <c r="X632" s="1"/>
      <c r="Y632" s="1"/>
      <c r="Z632" s="1"/>
    </row>
    <row r="633" customFormat="false" ht="15.75" hidden="false" customHeight="true" outlineLevel="0" collapsed="false">
      <c r="W633" s="1"/>
      <c r="X633" s="1"/>
      <c r="Y633" s="1"/>
      <c r="Z633" s="1"/>
    </row>
    <row r="634" customFormat="false" ht="15.75" hidden="false" customHeight="true" outlineLevel="0" collapsed="false">
      <c r="W634" s="1"/>
      <c r="X634" s="1"/>
      <c r="Y634" s="1"/>
      <c r="Z634" s="1"/>
    </row>
    <row r="635" customFormat="false" ht="15.75" hidden="false" customHeight="true" outlineLevel="0" collapsed="false">
      <c r="W635" s="1"/>
      <c r="X635" s="1"/>
      <c r="Y635" s="1"/>
      <c r="Z635" s="1"/>
    </row>
    <row r="636" customFormat="false" ht="15.75" hidden="false" customHeight="true" outlineLevel="0" collapsed="false">
      <c r="W636" s="1"/>
      <c r="X636" s="1"/>
      <c r="Y636" s="1"/>
      <c r="Z636" s="1"/>
    </row>
    <row r="637" customFormat="false" ht="15.75" hidden="false" customHeight="true" outlineLevel="0" collapsed="false">
      <c r="W637" s="1"/>
      <c r="X637" s="1"/>
      <c r="Y637" s="1"/>
      <c r="Z637" s="1"/>
    </row>
    <row r="638" customFormat="false" ht="15.75" hidden="false" customHeight="true" outlineLevel="0" collapsed="false">
      <c r="W638" s="1"/>
      <c r="X638" s="1"/>
      <c r="Y638" s="1"/>
      <c r="Z638" s="1"/>
    </row>
    <row r="639" customFormat="false" ht="15.75" hidden="false" customHeight="true" outlineLevel="0" collapsed="false">
      <c r="W639" s="1"/>
      <c r="X639" s="1"/>
      <c r="Y639" s="1"/>
      <c r="Z639" s="1"/>
    </row>
    <row r="640" customFormat="false" ht="15.75" hidden="false" customHeight="true" outlineLevel="0" collapsed="false">
      <c r="W640" s="1"/>
      <c r="X640" s="1"/>
      <c r="Y640" s="1"/>
      <c r="Z640" s="1"/>
    </row>
    <row r="641" customFormat="false" ht="15.75" hidden="false" customHeight="true" outlineLevel="0" collapsed="false">
      <c r="W641" s="1"/>
      <c r="X641" s="1"/>
      <c r="Y641" s="1"/>
      <c r="Z641" s="1"/>
    </row>
    <row r="642" customFormat="false" ht="15.75" hidden="false" customHeight="true" outlineLevel="0" collapsed="false">
      <c r="W642" s="1"/>
      <c r="X642" s="1"/>
      <c r="Y642" s="1"/>
      <c r="Z642" s="1"/>
    </row>
    <row r="643" customFormat="false" ht="15.75" hidden="false" customHeight="true" outlineLevel="0" collapsed="false">
      <c r="W643" s="1"/>
      <c r="X643" s="1"/>
      <c r="Y643" s="1"/>
      <c r="Z643" s="1"/>
    </row>
    <row r="644" customFormat="false" ht="15.75" hidden="false" customHeight="true" outlineLevel="0" collapsed="false">
      <c r="W644" s="1"/>
      <c r="X644" s="1"/>
      <c r="Y644" s="1"/>
      <c r="Z644" s="1"/>
    </row>
    <row r="645" customFormat="false" ht="15.75" hidden="false" customHeight="true" outlineLevel="0" collapsed="false">
      <c r="W645" s="1"/>
      <c r="X645" s="1"/>
      <c r="Y645" s="1"/>
      <c r="Z645" s="1"/>
    </row>
    <row r="646" customFormat="false" ht="15.75" hidden="false" customHeight="true" outlineLevel="0" collapsed="false">
      <c r="W646" s="1"/>
      <c r="X646" s="1"/>
      <c r="Y646" s="1"/>
      <c r="Z646" s="1"/>
    </row>
    <row r="647" customFormat="false" ht="15.75" hidden="false" customHeight="true" outlineLevel="0" collapsed="false">
      <c r="W647" s="1"/>
      <c r="X647" s="1"/>
      <c r="Y647" s="1"/>
      <c r="Z647" s="1"/>
    </row>
    <row r="648" customFormat="false" ht="15.75" hidden="false" customHeight="true" outlineLevel="0" collapsed="false">
      <c r="W648" s="1"/>
      <c r="X648" s="1"/>
      <c r="Y648" s="1"/>
      <c r="Z648" s="1"/>
    </row>
    <row r="649" customFormat="false" ht="15.75" hidden="false" customHeight="true" outlineLevel="0" collapsed="false">
      <c r="W649" s="1"/>
      <c r="X649" s="1"/>
      <c r="Y649" s="1"/>
      <c r="Z649" s="1"/>
    </row>
    <row r="650" customFormat="false" ht="15.75" hidden="false" customHeight="true" outlineLevel="0" collapsed="false">
      <c r="W650" s="1"/>
      <c r="X650" s="1"/>
      <c r="Y650" s="1"/>
      <c r="Z650" s="1"/>
    </row>
    <row r="651" customFormat="false" ht="15.75" hidden="false" customHeight="true" outlineLevel="0" collapsed="false">
      <c r="W651" s="1"/>
      <c r="X651" s="1"/>
      <c r="Y651" s="1"/>
      <c r="Z651" s="1"/>
    </row>
    <row r="652" customFormat="false" ht="15.75" hidden="false" customHeight="true" outlineLevel="0" collapsed="false">
      <c r="W652" s="1"/>
      <c r="X652" s="1"/>
      <c r="Y652" s="1"/>
      <c r="Z652" s="1"/>
    </row>
    <row r="653" customFormat="false" ht="15.75" hidden="false" customHeight="true" outlineLevel="0" collapsed="false">
      <c r="W653" s="1"/>
      <c r="X653" s="1"/>
      <c r="Y653" s="1"/>
      <c r="Z653" s="1"/>
    </row>
    <row r="654" customFormat="false" ht="15.75" hidden="false" customHeight="true" outlineLevel="0" collapsed="false">
      <c r="W654" s="1"/>
      <c r="X654" s="1"/>
      <c r="Y654" s="1"/>
      <c r="Z654" s="1"/>
    </row>
    <row r="655" customFormat="false" ht="15.75" hidden="false" customHeight="true" outlineLevel="0" collapsed="false">
      <c r="W655" s="1"/>
      <c r="X655" s="1"/>
      <c r="Y655" s="1"/>
      <c r="Z655" s="1"/>
    </row>
    <row r="656" customFormat="false" ht="15.75" hidden="false" customHeight="true" outlineLevel="0" collapsed="false">
      <c r="W656" s="1"/>
      <c r="X656" s="1"/>
      <c r="Y656" s="1"/>
      <c r="Z656" s="1"/>
    </row>
    <row r="657" customFormat="false" ht="15.75" hidden="false" customHeight="true" outlineLevel="0" collapsed="false">
      <c r="W657" s="1"/>
      <c r="X657" s="1"/>
      <c r="Y657" s="1"/>
      <c r="Z657" s="1"/>
    </row>
    <row r="658" customFormat="false" ht="15.75" hidden="false" customHeight="true" outlineLevel="0" collapsed="false">
      <c r="W658" s="1"/>
      <c r="X658" s="1"/>
      <c r="Y658" s="1"/>
      <c r="Z658" s="1"/>
    </row>
    <row r="659" customFormat="false" ht="15.75" hidden="false" customHeight="true" outlineLevel="0" collapsed="false">
      <c r="W659" s="1"/>
      <c r="X659" s="1"/>
      <c r="Y659" s="1"/>
      <c r="Z659" s="1"/>
    </row>
    <row r="660" customFormat="false" ht="15.75" hidden="false" customHeight="true" outlineLevel="0" collapsed="false">
      <c r="W660" s="1"/>
      <c r="X660" s="1"/>
      <c r="Y660" s="1"/>
      <c r="Z660" s="1"/>
    </row>
    <row r="661" customFormat="false" ht="15.75" hidden="false" customHeight="true" outlineLevel="0" collapsed="false">
      <c r="W661" s="1"/>
      <c r="X661" s="1"/>
      <c r="Y661" s="1"/>
      <c r="Z661" s="1"/>
    </row>
    <row r="662" customFormat="false" ht="15.75" hidden="false" customHeight="true" outlineLevel="0" collapsed="false">
      <c r="W662" s="1"/>
      <c r="X662" s="1"/>
      <c r="Y662" s="1"/>
      <c r="Z662" s="1"/>
    </row>
    <row r="663" customFormat="false" ht="15.75" hidden="false" customHeight="true" outlineLevel="0" collapsed="false">
      <c r="W663" s="1"/>
      <c r="X663" s="1"/>
      <c r="Y663" s="1"/>
      <c r="Z663" s="1"/>
    </row>
    <row r="664" customFormat="false" ht="15.75" hidden="false" customHeight="true" outlineLevel="0" collapsed="false">
      <c r="W664" s="1"/>
      <c r="X664" s="1"/>
      <c r="Y664" s="1"/>
      <c r="Z664" s="1"/>
    </row>
    <row r="665" customFormat="false" ht="15.75" hidden="false" customHeight="true" outlineLevel="0" collapsed="false">
      <c r="W665" s="1"/>
      <c r="X665" s="1"/>
      <c r="Y665" s="1"/>
      <c r="Z665" s="1"/>
    </row>
    <row r="666" customFormat="false" ht="15.75" hidden="false" customHeight="true" outlineLevel="0" collapsed="false">
      <c r="W666" s="1"/>
      <c r="X666" s="1"/>
      <c r="Y666" s="1"/>
      <c r="Z666" s="1"/>
    </row>
    <row r="667" customFormat="false" ht="15.75" hidden="false" customHeight="true" outlineLevel="0" collapsed="false">
      <c r="W667" s="1"/>
      <c r="X667" s="1"/>
      <c r="Y667" s="1"/>
      <c r="Z667" s="1"/>
    </row>
    <row r="668" customFormat="false" ht="15.75" hidden="false" customHeight="true" outlineLevel="0" collapsed="false">
      <c r="W668" s="1"/>
      <c r="X668" s="1"/>
      <c r="Y668" s="1"/>
      <c r="Z668" s="1"/>
    </row>
    <row r="669" customFormat="false" ht="15.75" hidden="false" customHeight="true" outlineLevel="0" collapsed="false">
      <c r="W669" s="1"/>
      <c r="X669" s="1"/>
      <c r="Y669" s="1"/>
      <c r="Z669" s="1"/>
    </row>
    <row r="670" customFormat="false" ht="15.75" hidden="false" customHeight="true" outlineLevel="0" collapsed="false">
      <c r="W670" s="1"/>
      <c r="X670" s="1"/>
      <c r="Y670" s="1"/>
      <c r="Z670" s="1"/>
    </row>
    <row r="671" customFormat="false" ht="15.75" hidden="false" customHeight="true" outlineLevel="0" collapsed="false">
      <c r="W671" s="1"/>
      <c r="X671" s="1"/>
      <c r="Y671" s="1"/>
      <c r="Z671" s="1"/>
    </row>
    <row r="672" customFormat="false" ht="15.75" hidden="false" customHeight="true" outlineLevel="0" collapsed="false">
      <c r="W672" s="1"/>
      <c r="X672" s="1"/>
      <c r="Y672" s="1"/>
      <c r="Z672" s="1"/>
    </row>
    <row r="673" customFormat="false" ht="15.75" hidden="false" customHeight="true" outlineLevel="0" collapsed="false">
      <c r="W673" s="1"/>
      <c r="X673" s="1"/>
      <c r="Y673" s="1"/>
      <c r="Z673" s="1"/>
    </row>
    <row r="674" customFormat="false" ht="15.75" hidden="false" customHeight="true" outlineLevel="0" collapsed="false">
      <c r="W674" s="1"/>
      <c r="X674" s="1"/>
      <c r="Y674" s="1"/>
      <c r="Z674" s="1"/>
    </row>
    <row r="675" customFormat="false" ht="15.75" hidden="false" customHeight="true" outlineLevel="0" collapsed="false">
      <c r="W675" s="1"/>
      <c r="X675" s="1"/>
      <c r="Y675" s="1"/>
      <c r="Z675" s="1"/>
    </row>
    <row r="676" customFormat="false" ht="15.75" hidden="false" customHeight="true" outlineLevel="0" collapsed="false">
      <c r="W676" s="1"/>
      <c r="X676" s="1"/>
      <c r="Y676" s="1"/>
      <c r="Z676" s="1"/>
    </row>
    <row r="677" customFormat="false" ht="15.75" hidden="false" customHeight="true" outlineLevel="0" collapsed="false">
      <c r="W677" s="1"/>
      <c r="X677" s="1"/>
      <c r="Y677" s="1"/>
      <c r="Z677" s="1"/>
    </row>
    <row r="678" customFormat="false" ht="15.75" hidden="false" customHeight="true" outlineLevel="0" collapsed="false">
      <c r="W678" s="1"/>
      <c r="X678" s="1"/>
      <c r="Y678" s="1"/>
      <c r="Z678" s="1"/>
    </row>
    <row r="679" customFormat="false" ht="15.75" hidden="false" customHeight="true" outlineLevel="0" collapsed="false">
      <c r="W679" s="1"/>
      <c r="X679" s="1"/>
      <c r="Y679" s="1"/>
      <c r="Z679" s="1"/>
    </row>
    <row r="680" customFormat="false" ht="15.75" hidden="false" customHeight="true" outlineLevel="0" collapsed="false">
      <c r="W680" s="1"/>
      <c r="X680" s="1"/>
      <c r="Y680" s="1"/>
      <c r="Z680" s="1"/>
    </row>
    <row r="681" customFormat="false" ht="15.75" hidden="false" customHeight="true" outlineLevel="0" collapsed="false">
      <c r="W681" s="1"/>
      <c r="X681" s="1"/>
      <c r="Y681" s="1"/>
      <c r="Z681" s="1"/>
    </row>
    <row r="682" customFormat="false" ht="15.75" hidden="false" customHeight="true" outlineLevel="0" collapsed="false">
      <c r="W682" s="1"/>
      <c r="X682" s="1"/>
      <c r="Y682" s="1"/>
      <c r="Z682" s="1"/>
    </row>
    <row r="683" customFormat="false" ht="15.75" hidden="false" customHeight="true" outlineLevel="0" collapsed="false">
      <c r="W683" s="1"/>
      <c r="X683" s="1"/>
      <c r="Y683" s="1"/>
      <c r="Z683" s="1"/>
    </row>
    <row r="684" customFormat="false" ht="15.75" hidden="false" customHeight="true" outlineLevel="0" collapsed="false">
      <c r="W684" s="1"/>
      <c r="X684" s="1"/>
      <c r="Y684" s="1"/>
      <c r="Z684" s="1"/>
    </row>
    <row r="685" customFormat="false" ht="15.75" hidden="false" customHeight="true" outlineLevel="0" collapsed="false">
      <c r="W685" s="1"/>
      <c r="X685" s="1"/>
      <c r="Y685" s="1"/>
      <c r="Z685" s="1"/>
    </row>
    <row r="686" customFormat="false" ht="15.75" hidden="false" customHeight="true" outlineLevel="0" collapsed="false">
      <c r="W686" s="1"/>
      <c r="X686" s="1"/>
      <c r="Y686" s="1"/>
      <c r="Z686" s="1"/>
    </row>
    <row r="687" customFormat="false" ht="15.75" hidden="false" customHeight="true" outlineLevel="0" collapsed="false">
      <c r="W687" s="1"/>
      <c r="X687" s="1"/>
      <c r="Y687" s="1"/>
      <c r="Z687" s="1"/>
    </row>
    <row r="688" customFormat="false" ht="15.75" hidden="false" customHeight="true" outlineLevel="0" collapsed="false">
      <c r="W688" s="1"/>
      <c r="X688" s="1"/>
      <c r="Y688" s="1"/>
      <c r="Z688" s="1"/>
    </row>
    <row r="689" customFormat="false" ht="15.75" hidden="false" customHeight="true" outlineLevel="0" collapsed="false">
      <c r="W689" s="1"/>
      <c r="X689" s="1"/>
      <c r="Y689" s="1"/>
      <c r="Z689" s="1"/>
    </row>
    <row r="690" customFormat="false" ht="15.75" hidden="false" customHeight="true" outlineLevel="0" collapsed="false">
      <c r="W690" s="1"/>
      <c r="X690" s="1"/>
      <c r="Y690" s="1"/>
      <c r="Z690" s="1"/>
    </row>
    <row r="691" customFormat="false" ht="15.75" hidden="false" customHeight="true" outlineLevel="0" collapsed="false">
      <c r="W691" s="1"/>
      <c r="X691" s="1"/>
      <c r="Y691" s="1"/>
      <c r="Z691" s="1"/>
    </row>
    <row r="692" customFormat="false" ht="15.75" hidden="false" customHeight="true" outlineLevel="0" collapsed="false">
      <c r="W692" s="1"/>
      <c r="X692" s="1"/>
      <c r="Y692" s="1"/>
      <c r="Z692" s="1"/>
    </row>
    <row r="693" customFormat="false" ht="15.75" hidden="false" customHeight="true" outlineLevel="0" collapsed="false">
      <c r="W693" s="1"/>
      <c r="X693" s="1"/>
      <c r="Y693" s="1"/>
      <c r="Z693" s="1"/>
    </row>
    <row r="694" customFormat="false" ht="15.75" hidden="false" customHeight="true" outlineLevel="0" collapsed="false">
      <c r="W694" s="1"/>
      <c r="X694" s="1"/>
      <c r="Y694" s="1"/>
      <c r="Z694" s="1"/>
    </row>
    <row r="695" customFormat="false" ht="15.75" hidden="false" customHeight="true" outlineLevel="0" collapsed="false">
      <c r="W695" s="1"/>
      <c r="X695" s="1"/>
      <c r="Y695" s="1"/>
      <c r="Z695" s="1"/>
    </row>
    <row r="696" customFormat="false" ht="15.75" hidden="false" customHeight="true" outlineLevel="0" collapsed="false">
      <c r="W696" s="1"/>
      <c r="X696" s="1"/>
      <c r="Y696" s="1"/>
      <c r="Z696" s="1"/>
    </row>
    <row r="697" customFormat="false" ht="15.75" hidden="false" customHeight="true" outlineLevel="0" collapsed="false">
      <c r="W697" s="1"/>
      <c r="X697" s="1"/>
      <c r="Y697" s="1"/>
      <c r="Z697" s="1"/>
    </row>
    <row r="698" customFormat="false" ht="15.75" hidden="false" customHeight="true" outlineLevel="0" collapsed="false">
      <c r="W698" s="1"/>
      <c r="X698" s="1"/>
      <c r="Y698" s="1"/>
      <c r="Z698" s="1"/>
    </row>
    <row r="699" customFormat="false" ht="15.75" hidden="false" customHeight="true" outlineLevel="0" collapsed="false">
      <c r="W699" s="1"/>
      <c r="X699" s="1"/>
      <c r="Y699" s="1"/>
      <c r="Z699" s="1"/>
    </row>
    <row r="700" customFormat="false" ht="15.75" hidden="false" customHeight="true" outlineLevel="0" collapsed="false">
      <c r="W700" s="1"/>
      <c r="X700" s="1"/>
      <c r="Y700" s="1"/>
      <c r="Z700" s="1"/>
    </row>
    <row r="701" customFormat="false" ht="15.75" hidden="false" customHeight="true" outlineLevel="0" collapsed="false">
      <c r="W701" s="1"/>
      <c r="X701" s="1"/>
      <c r="Y701" s="1"/>
      <c r="Z701" s="1"/>
    </row>
    <row r="702" customFormat="false" ht="15.75" hidden="false" customHeight="true" outlineLevel="0" collapsed="false">
      <c r="W702" s="1"/>
      <c r="X702" s="1"/>
      <c r="Y702" s="1"/>
      <c r="Z702" s="1"/>
    </row>
    <row r="703" customFormat="false" ht="15.75" hidden="false" customHeight="true" outlineLevel="0" collapsed="false">
      <c r="W703" s="1"/>
      <c r="X703" s="1"/>
      <c r="Y703" s="1"/>
      <c r="Z703" s="1"/>
    </row>
    <row r="704" customFormat="false" ht="15.75" hidden="false" customHeight="true" outlineLevel="0" collapsed="false">
      <c r="W704" s="1"/>
      <c r="X704" s="1"/>
      <c r="Y704" s="1"/>
      <c r="Z704" s="1"/>
    </row>
    <row r="705" customFormat="false" ht="15.75" hidden="false" customHeight="true" outlineLevel="0" collapsed="false">
      <c r="W705" s="1"/>
      <c r="X705" s="1"/>
      <c r="Y705" s="1"/>
      <c r="Z705" s="1"/>
    </row>
    <row r="706" customFormat="false" ht="15.75" hidden="false" customHeight="true" outlineLevel="0" collapsed="false">
      <c r="W706" s="1"/>
      <c r="X706" s="1"/>
      <c r="Y706" s="1"/>
      <c r="Z706" s="1"/>
    </row>
    <row r="707" customFormat="false" ht="15.75" hidden="false" customHeight="true" outlineLevel="0" collapsed="false">
      <c r="W707" s="1"/>
      <c r="X707" s="1"/>
      <c r="Y707" s="1"/>
      <c r="Z707" s="1"/>
    </row>
    <row r="708" customFormat="false" ht="15.75" hidden="false" customHeight="true" outlineLevel="0" collapsed="false">
      <c r="W708" s="1"/>
      <c r="X708" s="1"/>
      <c r="Y708" s="1"/>
      <c r="Z708" s="1"/>
    </row>
    <row r="709" customFormat="false" ht="15.75" hidden="false" customHeight="true" outlineLevel="0" collapsed="false">
      <c r="W709" s="1"/>
      <c r="X709" s="1"/>
      <c r="Y709" s="1"/>
      <c r="Z709" s="1"/>
    </row>
    <row r="710" customFormat="false" ht="15.75" hidden="false" customHeight="true" outlineLevel="0" collapsed="false">
      <c r="W710" s="1"/>
      <c r="X710" s="1"/>
      <c r="Y710" s="1"/>
      <c r="Z710" s="1"/>
    </row>
    <row r="711" customFormat="false" ht="15.75" hidden="false" customHeight="true" outlineLevel="0" collapsed="false">
      <c r="W711" s="1"/>
      <c r="X711" s="1"/>
      <c r="Y711" s="1"/>
      <c r="Z711" s="1"/>
    </row>
    <row r="712" customFormat="false" ht="15.75" hidden="false" customHeight="true" outlineLevel="0" collapsed="false">
      <c r="W712" s="1"/>
      <c r="X712" s="1"/>
      <c r="Y712" s="1"/>
      <c r="Z712" s="1"/>
    </row>
    <row r="713" customFormat="false" ht="15.75" hidden="false" customHeight="true" outlineLevel="0" collapsed="false">
      <c r="W713" s="1"/>
      <c r="X713" s="1"/>
      <c r="Y713" s="1"/>
      <c r="Z713" s="1"/>
    </row>
    <row r="714" customFormat="false" ht="15.75" hidden="false" customHeight="true" outlineLevel="0" collapsed="false">
      <c r="W714" s="1"/>
      <c r="X714" s="1"/>
      <c r="Y714" s="1"/>
      <c r="Z714" s="1"/>
    </row>
    <row r="715" customFormat="false" ht="15.75" hidden="false" customHeight="true" outlineLevel="0" collapsed="false">
      <c r="W715" s="1"/>
      <c r="X715" s="1"/>
      <c r="Y715" s="1"/>
      <c r="Z715" s="1"/>
    </row>
    <row r="716" customFormat="false" ht="15.75" hidden="false" customHeight="true" outlineLevel="0" collapsed="false">
      <c r="W716" s="1"/>
      <c r="X716" s="1"/>
      <c r="Y716" s="1"/>
      <c r="Z716" s="1"/>
    </row>
    <row r="717" customFormat="false" ht="15.75" hidden="false" customHeight="true" outlineLevel="0" collapsed="false">
      <c r="W717" s="1"/>
      <c r="X717" s="1"/>
      <c r="Y717" s="1"/>
      <c r="Z717" s="1"/>
    </row>
    <row r="718" customFormat="false" ht="15.75" hidden="false" customHeight="true" outlineLevel="0" collapsed="false">
      <c r="W718" s="1"/>
      <c r="X718" s="1"/>
      <c r="Y718" s="1"/>
      <c r="Z718" s="1"/>
    </row>
    <row r="719" customFormat="false" ht="15.75" hidden="false" customHeight="true" outlineLevel="0" collapsed="false">
      <c r="W719" s="1"/>
      <c r="X719" s="1"/>
      <c r="Y719" s="1"/>
      <c r="Z719" s="1"/>
    </row>
    <row r="720" customFormat="false" ht="15.75" hidden="false" customHeight="true" outlineLevel="0" collapsed="false">
      <c r="W720" s="1"/>
      <c r="X720" s="1"/>
      <c r="Y720" s="1"/>
      <c r="Z720" s="1"/>
    </row>
    <row r="721" customFormat="false" ht="15.75" hidden="false" customHeight="true" outlineLevel="0" collapsed="false">
      <c r="W721" s="1"/>
      <c r="X721" s="1"/>
      <c r="Y721" s="1"/>
      <c r="Z721" s="1"/>
    </row>
    <row r="722" customFormat="false" ht="15.75" hidden="false" customHeight="true" outlineLevel="0" collapsed="false">
      <c r="W722" s="1"/>
      <c r="X722" s="1"/>
      <c r="Y722" s="1"/>
      <c r="Z722" s="1"/>
    </row>
    <row r="723" customFormat="false" ht="15.75" hidden="false" customHeight="true" outlineLevel="0" collapsed="false">
      <c r="W723" s="1"/>
      <c r="X723" s="1"/>
      <c r="Y723" s="1"/>
      <c r="Z723" s="1"/>
    </row>
    <row r="724" customFormat="false" ht="15.75" hidden="false" customHeight="true" outlineLevel="0" collapsed="false">
      <c r="W724" s="1"/>
      <c r="X724" s="1"/>
      <c r="Y724" s="1"/>
      <c r="Z724" s="1"/>
    </row>
    <row r="725" customFormat="false" ht="15.75" hidden="false" customHeight="true" outlineLevel="0" collapsed="false">
      <c r="W725" s="1"/>
      <c r="X725" s="1"/>
      <c r="Y725" s="1"/>
      <c r="Z725" s="1"/>
    </row>
    <row r="726" customFormat="false" ht="15.75" hidden="false" customHeight="true" outlineLevel="0" collapsed="false">
      <c r="W726" s="1"/>
      <c r="X726" s="1"/>
      <c r="Y726" s="1"/>
      <c r="Z726" s="1"/>
    </row>
    <row r="727" customFormat="false" ht="15.75" hidden="false" customHeight="true" outlineLevel="0" collapsed="false">
      <c r="W727" s="1"/>
      <c r="X727" s="1"/>
      <c r="Y727" s="1"/>
      <c r="Z727" s="1"/>
    </row>
    <row r="728" customFormat="false" ht="15.75" hidden="false" customHeight="true" outlineLevel="0" collapsed="false">
      <c r="W728" s="1"/>
      <c r="X728" s="1"/>
      <c r="Y728" s="1"/>
      <c r="Z728" s="1"/>
    </row>
    <row r="729" customFormat="false" ht="15.75" hidden="false" customHeight="true" outlineLevel="0" collapsed="false">
      <c r="W729" s="1"/>
      <c r="X729" s="1"/>
      <c r="Y729" s="1"/>
      <c r="Z729" s="1"/>
    </row>
    <row r="730" customFormat="false" ht="15.75" hidden="false" customHeight="true" outlineLevel="0" collapsed="false">
      <c r="W730" s="1"/>
      <c r="X730" s="1"/>
      <c r="Y730" s="1"/>
      <c r="Z730" s="1"/>
    </row>
    <row r="731" customFormat="false" ht="15.75" hidden="false" customHeight="true" outlineLevel="0" collapsed="false">
      <c r="W731" s="1"/>
      <c r="X731" s="1"/>
      <c r="Y731" s="1"/>
      <c r="Z731" s="1"/>
    </row>
    <row r="732" customFormat="false" ht="15.75" hidden="false" customHeight="true" outlineLevel="0" collapsed="false">
      <c r="W732" s="1"/>
      <c r="X732" s="1"/>
      <c r="Y732" s="1"/>
      <c r="Z732" s="1"/>
    </row>
    <row r="733" customFormat="false" ht="15.75" hidden="false" customHeight="true" outlineLevel="0" collapsed="false">
      <c r="W733" s="1"/>
      <c r="X733" s="1"/>
      <c r="Y733" s="1"/>
      <c r="Z733" s="1"/>
    </row>
    <row r="734" customFormat="false" ht="15.75" hidden="false" customHeight="true" outlineLevel="0" collapsed="false">
      <c r="W734" s="1"/>
      <c r="X734" s="1"/>
      <c r="Y734" s="1"/>
      <c r="Z734" s="1"/>
    </row>
    <row r="735" customFormat="false" ht="15.75" hidden="false" customHeight="true" outlineLevel="0" collapsed="false">
      <c r="W735" s="1"/>
      <c r="X735" s="1"/>
      <c r="Y735" s="1"/>
      <c r="Z735" s="1"/>
    </row>
    <row r="736" customFormat="false" ht="15.75" hidden="false" customHeight="true" outlineLevel="0" collapsed="false">
      <c r="W736" s="1"/>
      <c r="X736" s="1"/>
      <c r="Y736" s="1"/>
      <c r="Z736" s="1"/>
    </row>
    <row r="737" customFormat="false" ht="15.75" hidden="false" customHeight="true" outlineLevel="0" collapsed="false">
      <c r="W737" s="1"/>
      <c r="X737" s="1"/>
      <c r="Y737" s="1"/>
      <c r="Z737" s="1"/>
    </row>
    <row r="738" customFormat="false" ht="15.75" hidden="false" customHeight="true" outlineLevel="0" collapsed="false">
      <c r="W738" s="1"/>
      <c r="X738" s="1"/>
      <c r="Y738" s="1"/>
      <c r="Z738" s="1"/>
    </row>
    <row r="739" customFormat="false" ht="15.75" hidden="false" customHeight="true" outlineLevel="0" collapsed="false">
      <c r="W739" s="1"/>
      <c r="X739" s="1"/>
      <c r="Y739" s="1"/>
      <c r="Z739" s="1"/>
    </row>
    <row r="740" customFormat="false" ht="15.75" hidden="false" customHeight="true" outlineLevel="0" collapsed="false">
      <c r="W740" s="1"/>
      <c r="X740" s="1"/>
      <c r="Y740" s="1"/>
      <c r="Z740" s="1"/>
    </row>
    <row r="741" customFormat="false" ht="15.75" hidden="false" customHeight="true" outlineLevel="0" collapsed="false">
      <c r="W741" s="1"/>
      <c r="X741" s="1"/>
      <c r="Y741" s="1"/>
      <c r="Z741" s="1"/>
    </row>
    <row r="742" customFormat="false" ht="15.75" hidden="false" customHeight="true" outlineLevel="0" collapsed="false">
      <c r="W742" s="1"/>
      <c r="X742" s="1"/>
      <c r="Y742" s="1"/>
      <c r="Z742" s="1"/>
    </row>
    <row r="743" customFormat="false" ht="15.75" hidden="false" customHeight="true" outlineLevel="0" collapsed="false">
      <c r="W743" s="1"/>
      <c r="X743" s="1"/>
      <c r="Y743" s="1"/>
      <c r="Z743" s="1"/>
    </row>
    <row r="744" customFormat="false" ht="15.75" hidden="false" customHeight="true" outlineLevel="0" collapsed="false">
      <c r="W744" s="1"/>
      <c r="X744" s="1"/>
      <c r="Y744" s="1"/>
      <c r="Z744" s="1"/>
    </row>
    <row r="745" customFormat="false" ht="15.75" hidden="false" customHeight="true" outlineLevel="0" collapsed="false">
      <c r="W745" s="1"/>
      <c r="X745" s="1"/>
      <c r="Y745" s="1"/>
      <c r="Z745" s="1"/>
    </row>
    <row r="746" customFormat="false" ht="15.75" hidden="false" customHeight="true" outlineLevel="0" collapsed="false">
      <c r="W746" s="1"/>
      <c r="X746" s="1"/>
      <c r="Y746" s="1"/>
      <c r="Z746" s="1"/>
    </row>
    <row r="747" customFormat="false" ht="15.75" hidden="false" customHeight="true" outlineLevel="0" collapsed="false">
      <c r="W747" s="1"/>
      <c r="X747" s="1"/>
      <c r="Y747" s="1"/>
      <c r="Z747" s="1"/>
    </row>
    <row r="748" customFormat="false" ht="15.75" hidden="false" customHeight="true" outlineLevel="0" collapsed="false">
      <c r="W748" s="1"/>
      <c r="X748" s="1"/>
      <c r="Y748" s="1"/>
      <c r="Z748" s="1"/>
    </row>
    <row r="749" customFormat="false" ht="15.75" hidden="false" customHeight="true" outlineLevel="0" collapsed="false">
      <c r="W749" s="1"/>
      <c r="X749" s="1"/>
      <c r="Y749" s="1"/>
      <c r="Z749" s="1"/>
    </row>
    <row r="750" customFormat="false" ht="15.75" hidden="false" customHeight="true" outlineLevel="0" collapsed="false">
      <c r="W750" s="1"/>
      <c r="X750" s="1"/>
      <c r="Y750" s="1"/>
      <c r="Z750" s="1"/>
    </row>
    <row r="751" customFormat="false" ht="15.75" hidden="false" customHeight="true" outlineLevel="0" collapsed="false">
      <c r="W751" s="1"/>
      <c r="X751" s="1"/>
      <c r="Y751" s="1"/>
      <c r="Z751" s="1"/>
    </row>
    <row r="752" customFormat="false" ht="15.75" hidden="false" customHeight="true" outlineLevel="0" collapsed="false">
      <c r="W752" s="1"/>
      <c r="X752" s="1"/>
      <c r="Y752" s="1"/>
      <c r="Z752" s="1"/>
    </row>
    <row r="753" customFormat="false" ht="15.75" hidden="false" customHeight="true" outlineLevel="0" collapsed="false">
      <c r="W753" s="1"/>
      <c r="X753" s="1"/>
      <c r="Y753" s="1"/>
      <c r="Z753" s="1"/>
    </row>
    <row r="754" customFormat="false" ht="15.75" hidden="false" customHeight="true" outlineLevel="0" collapsed="false">
      <c r="W754" s="1"/>
      <c r="X754" s="1"/>
      <c r="Y754" s="1"/>
      <c r="Z754" s="1"/>
    </row>
    <row r="755" customFormat="false" ht="15.75" hidden="false" customHeight="true" outlineLevel="0" collapsed="false">
      <c r="W755" s="1"/>
      <c r="X755" s="1"/>
      <c r="Y755" s="1"/>
      <c r="Z755" s="1"/>
    </row>
    <row r="756" customFormat="false" ht="15.75" hidden="false" customHeight="true" outlineLevel="0" collapsed="false">
      <c r="W756" s="1"/>
      <c r="X756" s="1"/>
      <c r="Y756" s="1"/>
      <c r="Z756" s="1"/>
    </row>
    <row r="757" customFormat="false" ht="15.75" hidden="false" customHeight="true" outlineLevel="0" collapsed="false">
      <c r="W757" s="1"/>
      <c r="X757" s="1"/>
      <c r="Y757" s="1"/>
      <c r="Z757" s="1"/>
    </row>
    <row r="758" customFormat="false" ht="15.75" hidden="false" customHeight="true" outlineLevel="0" collapsed="false">
      <c r="W758" s="1"/>
      <c r="X758" s="1"/>
      <c r="Y758" s="1"/>
      <c r="Z758" s="1"/>
    </row>
    <row r="759" customFormat="false" ht="15.75" hidden="false" customHeight="true" outlineLevel="0" collapsed="false">
      <c r="W759" s="1"/>
      <c r="X759" s="1"/>
      <c r="Y759" s="1"/>
      <c r="Z759" s="1"/>
    </row>
    <row r="760" customFormat="false" ht="15.75" hidden="false" customHeight="true" outlineLevel="0" collapsed="false">
      <c r="W760" s="1"/>
      <c r="X760" s="1"/>
      <c r="Y760" s="1"/>
      <c r="Z760" s="1"/>
    </row>
    <row r="761" customFormat="false" ht="15.75" hidden="false" customHeight="true" outlineLevel="0" collapsed="false">
      <c r="W761" s="1"/>
      <c r="X761" s="1"/>
      <c r="Y761" s="1"/>
      <c r="Z761" s="1"/>
    </row>
    <row r="762" customFormat="false" ht="15.75" hidden="false" customHeight="true" outlineLevel="0" collapsed="false">
      <c r="W762" s="1"/>
      <c r="X762" s="1"/>
      <c r="Y762" s="1"/>
      <c r="Z762" s="1"/>
    </row>
    <row r="763" customFormat="false" ht="15.75" hidden="false" customHeight="true" outlineLevel="0" collapsed="false">
      <c r="W763" s="1"/>
      <c r="X763" s="1"/>
      <c r="Y763" s="1"/>
      <c r="Z763" s="1"/>
    </row>
    <row r="764" customFormat="false" ht="15.75" hidden="false" customHeight="true" outlineLevel="0" collapsed="false">
      <c r="W764" s="1"/>
      <c r="X764" s="1"/>
      <c r="Y764" s="1"/>
      <c r="Z764" s="1"/>
    </row>
    <row r="765" customFormat="false" ht="15.75" hidden="false" customHeight="true" outlineLevel="0" collapsed="false">
      <c r="W765" s="1"/>
      <c r="X765" s="1"/>
      <c r="Y765" s="1"/>
      <c r="Z765" s="1"/>
    </row>
    <row r="766" customFormat="false" ht="15.75" hidden="false" customHeight="true" outlineLevel="0" collapsed="false">
      <c r="W766" s="1"/>
      <c r="X766" s="1"/>
      <c r="Y766" s="1"/>
      <c r="Z766" s="1"/>
    </row>
    <row r="767" customFormat="false" ht="15.75" hidden="false" customHeight="true" outlineLevel="0" collapsed="false">
      <c r="W767" s="1"/>
      <c r="X767" s="1"/>
      <c r="Y767" s="1"/>
      <c r="Z767" s="1"/>
    </row>
    <row r="768" customFormat="false" ht="15.75" hidden="false" customHeight="true" outlineLevel="0" collapsed="false">
      <c r="W768" s="1"/>
      <c r="X768" s="1"/>
      <c r="Y768" s="1"/>
      <c r="Z768" s="1"/>
    </row>
    <row r="769" customFormat="false" ht="15.75" hidden="false" customHeight="true" outlineLevel="0" collapsed="false">
      <c r="W769" s="1"/>
      <c r="X769" s="1"/>
      <c r="Y769" s="1"/>
      <c r="Z769" s="1"/>
    </row>
    <row r="770" customFormat="false" ht="15.75" hidden="false" customHeight="true" outlineLevel="0" collapsed="false">
      <c r="W770" s="1"/>
      <c r="X770" s="1"/>
      <c r="Y770" s="1"/>
      <c r="Z770" s="1"/>
    </row>
    <row r="771" customFormat="false" ht="15.75" hidden="false" customHeight="true" outlineLevel="0" collapsed="false">
      <c r="W771" s="1"/>
      <c r="X771" s="1"/>
      <c r="Y771" s="1"/>
      <c r="Z771" s="1"/>
    </row>
    <row r="772" customFormat="false" ht="15.75" hidden="false" customHeight="true" outlineLevel="0" collapsed="false">
      <c r="W772" s="1"/>
      <c r="X772" s="1"/>
      <c r="Y772" s="1"/>
      <c r="Z772" s="1"/>
    </row>
    <row r="773" customFormat="false" ht="15.75" hidden="false" customHeight="true" outlineLevel="0" collapsed="false">
      <c r="W773" s="1"/>
      <c r="X773" s="1"/>
      <c r="Y773" s="1"/>
      <c r="Z773" s="1"/>
    </row>
    <row r="774" customFormat="false" ht="15.75" hidden="false" customHeight="true" outlineLevel="0" collapsed="false">
      <c r="W774" s="1"/>
      <c r="X774" s="1"/>
      <c r="Y774" s="1"/>
      <c r="Z774" s="1"/>
    </row>
    <row r="775" customFormat="false" ht="15.75" hidden="false" customHeight="true" outlineLevel="0" collapsed="false">
      <c r="W775" s="1"/>
      <c r="X775" s="1"/>
      <c r="Y775" s="1"/>
      <c r="Z775" s="1"/>
    </row>
    <row r="776" customFormat="false" ht="15.75" hidden="false" customHeight="true" outlineLevel="0" collapsed="false">
      <c r="W776" s="1"/>
      <c r="X776" s="1"/>
      <c r="Y776" s="1"/>
      <c r="Z776" s="1"/>
    </row>
    <row r="777" customFormat="false" ht="15.75" hidden="false" customHeight="true" outlineLevel="0" collapsed="false">
      <c r="W777" s="1"/>
      <c r="X777" s="1"/>
      <c r="Y777" s="1"/>
      <c r="Z777" s="1"/>
    </row>
    <row r="778" customFormat="false" ht="15.75" hidden="false" customHeight="true" outlineLevel="0" collapsed="false">
      <c r="W778" s="1"/>
      <c r="X778" s="1"/>
      <c r="Y778" s="1"/>
      <c r="Z778" s="1"/>
    </row>
    <row r="779" customFormat="false" ht="15.75" hidden="false" customHeight="true" outlineLevel="0" collapsed="false">
      <c r="W779" s="1"/>
      <c r="X779" s="1"/>
      <c r="Y779" s="1"/>
      <c r="Z779" s="1"/>
    </row>
    <row r="780" customFormat="false" ht="15.75" hidden="false" customHeight="true" outlineLevel="0" collapsed="false">
      <c r="W780" s="1"/>
      <c r="X780" s="1"/>
      <c r="Y780" s="1"/>
      <c r="Z780" s="1"/>
    </row>
    <row r="781" customFormat="false" ht="15.75" hidden="false" customHeight="true" outlineLevel="0" collapsed="false">
      <c r="W781" s="1"/>
      <c r="X781" s="1"/>
      <c r="Y781" s="1"/>
      <c r="Z781" s="1"/>
    </row>
    <row r="782" customFormat="false" ht="15.75" hidden="false" customHeight="true" outlineLevel="0" collapsed="false">
      <c r="W782" s="1"/>
      <c r="X782" s="1"/>
      <c r="Y782" s="1"/>
      <c r="Z782" s="1"/>
    </row>
    <row r="783" customFormat="false" ht="15.75" hidden="false" customHeight="true" outlineLevel="0" collapsed="false">
      <c r="W783" s="1"/>
      <c r="X783" s="1"/>
      <c r="Y783" s="1"/>
      <c r="Z783" s="1"/>
    </row>
    <row r="784" customFormat="false" ht="15.75" hidden="false" customHeight="true" outlineLevel="0" collapsed="false">
      <c r="W784" s="1"/>
      <c r="X784" s="1"/>
      <c r="Y784" s="1"/>
      <c r="Z784" s="1"/>
    </row>
    <row r="785" customFormat="false" ht="15.75" hidden="false" customHeight="true" outlineLevel="0" collapsed="false">
      <c r="W785" s="1"/>
      <c r="X785" s="1"/>
      <c r="Y785" s="1"/>
      <c r="Z785" s="1"/>
    </row>
    <row r="786" customFormat="false" ht="15.75" hidden="false" customHeight="true" outlineLevel="0" collapsed="false">
      <c r="W786" s="1"/>
      <c r="X786" s="1"/>
      <c r="Y786" s="1"/>
      <c r="Z786" s="1"/>
    </row>
    <row r="787" customFormat="false" ht="15.75" hidden="false" customHeight="true" outlineLevel="0" collapsed="false">
      <c r="W787" s="1"/>
      <c r="X787" s="1"/>
      <c r="Y787" s="1"/>
      <c r="Z787" s="1"/>
    </row>
    <row r="788" customFormat="false" ht="15.75" hidden="false" customHeight="true" outlineLevel="0" collapsed="false">
      <c r="W788" s="1"/>
      <c r="X788" s="1"/>
      <c r="Y788" s="1"/>
      <c r="Z788" s="1"/>
    </row>
    <row r="789" customFormat="false" ht="15.75" hidden="false" customHeight="true" outlineLevel="0" collapsed="false">
      <c r="W789" s="1"/>
      <c r="X789" s="1"/>
      <c r="Y789" s="1"/>
      <c r="Z789" s="1"/>
    </row>
    <row r="790" customFormat="false" ht="15.75" hidden="false" customHeight="true" outlineLevel="0" collapsed="false">
      <c r="W790" s="1"/>
      <c r="X790" s="1"/>
      <c r="Y790" s="1"/>
      <c r="Z790" s="1"/>
    </row>
    <row r="791" customFormat="false" ht="15.75" hidden="false" customHeight="true" outlineLevel="0" collapsed="false">
      <c r="W791" s="1"/>
      <c r="X791" s="1"/>
      <c r="Y791" s="1"/>
      <c r="Z791" s="1"/>
    </row>
    <row r="792" customFormat="false" ht="15.75" hidden="false" customHeight="true" outlineLevel="0" collapsed="false">
      <c r="W792" s="1"/>
      <c r="X792" s="1"/>
      <c r="Y792" s="1"/>
      <c r="Z792" s="1"/>
    </row>
    <row r="793" customFormat="false" ht="15.75" hidden="false" customHeight="true" outlineLevel="0" collapsed="false">
      <c r="W793" s="1"/>
      <c r="X793" s="1"/>
      <c r="Y793" s="1"/>
      <c r="Z793" s="1"/>
    </row>
    <row r="794" customFormat="false" ht="15.75" hidden="false" customHeight="true" outlineLevel="0" collapsed="false">
      <c r="W794" s="1"/>
      <c r="X794" s="1"/>
      <c r="Y794" s="1"/>
      <c r="Z794" s="1"/>
    </row>
    <row r="795" customFormat="false" ht="15.75" hidden="false" customHeight="true" outlineLevel="0" collapsed="false">
      <c r="W795" s="1"/>
      <c r="X795" s="1"/>
      <c r="Y795" s="1"/>
      <c r="Z795" s="1"/>
    </row>
    <row r="796" customFormat="false" ht="15.75" hidden="false" customHeight="true" outlineLevel="0" collapsed="false">
      <c r="W796" s="1"/>
      <c r="X796" s="1"/>
      <c r="Y796" s="1"/>
      <c r="Z796" s="1"/>
    </row>
    <row r="797" customFormat="false" ht="15.75" hidden="false" customHeight="true" outlineLevel="0" collapsed="false">
      <c r="W797" s="1"/>
      <c r="X797" s="1"/>
      <c r="Y797" s="1"/>
      <c r="Z797" s="1"/>
    </row>
    <row r="798" customFormat="false" ht="15.75" hidden="false" customHeight="true" outlineLevel="0" collapsed="false">
      <c r="W798" s="1"/>
      <c r="X798" s="1"/>
      <c r="Y798" s="1"/>
      <c r="Z798" s="1"/>
    </row>
    <row r="799" customFormat="false" ht="15.75" hidden="false" customHeight="true" outlineLevel="0" collapsed="false">
      <c r="W799" s="1"/>
      <c r="X799" s="1"/>
      <c r="Y799" s="1"/>
      <c r="Z799" s="1"/>
    </row>
    <row r="800" customFormat="false" ht="15.75" hidden="false" customHeight="true" outlineLevel="0" collapsed="false">
      <c r="W800" s="1"/>
      <c r="X800" s="1"/>
      <c r="Y800" s="1"/>
      <c r="Z800" s="1"/>
    </row>
    <row r="801" customFormat="false" ht="15.75" hidden="false" customHeight="true" outlineLevel="0" collapsed="false">
      <c r="W801" s="1"/>
      <c r="X801" s="1"/>
      <c r="Y801" s="1"/>
      <c r="Z801" s="1"/>
    </row>
    <row r="802" customFormat="false" ht="15.75" hidden="false" customHeight="true" outlineLevel="0" collapsed="false">
      <c r="W802" s="1"/>
      <c r="X802" s="1"/>
      <c r="Y802" s="1"/>
      <c r="Z802" s="1"/>
    </row>
    <row r="803" customFormat="false" ht="15.75" hidden="false" customHeight="true" outlineLevel="0" collapsed="false">
      <c r="W803" s="1"/>
      <c r="X803" s="1"/>
      <c r="Y803" s="1"/>
      <c r="Z803" s="1"/>
    </row>
    <row r="804" customFormat="false" ht="15.75" hidden="false" customHeight="true" outlineLevel="0" collapsed="false">
      <c r="W804" s="1"/>
      <c r="X804" s="1"/>
      <c r="Y804" s="1"/>
      <c r="Z804" s="1"/>
    </row>
    <row r="805" customFormat="false" ht="15.75" hidden="false" customHeight="true" outlineLevel="0" collapsed="false">
      <c r="W805" s="1"/>
      <c r="X805" s="1"/>
      <c r="Y805" s="1"/>
      <c r="Z805" s="1"/>
    </row>
    <row r="806" customFormat="false" ht="15.75" hidden="false" customHeight="true" outlineLevel="0" collapsed="false">
      <c r="W806" s="1"/>
      <c r="X806" s="1"/>
      <c r="Y806" s="1"/>
      <c r="Z806" s="1"/>
    </row>
    <row r="807" customFormat="false" ht="15.75" hidden="false" customHeight="true" outlineLevel="0" collapsed="false">
      <c r="W807" s="1"/>
      <c r="X807" s="1"/>
      <c r="Y807" s="1"/>
      <c r="Z807" s="1"/>
    </row>
    <row r="808" customFormat="false" ht="15.75" hidden="false" customHeight="true" outlineLevel="0" collapsed="false">
      <c r="W808" s="1"/>
      <c r="X808" s="1"/>
      <c r="Y808" s="1"/>
      <c r="Z808" s="1"/>
    </row>
    <row r="809" customFormat="false" ht="15.75" hidden="false" customHeight="true" outlineLevel="0" collapsed="false">
      <c r="W809" s="1"/>
      <c r="X809" s="1"/>
      <c r="Y809" s="1"/>
      <c r="Z809" s="1"/>
    </row>
    <row r="810" customFormat="false" ht="15.75" hidden="false" customHeight="true" outlineLevel="0" collapsed="false">
      <c r="W810" s="1"/>
      <c r="X810" s="1"/>
      <c r="Y810" s="1"/>
      <c r="Z810" s="1"/>
    </row>
    <row r="811" customFormat="false" ht="15.75" hidden="false" customHeight="true" outlineLevel="0" collapsed="false">
      <c r="W811" s="1"/>
      <c r="X811" s="1"/>
      <c r="Y811" s="1"/>
      <c r="Z811" s="1"/>
    </row>
    <row r="812" customFormat="false" ht="15.75" hidden="false" customHeight="true" outlineLevel="0" collapsed="false">
      <c r="W812" s="1"/>
      <c r="X812" s="1"/>
      <c r="Y812" s="1"/>
      <c r="Z812" s="1"/>
    </row>
    <row r="813" customFormat="false" ht="15.75" hidden="false" customHeight="true" outlineLevel="0" collapsed="false">
      <c r="W813" s="1"/>
      <c r="X813" s="1"/>
      <c r="Y813" s="1"/>
      <c r="Z813" s="1"/>
    </row>
    <row r="814" customFormat="false" ht="15.75" hidden="false" customHeight="true" outlineLevel="0" collapsed="false">
      <c r="W814" s="1"/>
      <c r="X814" s="1"/>
      <c r="Y814" s="1"/>
      <c r="Z814" s="1"/>
    </row>
    <row r="815" customFormat="false" ht="15.75" hidden="false" customHeight="true" outlineLevel="0" collapsed="false">
      <c r="W815" s="1"/>
      <c r="X815" s="1"/>
      <c r="Y815" s="1"/>
      <c r="Z815" s="1"/>
    </row>
    <row r="816" customFormat="false" ht="15.75" hidden="false" customHeight="true" outlineLevel="0" collapsed="false">
      <c r="W816" s="1"/>
      <c r="X816" s="1"/>
      <c r="Y816" s="1"/>
      <c r="Z816" s="1"/>
    </row>
    <row r="817" customFormat="false" ht="15.75" hidden="false" customHeight="true" outlineLevel="0" collapsed="false">
      <c r="W817" s="1"/>
      <c r="X817" s="1"/>
      <c r="Y817" s="1"/>
      <c r="Z817" s="1"/>
    </row>
    <row r="818" customFormat="false" ht="15.75" hidden="false" customHeight="true" outlineLevel="0" collapsed="false">
      <c r="W818" s="1"/>
      <c r="X818" s="1"/>
      <c r="Y818" s="1"/>
      <c r="Z818" s="1"/>
    </row>
    <row r="819" customFormat="false" ht="15.75" hidden="false" customHeight="true" outlineLevel="0" collapsed="false">
      <c r="W819" s="1"/>
      <c r="X819" s="1"/>
      <c r="Y819" s="1"/>
      <c r="Z819" s="1"/>
    </row>
    <row r="820" customFormat="false" ht="15.75" hidden="false" customHeight="true" outlineLevel="0" collapsed="false">
      <c r="W820" s="1"/>
      <c r="X820" s="1"/>
      <c r="Y820" s="1"/>
      <c r="Z820" s="1"/>
    </row>
    <row r="821" customFormat="false" ht="15.75" hidden="false" customHeight="true" outlineLevel="0" collapsed="false">
      <c r="W821" s="1"/>
      <c r="X821" s="1"/>
      <c r="Y821" s="1"/>
      <c r="Z821" s="1"/>
    </row>
    <row r="822" customFormat="false" ht="15.75" hidden="false" customHeight="true" outlineLevel="0" collapsed="false">
      <c r="W822" s="1"/>
      <c r="X822" s="1"/>
      <c r="Y822" s="1"/>
      <c r="Z822" s="1"/>
    </row>
    <row r="823" customFormat="false" ht="15.75" hidden="false" customHeight="true" outlineLevel="0" collapsed="false">
      <c r="W823" s="1"/>
      <c r="X823" s="1"/>
      <c r="Y823" s="1"/>
      <c r="Z823" s="1"/>
    </row>
    <row r="824" customFormat="false" ht="15.75" hidden="false" customHeight="true" outlineLevel="0" collapsed="false">
      <c r="W824" s="1"/>
      <c r="X824" s="1"/>
      <c r="Y824" s="1"/>
      <c r="Z824" s="1"/>
    </row>
    <row r="825" customFormat="false" ht="15.75" hidden="false" customHeight="true" outlineLevel="0" collapsed="false">
      <c r="W825" s="1"/>
      <c r="X825" s="1"/>
      <c r="Y825" s="1"/>
      <c r="Z825" s="1"/>
    </row>
    <row r="826" customFormat="false" ht="15.75" hidden="false" customHeight="true" outlineLevel="0" collapsed="false">
      <c r="W826" s="1"/>
      <c r="X826" s="1"/>
      <c r="Y826" s="1"/>
      <c r="Z826" s="1"/>
    </row>
    <row r="827" customFormat="false" ht="15.75" hidden="false" customHeight="true" outlineLevel="0" collapsed="false">
      <c r="W827" s="1"/>
      <c r="X827" s="1"/>
      <c r="Y827" s="1"/>
      <c r="Z827" s="1"/>
    </row>
    <row r="828" customFormat="false" ht="15.75" hidden="false" customHeight="true" outlineLevel="0" collapsed="false">
      <c r="W828" s="1"/>
      <c r="X828" s="1"/>
      <c r="Y828" s="1"/>
      <c r="Z828" s="1"/>
    </row>
    <row r="829" customFormat="false" ht="15.75" hidden="false" customHeight="true" outlineLevel="0" collapsed="false">
      <c r="W829" s="1"/>
      <c r="X829" s="1"/>
      <c r="Y829" s="1"/>
      <c r="Z829" s="1"/>
    </row>
    <row r="830" customFormat="false" ht="15.75" hidden="false" customHeight="true" outlineLevel="0" collapsed="false">
      <c r="W830" s="1"/>
      <c r="X830" s="1"/>
      <c r="Y830" s="1"/>
      <c r="Z830" s="1"/>
    </row>
    <row r="831" customFormat="false" ht="15.75" hidden="false" customHeight="true" outlineLevel="0" collapsed="false">
      <c r="W831" s="1"/>
      <c r="X831" s="1"/>
      <c r="Y831" s="1"/>
      <c r="Z831" s="1"/>
    </row>
    <row r="832" customFormat="false" ht="15.75" hidden="false" customHeight="true" outlineLevel="0" collapsed="false">
      <c r="W832" s="1"/>
      <c r="X832" s="1"/>
      <c r="Y832" s="1"/>
      <c r="Z832" s="1"/>
    </row>
    <row r="833" customFormat="false" ht="15.75" hidden="false" customHeight="true" outlineLevel="0" collapsed="false">
      <c r="W833" s="1"/>
      <c r="X833" s="1"/>
      <c r="Y833" s="1"/>
      <c r="Z833" s="1"/>
    </row>
    <row r="834" customFormat="false" ht="15.75" hidden="false" customHeight="true" outlineLevel="0" collapsed="false">
      <c r="W834" s="1"/>
      <c r="X834" s="1"/>
      <c r="Y834" s="1"/>
      <c r="Z834" s="1"/>
    </row>
    <row r="835" customFormat="false" ht="15.75" hidden="false" customHeight="true" outlineLevel="0" collapsed="false">
      <c r="W835" s="1"/>
      <c r="X835" s="1"/>
      <c r="Y835" s="1"/>
      <c r="Z835" s="1"/>
    </row>
    <row r="836" customFormat="false" ht="15.75" hidden="false" customHeight="true" outlineLevel="0" collapsed="false">
      <c r="W836" s="1"/>
      <c r="X836" s="1"/>
      <c r="Y836" s="1"/>
      <c r="Z836" s="1"/>
    </row>
    <row r="837" customFormat="false" ht="15.75" hidden="false" customHeight="true" outlineLevel="0" collapsed="false">
      <c r="W837" s="1"/>
      <c r="X837" s="1"/>
      <c r="Y837" s="1"/>
      <c r="Z837" s="1"/>
    </row>
    <row r="838" customFormat="false" ht="15.75" hidden="false" customHeight="true" outlineLevel="0" collapsed="false">
      <c r="W838" s="1"/>
      <c r="X838" s="1"/>
      <c r="Y838" s="1"/>
      <c r="Z838" s="1"/>
    </row>
    <row r="839" customFormat="false" ht="15.75" hidden="false" customHeight="true" outlineLevel="0" collapsed="false">
      <c r="W839" s="1"/>
      <c r="X839" s="1"/>
      <c r="Y839" s="1"/>
      <c r="Z839" s="1"/>
    </row>
    <row r="840" customFormat="false" ht="15.75" hidden="false" customHeight="true" outlineLevel="0" collapsed="false">
      <c r="W840" s="1"/>
      <c r="X840" s="1"/>
      <c r="Y840" s="1"/>
      <c r="Z840" s="1"/>
    </row>
    <row r="841" customFormat="false" ht="15.75" hidden="false" customHeight="true" outlineLevel="0" collapsed="false">
      <c r="W841" s="1"/>
      <c r="X841" s="1"/>
      <c r="Y841" s="1"/>
      <c r="Z841" s="1"/>
    </row>
    <row r="842" customFormat="false" ht="15.75" hidden="false" customHeight="true" outlineLevel="0" collapsed="false">
      <c r="W842" s="1"/>
      <c r="X842" s="1"/>
      <c r="Y842" s="1"/>
      <c r="Z842" s="1"/>
    </row>
    <row r="843" customFormat="false" ht="15.75" hidden="false" customHeight="true" outlineLevel="0" collapsed="false">
      <c r="W843" s="1"/>
      <c r="X843" s="1"/>
      <c r="Y843" s="1"/>
      <c r="Z843" s="1"/>
    </row>
    <row r="844" customFormat="false" ht="15.75" hidden="false" customHeight="true" outlineLevel="0" collapsed="false">
      <c r="W844" s="1"/>
      <c r="X844" s="1"/>
      <c r="Y844" s="1"/>
      <c r="Z844" s="1"/>
    </row>
    <row r="845" customFormat="false" ht="15.75" hidden="false" customHeight="true" outlineLevel="0" collapsed="false">
      <c r="W845" s="1"/>
      <c r="X845" s="1"/>
      <c r="Y845" s="1"/>
      <c r="Z845" s="1"/>
    </row>
    <row r="846" customFormat="false" ht="15.75" hidden="false" customHeight="true" outlineLevel="0" collapsed="false">
      <c r="W846" s="1"/>
      <c r="X846" s="1"/>
      <c r="Y846" s="1"/>
      <c r="Z846" s="1"/>
    </row>
    <row r="847" customFormat="false" ht="15.75" hidden="false" customHeight="true" outlineLevel="0" collapsed="false">
      <c r="W847" s="1"/>
      <c r="X847" s="1"/>
      <c r="Y847" s="1"/>
      <c r="Z847" s="1"/>
    </row>
    <row r="848" customFormat="false" ht="15.75" hidden="false" customHeight="true" outlineLevel="0" collapsed="false">
      <c r="W848" s="1"/>
      <c r="X848" s="1"/>
      <c r="Y848" s="1"/>
      <c r="Z848" s="1"/>
    </row>
    <row r="849" customFormat="false" ht="15.75" hidden="false" customHeight="true" outlineLevel="0" collapsed="false">
      <c r="W849" s="1"/>
      <c r="X849" s="1"/>
      <c r="Y849" s="1"/>
      <c r="Z849" s="1"/>
    </row>
    <row r="850" customFormat="false" ht="15.75" hidden="false" customHeight="true" outlineLevel="0" collapsed="false">
      <c r="W850" s="1"/>
      <c r="X850" s="1"/>
      <c r="Y850" s="1"/>
      <c r="Z850" s="1"/>
    </row>
    <row r="851" customFormat="false" ht="15.75" hidden="false" customHeight="true" outlineLevel="0" collapsed="false">
      <c r="W851" s="1"/>
      <c r="X851" s="1"/>
      <c r="Y851" s="1"/>
      <c r="Z851" s="1"/>
    </row>
    <row r="852" customFormat="false" ht="15.75" hidden="false" customHeight="true" outlineLevel="0" collapsed="false">
      <c r="W852" s="1"/>
      <c r="X852" s="1"/>
      <c r="Y852" s="1"/>
      <c r="Z852" s="1"/>
    </row>
    <row r="853" customFormat="false" ht="15.75" hidden="false" customHeight="true" outlineLevel="0" collapsed="false">
      <c r="W853" s="1"/>
      <c r="X853" s="1"/>
      <c r="Y853" s="1"/>
      <c r="Z853" s="1"/>
    </row>
    <row r="854" customFormat="false" ht="15.75" hidden="false" customHeight="true" outlineLevel="0" collapsed="false">
      <c r="W854" s="1"/>
      <c r="X854" s="1"/>
      <c r="Y854" s="1"/>
      <c r="Z854" s="1"/>
    </row>
    <row r="855" customFormat="false" ht="15.75" hidden="false" customHeight="true" outlineLevel="0" collapsed="false">
      <c r="W855" s="1"/>
      <c r="X855" s="1"/>
      <c r="Y855" s="1"/>
      <c r="Z855" s="1"/>
    </row>
    <row r="856" customFormat="false" ht="15.75" hidden="false" customHeight="true" outlineLevel="0" collapsed="false">
      <c r="W856" s="1"/>
      <c r="X856" s="1"/>
      <c r="Y856" s="1"/>
      <c r="Z856" s="1"/>
    </row>
    <row r="857" customFormat="false" ht="15.75" hidden="false" customHeight="true" outlineLevel="0" collapsed="false">
      <c r="W857" s="1"/>
      <c r="X857" s="1"/>
      <c r="Y857" s="1"/>
      <c r="Z857" s="1"/>
    </row>
    <row r="858" customFormat="false" ht="15.75" hidden="false" customHeight="true" outlineLevel="0" collapsed="false">
      <c r="W858" s="1"/>
      <c r="X858" s="1"/>
      <c r="Y858" s="1"/>
      <c r="Z858" s="1"/>
    </row>
    <row r="859" customFormat="false" ht="15.75" hidden="false" customHeight="true" outlineLevel="0" collapsed="false">
      <c r="W859" s="1"/>
      <c r="X859" s="1"/>
      <c r="Y859" s="1"/>
      <c r="Z859" s="1"/>
    </row>
    <row r="860" customFormat="false" ht="15.75" hidden="false" customHeight="true" outlineLevel="0" collapsed="false">
      <c r="W860" s="1"/>
      <c r="X860" s="1"/>
      <c r="Y860" s="1"/>
      <c r="Z860" s="1"/>
    </row>
    <row r="861" customFormat="false" ht="15.75" hidden="false" customHeight="true" outlineLevel="0" collapsed="false">
      <c r="W861" s="1"/>
      <c r="X861" s="1"/>
      <c r="Y861" s="1"/>
      <c r="Z861" s="1"/>
    </row>
    <row r="862" customFormat="false" ht="15.75" hidden="false" customHeight="true" outlineLevel="0" collapsed="false">
      <c r="W862" s="1"/>
      <c r="X862" s="1"/>
      <c r="Y862" s="1"/>
      <c r="Z862" s="1"/>
    </row>
    <row r="863" customFormat="false" ht="15.75" hidden="false" customHeight="true" outlineLevel="0" collapsed="false">
      <c r="W863" s="1"/>
      <c r="X863" s="1"/>
      <c r="Y863" s="1"/>
      <c r="Z863" s="1"/>
    </row>
    <row r="864" customFormat="false" ht="15.75" hidden="false" customHeight="true" outlineLevel="0" collapsed="false">
      <c r="W864" s="1"/>
      <c r="X864" s="1"/>
      <c r="Y864" s="1"/>
      <c r="Z864" s="1"/>
    </row>
    <row r="865" customFormat="false" ht="15.75" hidden="false" customHeight="true" outlineLevel="0" collapsed="false">
      <c r="W865" s="1"/>
      <c r="X865" s="1"/>
      <c r="Y865" s="1"/>
      <c r="Z865" s="1"/>
    </row>
    <row r="866" customFormat="false" ht="15.75" hidden="false" customHeight="true" outlineLevel="0" collapsed="false">
      <c r="W866" s="1"/>
      <c r="X866" s="1"/>
      <c r="Y866" s="1"/>
      <c r="Z866" s="1"/>
    </row>
    <row r="867" customFormat="false" ht="15.75" hidden="false" customHeight="true" outlineLevel="0" collapsed="false">
      <c r="W867" s="1"/>
      <c r="X867" s="1"/>
      <c r="Y867" s="1"/>
      <c r="Z867" s="1"/>
    </row>
    <row r="868" customFormat="false" ht="15.75" hidden="false" customHeight="true" outlineLevel="0" collapsed="false">
      <c r="W868" s="1"/>
      <c r="X868" s="1"/>
      <c r="Y868" s="1"/>
      <c r="Z868" s="1"/>
    </row>
    <row r="869" customFormat="false" ht="15.75" hidden="false" customHeight="true" outlineLevel="0" collapsed="false">
      <c r="W869" s="1"/>
      <c r="X869" s="1"/>
      <c r="Y869" s="1"/>
      <c r="Z869" s="1"/>
    </row>
    <row r="870" customFormat="false" ht="15.75" hidden="false" customHeight="true" outlineLevel="0" collapsed="false">
      <c r="W870" s="1"/>
      <c r="X870" s="1"/>
      <c r="Y870" s="1"/>
      <c r="Z870" s="1"/>
    </row>
    <row r="871" customFormat="false" ht="15.75" hidden="false" customHeight="true" outlineLevel="0" collapsed="false">
      <c r="W871" s="1"/>
      <c r="X871" s="1"/>
      <c r="Y871" s="1"/>
      <c r="Z871" s="1"/>
    </row>
    <row r="872" customFormat="false" ht="15.75" hidden="false" customHeight="true" outlineLevel="0" collapsed="false">
      <c r="W872" s="1"/>
      <c r="X872" s="1"/>
      <c r="Y872" s="1"/>
      <c r="Z872" s="1"/>
    </row>
    <row r="873" customFormat="false" ht="15.75" hidden="false" customHeight="true" outlineLevel="0" collapsed="false">
      <c r="W873" s="1"/>
      <c r="X873" s="1"/>
      <c r="Y873" s="1"/>
      <c r="Z873" s="1"/>
    </row>
    <row r="874" customFormat="false" ht="15.75" hidden="false" customHeight="true" outlineLevel="0" collapsed="false">
      <c r="W874" s="1"/>
      <c r="X874" s="1"/>
      <c r="Y874" s="1"/>
      <c r="Z874" s="1"/>
    </row>
    <row r="875" customFormat="false" ht="15.75" hidden="false" customHeight="true" outlineLevel="0" collapsed="false">
      <c r="W875" s="1"/>
      <c r="X875" s="1"/>
      <c r="Y875" s="1"/>
      <c r="Z875" s="1"/>
    </row>
    <row r="876" customFormat="false" ht="15.75" hidden="false" customHeight="true" outlineLevel="0" collapsed="false">
      <c r="W876" s="1"/>
      <c r="X876" s="1"/>
      <c r="Y876" s="1"/>
      <c r="Z876" s="1"/>
    </row>
    <row r="877" customFormat="false" ht="15.75" hidden="false" customHeight="true" outlineLevel="0" collapsed="false">
      <c r="W877" s="1"/>
      <c r="X877" s="1"/>
      <c r="Y877" s="1"/>
      <c r="Z877" s="1"/>
    </row>
    <row r="878" customFormat="false" ht="15.75" hidden="false" customHeight="true" outlineLevel="0" collapsed="false">
      <c r="W878" s="1"/>
      <c r="X878" s="1"/>
      <c r="Y878" s="1"/>
      <c r="Z878" s="1"/>
    </row>
    <row r="879" customFormat="false" ht="15.75" hidden="false" customHeight="true" outlineLevel="0" collapsed="false">
      <c r="W879" s="1"/>
      <c r="X879" s="1"/>
      <c r="Y879" s="1"/>
      <c r="Z879" s="1"/>
    </row>
    <row r="880" customFormat="false" ht="15.75" hidden="false" customHeight="true" outlineLevel="0" collapsed="false">
      <c r="W880" s="1"/>
      <c r="X880" s="1"/>
      <c r="Y880" s="1"/>
      <c r="Z880" s="1"/>
    </row>
    <row r="881" customFormat="false" ht="15.75" hidden="false" customHeight="true" outlineLevel="0" collapsed="false">
      <c r="W881" s="1"/>
      <c r="X881" s="1"/>
      <c r="Y881" s="1"/>
      <c r="Z881" s="1"/>
    </row>
    <row r="882" customFormat="false" ht="15.75" hidden="false" customHeight="true" outlineLevel="0" collapsed="false">
      <c r="W882" s="1"/>
      <c r="X882" s="1"/>
      <c r="Y882" s="1"/>
      <c r="Z882" s="1"/>
    </row>
    <row r="883" customFormat="false" ht="15.75" hidden="false" customHeight="true" outlineLevel="0" collapsed="false">
      <c r="W883" s="1"/>
      <c r="X883" s="1"/>
      <c r="Y883" s="1"/>
      <c r="Z883" s="1"/>
    </row>
    <row r="884" customFormat="false" ht="15.75" hidden="false" customHeight="true" outlineLevel="0" collapsed="false">
      <c r="W884" s="1"/>
      <c r="X884" s="1"/>
      <c r="Y884" s="1"/>
      <c r="Z884" s="1"/>
    </row>
    <row r="885" customFormat="false" ht="15.75" hidden="false" customHeight="true" outlineLevel="0" collapsed="false">
      <c r="W885" s="1"/>
      <c r="X885" s="1"/>
      <c r="Y885" s="1"/>
      <c r="Z885" s="1"/>
    </row>
    <row r="886" customFormat="false" ht="15.75" hidden="false" customHeight="true" outlineLevel="0" collapsed="false">
      <c r="W886" s="1"/>
      <c r="X886" s="1"/>
      <c r="Y886" s="1"/>
      <c r="Z886" s="1"/>
    </row>
    <row r="887" customFormat="false" ht="15.75" hidden="false" customHeight="true" outlineLevel="0" collapsed="false">
      <c r="W887" s="1"/>
      <c r="X887" s="1"/>
      <c r="Y887" s="1"/>
      <c r="Z887" s="1"/>
    </row>
    <row r="888" customFormat="false" ht="15.75" hidden="false" customHeight="true" outlineLevel="0" collapsed="false">
      <c r="W888" s="1"/>
      <c r="X888" s="1"/>
      <c r="Y888" s="1"/>
      <c r="Z888" s="1"/>
    </row>
    <row r="889" customFormat="false" ht="15.75" hidden="false" customHeight="true" outlineLevel="0" collapsed="false">
      <c r="W889" s="1"/>
      <c r="X889" s="1"/>
      <c r="Y889" s="1"/>
      <c r="Z889" s="1"/>
    </row>
    <row r="890" customFormat="false" ht="15.75" hidden="false" customHeight="true" outlineLevel="0" collapsed="false">
      <c r="W890" s="1"/>
      <c r="X890" s="1"/>
      <c r="Y890" s="1"/>
      <c r="Z890" s="1"/>
    </row>
    <row r="891" customFormat="false" ht="15.75" hidden="false" customHeight="true" outlineLevel="0" collapsed="false">
      <c r="W891" s="1"/>
      <c r="X891" s="1"/>
      <c r="Y891" s="1"/>
      <c r="Z891" s="1"/>
    </row>
    <row r="892" customFormat="false" ht="15.75" hidden="false" customHeight="true" outlineLevel="0" collapsed="false">
      <c r="W892" s="1"/>
      <c r="X892" s="1"/>
      <c r="Y892" s="1"/>
      <c r="Z892" s="1"/>
    </row>
    <row r="893" customFormat="false" ht="15.75" hidden="false" customHeight="true" outlineLevel="0" collapsed="false">
      <c r="W893" s="1"/>
      <c r="X893" s="1"/>
      <c r="Y893" s="1"/>
      <c r="Z893" s="1"/>
    </row>
    <row r="894" customFormat="false" ht="15.75" hidden="false" customHeight="true" outlineLevel="0" collapsed="false">
      <c r="W894" s="1"/>
      <c r="X894" s="1"/>
      <c r="Y894" s="1"/>
      <c r="Z894" s="1"/>
    </row>
    <row r="895" customFormat="false" ht="15.75" hidden="false" customHeight="true" outlineLevel="0" collapsed="false">
      <c r="W895" s="1"/>
      <c r="X895" s="1"/>
      <c r="Y895" s="1"/>
      <c r="Z895" s="1"/>
    </row>
    <row r="896" customFormat="false" ht="15.75" hidden="false" customHeight="true" outlineLevel="0" collapsed="false">
      <c r="W896" s="1"/>
      <c r="X896" s="1"/>
      <c r="Y896" s="1"/>
      <c r="Z896" s="1"/>
    </row>
    <row r="897" customFormat="false" ht="15.75" hidden="false" customHeight="true" outlineLevel="0" collapsed="false">
      <c r="W897" s="1"/>
      <c r="X897" s="1"/>
      <c r="Y897" s="1"/>
      <c r="Z897" s="1"/>
    </row>
    <row r="898" customFormat="false" ht="15.75" hidden="false" customHeight="true" outlineLevel="0" collapsed="false">
      <c r="W898" s="1"/>
      <c r="X898" s="1"/>
      <c r="Y898" s="1"/>
      <c r="Z898" s="1"/>
    </row>
    <row r="899" customFormat="false" ht="15.75" hidden="false" customHeight="true" outlineLevel="0" collapsed="false">
      <c r="W899" s="1"/>
      <c r="X899" s="1"/>
      <c r="Y899" s="1"/>
      <c r="Z899" s="1"/>
    </row>
    <row r="900" customFormat="false" ht="15.75" hidden="false" customHeight="true" outlineLevel="0" collapsed="false">
      <c r="W900" s="1"/>
      <c r="X900" s="1"/>
      <c r="Y900" s="1"/>
      <c r="Z900" s="1"/>
    </row>
    <row r="901" customFormat="false" ht="15.75" hidden="false" customHeight="true" outlineLevel="0" collapsed="false">
      <c r="W901" s="1"/>
      <c r="X901" s="1"/>
      <c r="Y901" s="1"/>
      <c r="Z901" s="1"/>
    </row>
    <row r="902" customFormat="false" ht="15.75" hidden="false" customHeight="true" outlineLevel="0" collapsed="false">
      <c r="W902" s="1"/>
      <c r="X902" s="1"/>
      <c r="Y902" s="1"/>
      <c r="Z902" s="1"/>
    </row>
    <row r="903" customFormat="false" ht="15.75" hidden="false" customHeight="true" outlineLevel="0" collapsed="false">
      <c r="W903" s="1"/>
      <c r="X903" s="1"/>
      <c r="Y903" s="1"/>
      <c r="Z903" s="1"/>
    </row>
    <row r="904" customFormat="false" ht="15.75" hidden="false" customHeight="true" outlineLevel="0" collapsed="false">
      <c r="W904" s="1"/>
      <c r="X904" s="1"/>
      <c r="Y904" s="1"/>
      <c r="Z904" s="1"/>
    </row>
    <row r="905" customFormat="false" ht="15.75" hidden="false" customHeight="true" outlineLevel="0" collapsed="false">
      <c r="W905" s="1"/>
      <c r="X905" s="1"/>
      <c r="Y905" s="1"/>
      <c r="Z905" s="1"/>
    </row>
    <row r="906" customFormat="false" ht="15.75" hidden="false" customHeight="true" outlineLevel="0" collapsed="false">
      <c r="W906" s="1"/>
      <c r="X906" s="1"/>
      <c r="Y906" s="1"/>
      <c r="Z906" s="1"/>
    </row>
    <row r="907" customFormat="false" ht="15.75" hidden="false" customHeight="true" outlineLevel="0" collapsed="false">
      <c r="W907" s="1"/>
      <c r="X907" s="1"/>
      <c r="Y907" s="1"/>
      <c r="Z907" s="1"/>
    </row>
    <row r="908" customFormat="false" ht="15.75" hidden="false" customHeight="true" outlineLevel="0" collapsed="false">
      <c r="W908" s="1"/>
      <c r="X908" s="1"/>
      <c r="Y908" s="1"/>
      <c r="Z908" s="1"/>
    </row>
    <row r="909" customFormat="false" ht="15.75" hidden="false" customHeight="true" outlineLevel="0" collapsed="false">
      <c r="W909" s="1"/>
      <c r="X909" s="1"/>
      <c r="Y909" s="1"/>
      <c r="Z909" s="1"/>
    </row>
    <row r="910" customFormat="false" ht="15.75" hidden="false" customHeight="true" outlineLevel="0" collapsed="false">
      <c r="W910" s="1"/>
      <c r="X910" s="1"/>
      <c r="Y910" s="1"/>
      <c r="Z910" s="1"/>
    </row>
    <row r="911" customFormat="false" ht="15.75" hidden="false" customHeight="true" outlineLevel="0" collapsed="false">
      <c r="W911" s="1"/>
      <c r="X911" s="1"/>
      <c r="Y911" s="1"/>
      <c r="Z911" s="1"/>
    </row>
    <row r="912" customFormat="false" ht="15.75" hidden="false" customHeight="true" outlineLevel="0" collapsed="false">
      <c r="W912" s="1"/>
      <c r="X912" s="1"/>
      <c r="Y912" s="1"/>
      <c r="Z912" s="1"/>
    </row>
    <row r="913" customFormat="false" ht="15.75" hidden="false" customHeight="true" outlineLevel="0" collapsed="false">
      <c r="W913" s="1"/>
      <c r="X913" s="1"/>
      <c r="Y913" s="1"/>
      <c r="Z913" s="1"/>
    </row>
    <row r="914" customFormat="false" ht="15.75" hidden="false" customHeight="true" outlineLevel="0" collapsed="false">
      <c r="W914" s="1"/>
      <c r="X914" s="1"/>
      <c r="Y914" s="1"/>
      <c r="Z914" s="1"/>
    </row>
    <row r="915" customFormat="false" ht="15.75" hidden="false" customHeight="true" outlineLevel="0" collapsed="false">
      <c r="W915" s="1"/>
      <c r="X915" s="1"/>
      <c r="Y915" s="1"/>
      <c r="Z915" s="1"/>
    </row>
    <row r="916" customFormat="false" ht="15.75" hidden="false" customHeight="true" outlineLevel="0" collapsed="false">
      <c r="W916" s="1"/>
      <c r="X916" s="1"/>
      <c r="Y916" s="1"/>
      <c r="Z916" s="1"/>
    </row>
    <row r="917" customFormat="false" ht="15.75" hidden="false" customHeight="true" outlineLevel="0" collapsed="false">
      <c r="W917" s="1"/>
      <c r="X917" s="1"/>
      <c r="Y917" s="1"/>
      <c r="Z917" s="1"/>
    </row>
    <row r="918" customFormat="false" ht="15.75" hidden="false" customHeight="true" outlineLevel="0" collapsed="false">
      <c r="W918" s="1"/>
      <c r="X918" s="1"/>
      <c r="Y918" s="1"/>
      <c r="Z918" s="1"/>
    </row>
    <row r="919" customFormat="false" ht="15.75" hidden="false" customHeight="true" outlineLevel="0" collapsed="false">
      <c r="W919" s="1"/>
      <c r="X919" s="1"/>
      <c r="Y919" s="1"/>
      <c r="Z919" s="1"/>
    </row>
    <row r="920" customFormat="false" ht="15.75" hidden="false" customHeight="true" outlineLevel="0" collapsed="false">
      <c r="W920" s="1"/>
      <c r="X920" s="1"/>
      <c r="Y920" s="1"/>
      <c r="Z920" s="1"/>
    </row>
    <row r="921" customFormat="false" ht="15.75" hidden="false" customHeight="true" outlineLevel="0" collapsed="false">
      <c r="W921" s="1"/>
      <c r="X921" s="1"/>
      <c r="Y921" s="1"/>
      <c r="Z921" s="1"/>
    </row>
    <row r="922" customFormat="false" ht="15.75" hidden="false" customHeight="true" outlineLevel="0" collapsed="false">
      <c r="W922" s="1"/>
      <c r="X922" s="1"/>
      <c r="Y922" s="1"/>
      <c r="Z922" s="1"/>
    </row>
    <row r="923" customFormat="false" ht="15.75" hidden="false" customHeight="true" outlineLevel="0" collapsed="false">
      <c r="W923" s="1"/>
      <c r="X923" s="1"/>
      <c r="Y923" s="1"/>
      <c r="Z923" s="1"/>
    </row>
    <row r="924" customFormat="false" ht="15.75" hidden="false" customHeight="true" outlineLevel="0" collapsed="false">
      <c r="W924" s="1"/>
      <c r="X924" s="1"/>
      <c r="Y924" s="1"/>
      <c r="Z924" s="1"/>
    </row>
    <row r="925" customFormat="false" ht="15.75" hidden="false" customHeight="true" outlineLevel="0" collapsed="false">
      <c r="W925" s="1"/>
      <c r="X925" s="1"/>
      <c r="Y925" s="1"/>
      <c r="Z925" s="1"/>
    </row>
    <row r="926" customFormat="false" ht="15.75" hidden="false" customHeight="true" outlineLevel="0" collapsed="false">
      <c r="W926" s="1"/>
      <c r="X926" s="1"/>
      <c r="Y926" s="1"/>
      <c r="Z926" s="1"/>
    </row>
    <row r="927" customFormat="false" ht="15.75" hidden="false" customHeight="true" outlineLevel="0" collapsed="false">
      <c r="W927" s="1"/>
      <c r="X927" s="1"/>
      <c r="Y927" s="1"/>
      <c r="Z927" s="1"/>
    </row>
    <row r="928" customFormat="false" ht="15.75" hidden="false" customHeight="true" outlineLevel="0" collapsed="false">
      <c r="W928" s="1"/>
      <c r="X928" s="1"/>
      <c r="Y928" s="1"/>
      <c r="Z928" s="1"/>
    </row>
    <row r="929" customFormat="false" ht="15.75" hidden="false" customHeight="true" outlineLevel="0" collapsed="false">
      <c r="W929" s="1"/>
      <c r="X929" s="1"/>
      <c r="Y929" s="1"/>
      <c r="Z929" s="1"/>
    </row>
    <row r="930" customFormat="false" ht="15.75" hidden="false" customHeight="true" outlineLevel="0" collapsed="false">
      <c r="W930" s="1"/>
      <c r="X930" s="1"/>
      <c r="Y930" s="1"/>
      <c r="Z930" s="1"/>
    </row>
    <row r="931" customFormat="false" ht="15.75" hidden="false" customHeight="true" outlineLevel="0" collapsed="false">
      <c r="W931" s="1"/>
      <c r="X931" s="1"/>
      <c r="Y931" s="1"/>
      <c r="Z931" s="1"/>
    </row>
    <row r="932" customFormat="false" ht="15.75" hidden="false" customHeight="true" outlineLevel="0" collapsed="false">
      <c r="W932" s="1"/>
      <c r="X932" s="1"/>
      <c r="Y932" s="1"/>
      <c r="Z932" s="1"/>
    </row>
    <row r="933" customFormat="false" ht="15.75" hidden="false" customHeight="true" outlineLevel="0" collapsed="false">
      <c r="W933" s="1"/>
      <c r="X933" s="1"/>
      <c r="Y933" s="1"/>
      <c r="Z933" s="1"/>
    </row>
    <row r="934" customFormat="false" ht="15.75" hidden="false" customHeight="true" outlineLevel="0" collapsed="false">
      <c r="W934" s="1"/>
      <c r="X934" s="1"/>
      <c r="Y934" s="1"/>
      <c r="Z934" s="1"/>
    </row>
    <row r="935" customFormat="false" ht="15.75" hidden="false" customHeight="true" outlineLevel="0" collapsed="false">
      <c r="W935" s="1"/>
      <c r="X935" s="1"/>
      <c r="Y935" s="1"/>
      <c r="Z935" s="1"/>
    </row>
    <row r="936" customFormat="false" ht="15.75" hidden="false" customHeight="true" outlineLevel="0" collapsed="false">
      <c r="W936" s="1"/>
      <c r="X936" s="1"/>
      <c r="Y936" s="1"/>
      <c r="Z936" s="1"/>
    </row>
    <row r="937" customFormat="false" ht="15.75" hidden="false" customHeight="true" outlineLevel="0" collapsed="false">
      <c r="W937" s="1"/>
      <c r="X937" s="1"/>
      <c r="Y937" s="1"/>
      <c r="Z937" s="1"/>
    </row>
    <row r="938" customFormat="false" ht="15.75" hidden="false" customHeight="true" outlineLevel="0" collapsed="false">
      <c r="W938" s="1"/>
      <c r="X938" s="1"/>
      <c r="Y938" s="1"/>
      <c r="Z938" s="1"/>
    </row>
    <row r="939" customFormat="false" ht="15.75" hidden="false" customHeight="true" outlineLevel="0" collapsed="false">
      <c r="W939" s="1"/>
      <c r="X939" s="1"/>
      <c r="Y939" s="1"/>
      <c r="Z939" s="1"/>
    </row>
    <row r="940" customFormat="false" ht="15.75" hidden="false" customHeight="true" outlineLevel="0" collapsed="false">
      <c r="W940" s="1"/>
      <c r="X940" s="1"/>
      <c r="Y940" s="1"/>
      <c r="Z940" s="1"/>
    </row>
    <row r="941" customFormat="false" ht="15.75" hidden="false" customHeight="true" outlineLevel="0" collapsed="false">
      <c r="W941" s="1"/>
      <c r="X941" s="1"/>
      <c r="Y941" s="1"/>
      <c r="Z941" s="1"/>
    </row>
    <row r="942" customFormat="false" ht="15.75" hidden="false" customHeight="true" outlineLevel="0" collapsed="false">
      <c r="W942" s="1"/>
      <c r="X942" s="1"/>
      <c r="Y942" s="1"/>
      <c r="Z942" s="1"/>
    </row>
    <row r="943" customFormat="false" ht="15.75" hidden="false" customHeight="true" outlineLevel="0" collapsed="false">
      <c r="W943" s="1"/>
      <c r="X943" s="1"/>
      <c r="Y943" s="1"/>
      <c r="Z943" s="1"/>
    </row>
    <row r="944" customFormat="false" ht="15.75" hidden="false" customHeight="true" outlineLevel="0" collapsed="false">
      <c r="W944" s="1"/>
      <c r="X944" s="1"/>
      <c r="Y944" s="1"/>
      <c r="Z944" s="1"/>
    </row>
    <row r="945" customFormat="false" ht="15.75" hidden="false" customHeight="true" outlineLevel="0" collapsed="false">
      <c r="W945" s="1"/>
      <c r="X945" s="1"/>
      <c r="Y945" s="1"/>
      <c r="Z945" s="1"/>
    </row>
    <row r="946" customFormat="false" ht="15.75" hidden="false" customHeight="true" outlineLevel="0" collapsed="false">
      <c r="W946" s="1"/>
      <c r="X946" s="1"/>
      <c r="Y946" s="1"/>
      <c r="Z946" s="1"/>
    </row>
    <row r="947" customFormat="false" ht="15.75" hidden="false" customHeight="true" outlineLevel="0" collapsed="false">
      <c r="W947" s="1"/>
      <c r="X947" s="1"/>
      <c r="Y947" s="1"/>
      <c r="Z947" s="1"/>
    </row>
    <row r="948" customFormat="false" ht="15.75" hidden="false" customHeight="true" outlineLevel="0" collapsed="false">
      <c r="W948" s="1"/>
      <c r="X948" s="1"/>
      <c r="Y948" s="1"/>
      <c r="Z948" s="1"/>
    </row>
    <row r="949" customFormat="false" ht="15.75" hidden="false" customHeight="true" outlineLevel="0" collapsed="false">
      <c r="W949" s="1"/>
      <c r="X949" s="1"/>
      <c r="Y949" s="1"/>
      <c r="Z949" s="1"/>
    </row>
    <row r="950" customFormat="false" ht="15.75" hidden="false" customHeight="true" outlineLevel="0" collapsed="false">
      <c r="W950" s="1"/>
      <c r="X950" s="1"/>
      <c r="Y950" s="1"/>
      <c r="Z950" s="1"/>
    </row>
    <row r="951" customFormat="false" ht="15.75" hidden="false" customHeight="true" outlineLevel="0" collapsed="false">
      <c r="W951" s="1"/>
      <c r="X951" s="1"/>
      <c r="Y951" s="1"/>
      <c r="Z951" s="1"/>
    </row>
    <row r="952" customFormat="false" ht="15.75" hidden="false" customHeight="true" outlineLevel="0" collapsed="false">
      <c r="W952" s="1"/>
      <c r="X952" s="1"/>
      <c r="Y952" s="1"/>
      <c r="Z952" s="1"/>
    </row>
    <row r="953" customFormat="false" ht="15.75" hidden="false" customHeight="true" outlineLevel="0" collapsed="false">
      <c r="W953" s="1"/>
      <c r="X953" s="1"/>
      <c r="Y953" s="1"/>
      <c r="Z953" s="1"/>
    </row>
    <row r="954" customFormat="false" ht="15.75" hidden="false" customHeight="true" outlineLevel="0" collapsed="false">
      <c r="W954" s="1"/>
      <c r="X954" s="1"/>
      <c r="Y954" s="1"/>
      <c r="Z954" s="1"/>
    </row>
    <row r="955" customFormat="false" ht="15.75" hidden="false" customHeight="true" outlineLevel="0" collapsed="false">
      <c r="W955" s="1"/>
      <c r="X955" s="1"/>
      <c r="Y955" s="1"/>
      <c r="Z955" s="1"/>
    </row>
    <row r="956" customFormat="false" ht="15.75" hidden="false" customHeight="true" outlineLevel="0" collapsed="false">
      <c r="W956" s="1"/>
      <c r="X956" s="1"/>
      <c r="Y956" s="1"/>
      <c r="Z956" s="1"/>
    </row>
    <row r="957" customFormat="false" ht="15.75" hidden="false" customHeight="true" outlineLevel="0" collapsed="false">
      <c r="W957" s="1"/>
      <c r="X957" s="1"/>
      <c r="Y957" s="1"/>
      <c r="Z957" s="1"/>
    </row>
    <row r="958" customFormat="false" ht="15.75" hidden="false" customHeight="true" outlineLevel="0" collapsed="false">
      <c r="W958" s="1"/>
      <c r="X958" s="1"/>
      <c r="Y958" s="1"/>
      <c r="Z958" s="1"/>
    </row>
    <row r="959" customFormat="false" ht="15.75" hidden="false" customHeight="true" outlineLevel="0" collapsed="false">
      <c r="W959" s="1"/>
      <c r="X959" s="1"/>
      <c r="Y959" s="1"/>
      <c r="Z959" s="1"/>
    </row>
    <row r="960" customFormat="false" ht="15.75" hidden="false" customHeight="true" outlineLevel="0" collapsed="false">
      <c r="W960" s="1"/>
      <c r="X960" s="1"/>
      <c r="Y960" s="1"/>
      <c r="Z960" s="1"/>
    </row>
    <row r="961" customFormat="false" ht="15.75" hidden="false" customHeight="true" outlineLevel="0" collapsed="false">
      <c r="W961" s="1"/>
      <c r="X961" s="1"/>
      <c r="Y961" s="1"/>
      <c r="Z961" s="1"/>
    </row>
    <row r="962" customFormat="false" ht="15.75" hidden="false" customHeight="true" outlineLevel="0" collapsed="false">
      <c r="W962" s="1"/>
      <c r="X962" s="1"/>
      <c r="Y962" s="1"/>
      <c r="Z962" s="1"/>
    </row>
    <row r="963" customFormat="false" ht="15.75" hidden="false" customHeight="true" outlineLevel="0" collapsed="false">
      <c r="W963" s="1"/>
      <c r="X963" s="1"/>
      <c r="Y963" s="1"/>
      <c r="Z963" s="1"/>
    </row>
    <row r="964" customFormat="false" ht="15.75" hidden="false" customHeight="true" outlineLevel="0" collapsed="false">
      <c r="W964" s="1"/>
      <c r="X964" s="1"/>
      <c r="Y964" s="1"/>
      <c r="Z964" s="1"/>
    </row>
    <row r="965" customFormat="false" ht="15.75" hidden="false" customHeight="true" outlineLevel="0" collapsed="false">
      <c r="W965" s="1"/>
      <c r="X965" s="1"/>
      <c r="Y965" s="1"/>
      <c r="Z965" s="1"/>
    </row>
    <row r="966" customFormat="false" ht="15.75" hidden="false" customHeight="true" outlineLevel="0" collapsed="false">
      <c r="W966" s="1"/>
      <c r="X966" s="1"/>
      <c r="Y966" s="1"/>
      <c r="Z966" s="1"/>
    </row>
    <row r="967" customFormat="false" ht="15.75" hidden="false" customHeight="true" outlineLevel="0" collapsed="false">
      <c r="W967" s="1"/>
      <c r="X967" s="1"/>
      <c r="Y967" s="1"/>
      <c r="Z967" s="1"/>
    </row>
    <row r="968" customFormat="false" ht="15.75" hidden="false" customHeight="true" outlineLevel="0" collapsed="false">
      <c r="W968" s="1"/>
      <c r="X968" s="1"/>
      <c r="Y968" s="1"/>
      <c r="Z968" s="1"/>
    </row>
    <row r="969" customFormat="false" ht="15.75" hidden="false" customHeight="true" outlineLevel="0" collapsed="false">
      <c r="W969" s="1"/>
      <c r="X969" s="1"/>
      <c r="Y969" s="1"/>
      <c r="Z969" s="1"/>
    </row>
    <row r="970" customFormat="false" ht="15.75" hidden="false" customHeight="true" outlineLevel="0" collapsed="false">
      <c r="W970" s="1"/>
      <c r="X970" s="1"/>
      <c r="Y970" s="1"/>
      <c r="Z970" s="1"/>
    </row>
    <row r="971" customFormat="false" ht="15.75" hidden="false" customHeight="true" outlineLevel="0" collapsed="false">
      <c r="W971" s="1"/>
      <c r="X971" s="1"/>
      <c r="Y971" s="1"/>
      <c r="Z971" s="1"/>
    </row>
    <row r="972" customFormat="false" ht="15.75" hidden="false" customHeight="true" outlineLevel="0" collapsed="false">
      <c r="W972" s="1"/>
      <c r="X972" s="1"/>
      <c r="Y972" s="1"/>
      <c r="Z972" s="1"/>
    </row>
    <row r="973" customFormat="false" ht="15.75" hidden="false" customHeight="true" outlineLevel="0" collapsed="false">
      <c r="W973" s="1"/>
      <c r="X973" s="1"/>
      <c r="Y973" s="1"/>
      <c r="Z973" s="1"/>
    </row>
    <row r="974" customFormat="false" ht="15.75" hidden="false" customHeight="true" outlineLevel="0" collapsed="false">
      <c r="W974" s="1"/>
      <c r="X974" s="1"/>
      <c r="Y974" s="1"/>
      <c r="Z974" s="1"/>
    </row>
    <row r="975" customFormat="false" ht="15.75" hidden="false" customHeight="true" outlineLevel="0" collapsed="false">
      <c r="W975" s="1"/>
      <c r="X975" s="1"/>
      <c r="Y975" s="1"/>
      <c r="Z975" s="1"/>
    </row>
    <row r="976" customFormat="false" ht="15.75" hidden="false" customHeight="true" outlineLevel="0" collapsed="false">
      <c r="W976" s="1"/>
      <c r="X976" s="1"/>
      <c r="Y976" s="1"/>
      <c r="Z976" s="1"/>
    </row>
    <row r="977" customFormat="false" ht="15.75" hidden="false" customHeight="true" outlineLevel="0" collapsed="false">
      <c r="W977" s="1"/>
      <c r="X977" s="1"/>
      <c r="Y977" s="1"/>
      <c r="Z977" s="1"/>
    </row>
    <row r="978" customFormat="false" ht="15.75" hidden="false" customHeight="true" outlineLevel="0" collapsed="false">
      <c r="W978" s="1"/>
      <c r="X978" s="1"/>
      <c r="Y978" s="1"/>
      <c r="Z978" s="1"/>
    </row>
    <row r="979" customFormat="false" ht="15.75" hidden="false" customHeight="true" outlineLevel="0" collapsed="false">
      <c r="W979" s="1"/>
      <c r="X979" s="1"/>
      <c r="Y979" s="1"/>
      <c r="Z979" s="1"/>
    </row>
    <row r="980" customFormat="false" ht="15.75" hidden="false" customHeight="true" outlineLevel="0" collapsed="false">
      <c r="W980" s="1"/>
      <c r="X980" s="1"/>
      <c r="Y980" s="1"/>
      <c r="Z980" s="1"/>
    </row>
    <row r="981" customFormat="false" ht="15.75" hidden="false" customHeight="true" outlineLevel="0" collapsed="false">
      <c r="W981" s="1"/>
      <c r="X981" s="1"/>
      <c r="Y981" s="1"/>
      <c r="Z981" s="1"/>
    </row>
    <row r="982" customFormat="false" ht="15.75" hidden="false" customHeight="true" outlineLevel="0" collapsed="false">
      <c r="W982" s="1"/>
      <c r="X982" s="1"/>
      <c r="Y982" s="1"/>
      <c r="Z982" s="1"/>
    </row>
    <row r="983" customFormat="false" ht="15.75" hidden="false" customHeight="true" outlineLevel="0" collapsed="false">
      <c r="W983" s="1"/>
      <c r="X983" s="1"/>
      <c r="Y983" s="1"/>
      <c r="Z983" s="1"/>
    </row>
    <row r="984" customFormat="false" ht="15.75" hidden="false" customHeight="true" outlineLevel="0" collapsed="false">
      <c r="W984" s="1"/>
      <c r="X984" s="1"/>
      <c r="Y984" s="1"/>
      <c r="Z984" s="1"/>
    </row>
    <row r="985" customFormat="false" ht="15.75" hidden="false" customHeight="true" outlineLevel="0" collapsed="false">
      <c r="W985" s="1"/>
      <c r="X985" s="1"/>
      <c r="Y985" s="1"/>
      <c r="Z985" s="1"/>
    </row>
    <row r="986" customFormat="false" ht="15.75" hidden="false" customHeight="true" outlineLevel="0" collapsed="false">
      <c r="W986" s="1"/>
      <c r="X986" s="1"/>
      <c r="Y986" s="1"/>
      <c r="Z986" s="1"/>
    </row>
    <row r="987" customFormat="false" ht="15.75" hidden="false" customHeight="true" outlineLevel="0" collapsed="false">
      <c r="W987" s="1"/>
      <c r="X987" s="1"/>
      <c r="Y987" s="1"/>
      <c r="Z987" s="1"/>
    </row>
    <row r="988" customFormat="false" ht="15.75" hidden="false" customHeight="true" outlineLevel="0" collapsed="false">
      <c r="W988" s="1"/>
      <c r="X988" s="1"/>
      <c r="Y988" s="1"/>
      <c r="Z988" s="1"/>
    </row>
    <row r="989" customFormat="false" ht="15.75" hidden="false" customHeight="true" outlineLevel="0" collapsed="false">
      <c r="W989" s="1"/>
      <c r="X989" s="1"/>
      <c r="Y989" s="1"/>
      <c r="Z989" s="1"/>
    </row>
    <row r="990" customFormat="false" ht="15.75" hidden="false" customHeight="true" outlineLevel="0" collapsed="false">
      <c r="W990" s="1"/>
      <c r="X990" s="1"/>
      <c r="Y990" s="1"/>
      <c r="Z990" s="1"/>
    </row>
    <row r="991" customFormat="false" ht="15.75" hidden="false" customHeight="true" outlineLevel="0" collapsed="false">
      <c r="W991" s="1"/>
      <c r="X991" s="1"/>
      <c r="Y991" s="1"/>
      <c r="Z991" s="1"/>
    </row>
    <row r="992" customFormat="false" ht="15.75" hidden="false" customHeight="true" outlineLevel="0" collapsed="false">
      <c r="W992" s="1"/>
      <c r="X992" s="1"/>
      <c r="Y992" s="1"/>
      <c r="Z992" s="1"/>
    </row>
    <row r="993" customFormat="false" ht="15.75" hidden="false" customHeight="true" outlineLevel="0" collapsed="false">
      <c r="W993" s="1"/>
      <c r="X993" s="1"/>
      <c r="Y993" s="1"/>
      <c r="Z993" s="1"/>
    </row>
    <row r="994" customFormat="false" ht="15.75" hidden="false" customHeight="true" outlineLevel="0" collapsed="false">
      <c r="W994" s="1"/>
      <c r="X994" s="1"/>
      <c r="Y994" s="1"/>
      <c r="Z994" s="1"/>
    </row>
    <row r="995" customFormat="false" ht="15.75" hidden="false" customHeight="true" outlineLevel="0" collapsed="false">
      <c r="W995" s="1"/>
      <c r="X995" s="1"/>
      <c r="Y995" s="1"/>
      <c r="Z995" s="1"/>
    </row>
    <row r="996" customFormat="false" ht="15.75" hidden="false" customHeight="true" outlineLevel="0" collapsed="false">
      <c r="W996" s="1"/>
      <c r="X996" s="1"/>
      <c r="Y996" s="1"/>
      <c r="Z996" s="1"/>
    </row>
    <row r="997" customFormat="false" ht="15.75" hidden="false" customHeight="true" outlineLevel="0" collapsed="false">
      <c r="W997" s="1"/>
      <c r="X997" s="1"/>
      <c r="Y997" s="1"/>
      <c r="Z997" s="1"/>
    </row>
    <row r="998" customFormat="false" ht="15.75" hidden="false" customHeight="true" outlineLevel="0" collapsed="false">
      <c r="W998" s="1"/>
      <c r="X998" s="1"/>
      <c r="Y998" s="1"/>
      <c r="Z998" s="1"/>
    </row>
    <row r="999" customFormat="false" ht="15.75" hidden="false" customHeight="true" outlineLevel="0" collapsed="false">
      <c r="W999" s="1"/>
      <c r="X999" s="1"/>
      <c r="Y999" s="1"/>
      <c r="Z999" s="1"/>
    </row>
    <row r="1000" customFormat="false" ht="15.75" hidden="false" customHeight="true" outlineLevel="0" collapsed="false"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2026-10-22T19:27:25Z</dcterms:created>
  <dc:creator>openpyxl</dc:creator>
  <dc:description/>
  <dc:language>en-US</dc:language>
  <cp:lastModifiedBy/>
  <dcterms:modified xsi:type="dcterms:W3CDTF">2026-10-23T20:55:48Z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