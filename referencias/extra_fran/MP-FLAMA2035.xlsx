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Parametros" sheetId="3" state="visible" r:id="rId5"/>
    <sheet name="Chapa_fleje" sheetId="4" state="visible" r:id="rId6"/>
    <sheet name="Casquetes" sheetId="5" state="visible" r:id="rId7"/>
    <sheet name="Stock_MP" sheetId="6" state="visible" r:id="rId8"/>
    <sheet name="Almacenes" sheetId="7" state="visible" r:id="rId9"/>
    <sheet name="Pedidos" sheetId="8" state="visible" r:id="rId10"/>
    <sheet name="Equipos" sheetId="9" state="visible" r:id="rId11"/>
  </sheets>
  <definedNames>
    <definedName function="false" hidden="false" name="A_TACO" vbProcedure="false">Parametros!$B$26</definedName>
    <definedName function="false" hidden="false" name="CALLE" vbProcedure="false">Parametros!$B$29</definedName>
    <definedName function="false" hidden="false" name="CAP_AUTO" vbProcedure="false">Parametros!$B$15</definedName>
    <definedName function="false" hidden="false" name="CAP_DESB" vbProcedure="false">Parametros!$B$34</definedName>
    <definedName function="false" hidden="false" name="CAP_MESA" vbProcedure="false">Parametros!$B$17</definedName>
    <definedName function="false" hidden="false" name="CC_AUTO" vbProcedure="false">Parametros!$B$16</definedName>
    <definedName function="false" hidden="false" name="CQ_ALTO" vbProcedure="false">Casquetes!$B$19</definedName>
    <definedName function="false" hidden="false" name="CQ_ANCHO" vbProcedure="false">Casquetes!$B$18</definedName>
    <definedName function="false" hidden="false" name="CQ_BASE" vbProcedure="false">Casquetes!$B$20</definedName>
    <definedName function="false" hidden="false" name="CQ_CADA" vbProcedure="false">Casquetes!$B$16</definedName>
    <definedName function="false" hidden="false" name="CQ_KG" vbProcedure="false">Casquetes!$B$21</definedName>
    <definedName function="false" hidden="false" name="CQ_LARGO" vbProcedure="false">Casquetes!$B$17</definedName>
    <definedName function="false" hidden="false" name="CQ_PLAZO" vbProcedure="false">Casquetes!$B$12</definedName>
    <definedName function="false" hidden="false" name="CQ_PMAX" vbProcedure="false">Casquetes!$B$15</definedName>
    <definedName function="false" hidden="false" name="CQ_PMIN" vbProcedure="false">Casquetes!$B$14</definedName>
    <definedName function="false" hidden="false" name="CQ_POLL" vbProcedure="false">Casquetes!$B$23</definedName>
    <definedName function="false" hidden="false" name="CQ_TARA" vbProcedure="false">Casquetes!$B$22</definedName>
    <definedName function="false" hidden="false" name="CQ_VAR" vbProcedure="false">Casquetes!$B$13</definedName>
    <definedName function="false" hidden="false" name="DENS" vbProcedure="false">Parametros!$B$23</definedName>
    <definedName function="false" hidden="false" name="DIAS_ANIO" vbProcedure="false">Parametros!$B$7</definedName>
    <definedName function="false" hidden="false" name="DI_ROLLO" vbProcedure="false">Parametros!$B$33</definedName>
    <definedName function="false" hidden="false" name="FAC_CAR" vbProcedure="false">Parametros!$B$9</definedName>
    <definedName function="false" hidden="false" name="FAC_MAN" vbProcedure="false">Parametros!$B$8</definedName>
    <definedName function="false" hidden="false" name="FAC_REC" vbProcedure="false">Parametros!$B$10</definedName>
    <definedName function="false" hidden="false" name="HUECO" vbProcedure="false">Parametros!$B$47</definedName>
    <definedName function="false" hidden="false" name="H_ELEV" vbProcedure="false">Parametros!$B$14</definedName>
    <definedName function="false" hidden="false" name="H_NIV" vbProcedure="false">Parametros!$B$36</definedName>
    <definedName function="false" hidden="false" name="H_TACO" vbProcedure="false">Parametros!$B$24</definedName>
    <definedName function="false" hidden="false" name="KG_POS" vbProcedure="false">Parametros!$B$35</definedName>
    <definedName function="false" hidden="false" name="LUG_MOD" vbProcedure="false">Parametros!$B$52</definedName>
    <definedName function="false" hidden="false" name="M2_VOLTEO" vbProcedure="false">Parametros!$B$44</definedName>
    <definedName function="false" hidden="false" name="MOD_FONDO" vbProcedure="false">Parametros!$B$43</definedName>
    <definedName function="false" hidden="false" name="MOD_FRENTE" vbProcedure="false">Parametros!$B$42</definedName>
    <definedName function="false" hidden="false" name="NIV" vbProcedure="false">Parametros!$B$41</definedName>
    <definedName function="false" hidden="false" name="NIV_FLEJE" vbProcedure="false">Parametros!$B$37</definedName>
    <definedName function="false" hidden="false" name="N_TACO" vbProcedure="false">Parametros!$B$25</definedName>
    <definedName function="false" hidden="false" name="PAL_FONDO" vbProcedure="false">Parametros!$B$46</definedName>
    <definedName function="false" hidden="false" name="PAL_FRENTE" vbProcedure="false">Parametros!$B$45</definedName>
    <definedName function="false" hidden="false" name="PINZA_BRAZO" vbProcedure="false">Parametros!$B$48</definedName>
    <definedName function="false" hidden="false" name="POS_NIV" vbProcedure="false">Parametros!$B$40</definedName>
    <definedName function="false" hidden="false" name="PRECIOS" vbProcedure="false">Datos!$A$181:$C$196</definedName>
    <definedName function="false" hidden="false" name="Q_PISO" vbProcedure="false">Parametros!$B$18</definedName>
    <definedName function="false" hidden="false" name="REL_PILA" vbProcedure="false">Parametros!$B$19</definedName>
    <definedName function="false" hidden="false" name="REL_ROLLO" vbProcedure="false">Parametros!$B$39</definedName>
    <definedName function="false" hidden="false" name="SEP_PILA" vbProcedure="false">Parametros!$B$28</definedName>
    <definedName function="false" hidden="false" name="SEP_ROLLO" vbProcedure="false">Parametros!$B$38</definedName>
    <definedName function="false" hidden="false" name="SIG_MAD" vbProcedure="false">Parametros!$B$27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<sst xmlns="http://schemas.openxmlformats.org/spreadsheetml/2006/main" count="2445" uniqueCount="1291">
  <si>
    <t xml:space="preserve">MATERIA PRIMA 2035 — cómo se pide, cuánto se guarda y cómo se dispone en el almacén</t>
  </si>
  <si>
    <t xml:space="preserve">Paquetes y rollos atados al balanceo limpio (Balanceo2035.xlsx), stock de las 125 MP con el pico de producción y almacén dimensionado con la estantería que menos lugar ocupa.</t>
  </si>
  <si>
    <t xml:space="preserve">▶ Una hoja por paso: Chapa_fleje → Stock_MP → Almacenes → Pedidos → Equipos. Datos = valores pegados.</t>
  </si>
  <si>
    <t xml:space="preserve">1) LO PRINCIPAL</t>
  </si>
  <si>
    <t xml:space="preserve">Concepto</t>
  </si>
  <si>
    <t xml:space="preserve">Antes (v10)</t>
  </si>
  <si>
    <t xml:space="preserve">Ahora</t>
  </si>
  <si>
    <t xml:space="preserve">Hoja</t>
  </si>
  <si>
    <t xml:space="preserve">Superficie del almacén de MP (m²)</t>
  </si>
  <si>
    <t xml:space="preserve">Almacenes</t>
  </si>
  <si>
    <t xml:space="preserve">Chapa y flejes (m²)</t>
  </si>
  <si>
    <t xml:space="preserve">Chapa_fleje 2 y 5</t>
  </si>
  <si>
    <t xml:space="preserve">Chapa: pilas</t>
  </si>
  <si>
    <t xml:space="preserve">—</t>
  </si>
  <si>
    <t xml:space="preserve">Chapa_fleje 2</t>
  </si>
  <si>
    <t xml:space="preserve">Chapa: alto máximo de una pila (m)</t>
  </si>
  <si>
    <t xml:space="preserve">Flejes: rack + estación de volteo (m²)</t>
  </si>
  <si>
    <t xml:space="preserve">Chapa_fleje 5</t>
  </si>
  <si>
    <t xml:space="preserve">Flejes: módulos de rack</t>
  </si>
  <si>
    <t xml:space="preserve">3 cunas</t>
  </si>
  <si>
    <t xml:space="preserve">Apilador con pinza («volteador»)</t>
  </si>
  <si>
    <t xml:space="preserve">Chapa_fleje 4</t>
  </si>
  <si>
    <t xml:space="preserve">Equipos de almacén, con IVA</t>
  </si>
  <si>
    <t xml:space="preserve">Equipos</t>
  </si>
  <si>
    <t xml:space="preserve">Pedidos por año (todos los proveedores)</t>
  </si>
  <si>
    <t xml:space="preserve">Pedidos</t>
  </si>
  <si>
    <t xml:space="preserve">MP al pie de los puestos (m², sin cambios)</t>
  </si>
  <si>
    <t xml:space="preserve">Datos</t>
  </si>
  <si>
    <t xml:space="preserve">Antes = Balanceo_Sincronizado v10 y Almacenamiento_MP (almacén + fabricación propia + demarcación, con cunas; sin los equipos de la línea).</t>
  </si>
  <si>
    <t xml:space="preserve">2) PAQUETE Y ROLLO DE CADA FORMATO (= una tanda del balanceo)</t>
  </si>
  <si>
    <t xml:space="preserve">Material</t>
  </si>
  <si>
    <t xml:space="preserve">Bulto (hojas o kg)</t>
  </si>
  <si>
    <t xml:space="preserve">Se pide cada (días)</t>
  </si>
  <si>
    <t xml:space="preserve">Stock máximo (bultos)</t>
  </si>
  <si>
    <t xml:space="preserve">3) CONTROLES</t>
  </si>
  <si>
    <t xml:space="preserve">Control</t>
  </si>
  <si>
    <t xml:space="preserve">Valor</t>
  </si>
  <si>
    <t xml:space="preserve">Estado</t>
  </si>
  <si>
    <t xml:space="preserve">Debe dar</t>
  </si>
  <si>
    <t xml:space="preserve">Paquetes que pasan la mesa elevadora o el autoelevador</t>
  </si>
  <si>
    <t xml:space="preserve">0</t>
  </si>
  <si>
    <t xml:space="preserve">Pilas con más carga que el piso (t/m²)</t>
  </si>
  <si>
    <t xml:space="preserve">≤ Q_PISO</t>
  </si>
  <si>
    <t xml:space="preserve">Pilas que pasan la altura del autoelevador (m)</t>
  </si>
  <si>
    <t xml:space="preserve">≤ H_ELEV</t>
  </si>
  <si>
    <t xml:space="preserve">Presión máxima en los tacos (MPa)</t>
  </si>
  <si>
    <t xml:space="preserve">≤ SIG_MAD</t>
  </si>
  <si>
    <t xml:space="preserve">Rollos que pasan el desbobinador</t>
  </si>
  <si>
    <t xml:space="preserve">Lugares de rack de flejes que faltan</t>
  </si>
  <si>
    <t xml:space="preserve">Apilador con pinza que sirve</t>
  </si>
  <si>
    <t xml:space="preserve">un equipo</t>
  </si>
  <si>
    <t xml:space="preserve">4) LO QUE ESTABA MAL EN LOS ARCHIVOS ANTERIORES</t>
  </si>
  <si>
    <t xml:space="preserve">1. Stock_MP (v10) calculaba los lugares de chapa con las hojas por lugar del MRP viejo (136), no con el paquete de una tanda: daba 94,5 m².</t>
  </si>
  <si>
    <t xml:space="preserve">2. Almacenamiento_MP ponía las pilas de chapa en 1,2 m sin mirar el autoelevador ni el piso, y los flejes en cunas (apoyados de canto se ovalan).</t>
  </si>
  <si>
    <t xml:space="preserve">3. El Word de chapa decía que el almacén pasaba de 295 a 273 m² y que chapa tenía 26 lugares: no coincide con el Word de MP (272,8 → 207,5 m²).</t>
  </si>
  <si>
    <t xml:space="preserve">4. Embutido (v10) decía que las cúpulas las toma el numerado: con el marcado unificado las toma la soldadura del cuello.</t>
  </si>
  <si>
    <t xml:space="preserve">5. La calle de chapa de carros iba aparte: ahora sus paquetes van en la misma zona de pilas, con la misma calle.</t>
  </si>
  <si>
    <t xml:space="preserve">DATOS IMPORTADOS (valores pegados)</t>
  </si>
  <si>
    <t xml:space="preserve">Del balanceo limpio Balanceo2035.xlsx (hoja Lotes y Carga, enero 2035) y del MRP (FLAMA_MRP, POLITICA_STOCK, tal como estaba en Balanceo_Sincronizado_FLAMA_2035 v10, hoja Stock_MP). Si cambian, volver a pegar.</t>
  </si>
  <si>
    <t xml:space="preserve">▶ Esta hoja no se lee: guarda los datos. Verde = dato.</t>
  </si>
  <si>
    <t xml:space="preserve">1) GUILLOTINA — tandas del balanceo (Balanceo2035.xlsx, Lotes filas 8 a 14)</t>
  </si>
  <si>
    <t xml:space="preserve">Fila Lotes</t>
  </si>
  <si>
    <t xml:space="preserve">Formato</t>
  </si>
  <si>
    <t xml:space="preserve">Cuerpos por hoja</t>
  </si>
  <si>
    <t xml:space="preserve">Cuerpos por día</t>
  </si>
  <si>
    <t xml:space="preserve">Cada (días)</t>
  </si>
  <si>
    <t xml:space="preserve">Hojas por tanda</t>
  </si>
  <si>
    <t xml:space="preserve">Manuales 1 kg</t>
  </si>
  <si>
    <t xml:space="preserve">Manuales 2,5 kg</t>
  </si>
  <si>
    <t xml:space="preserve">Manuales 5 kg</t>
  </si>
  <si>
    <t xml:space="preserve">Manuales 10 kg</t>
  </si>
  <si>
    <t xml:space="preserve">Carros 25 kg (hoja 3,2)</t>
  </si>
  <si>
    <t xml:space="preserve">Carros 50 kg (hoja 3,2)</t>
  </si>
  <si>
    <t xml:space="preserve">Carros 70 + 100 kg (hoja mixta 4,75)</t>
  </si>
  <si>
    <t xml:space="preserve">2) EMBUTIDORA — tandas del balanceo (Lotes filas 30 a 37)</t>
  </si>
  <si>
    <t xml:space="preserve">Matriz</t>
  </si>
  <si>
    <t xml:space="preserve">Modelo</t>
  </si>
  <si>
    <t xml:space="preserve">Piezas por día</t>
  </si>
  <si>
    <t xml:space="preserve">Piezas por tanda</t>
  </si>
  <si>
    <t xml:space="preserve">Piezas del año</t>
  </si>
  <si>
    <t xml:space="preserve">C1</t>
  </si>
  <si>
    <t xml:space="preserve">1 kg</t>
  </si>
  <si>
    <t xml:space="preserve">F1</t>
  </si>
  <si>
    <t xml:space="preserve">C2,5</t>
  </si>
  <si>
    <t xml:space="preserve">2,5 kg</t>
  </si>
  <si>
    <t xml:space="preserve">F2,5</t>
  </si>
  <si>
    <t xml:space="preserve">C5</t>
  </si>
  <si>
    <t xml:space="preserve">5 kg</t>
  </si>
  <si>
    <t xml:space="preserve">F5</t>
  </si>
  <si>
    <t xml:space="preserve">C10</t>
  </si>
  <si>
    <t xml:space="preserve">10 kg</t>
  </si>
  <si>
    <t xml:space="preserve">F10</t>
  </si>
  <si>
    <t xml:space="preserve">Piezas del año = recipientes del año de cada modelo (Balanceo2035, Carga B14:B17).</t>
  </si>
  <si>
    <t xml:space="preserve">3) PRODUCCIÓN DE CADA MES (Balanceo2035, Carga filas 8 a 10) — para el factor de pico</t>
  </si>
  <si>
    <t xml:space="preserve">Línea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</si>
  <si>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</si>
  <si>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</si>
  <si>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</si>
  <si>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</si>
  <si>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</si>
  <si>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</si>
  <si>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</si>
  <si>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</si>
  <si>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</si>
  <si>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</si>
  <si>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</si>
  <si>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</si>
  <si>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Manuales</t>
  </si>
  <si>
    <t xml:space="preserve">Carros</t>
  </si>
  <si>
    <t xml:space="preserve">Recargas</t>
  </si>
  <si>
    <t xml:space="preserve">4) ALMACÉN DE MP ANTES DE ESTE ANÁLISIS (Balanceo_Sincronizado v10, Stock_MP sección 1)</t>
  </si>
  <si>
    <t xml:space="preserve">Almacén</t>
  </si>
  <si>
    <t xml:space="preserve">Lugares</t>
  </si>
  <si>
    <t xml:space="preserve">m²</t>
  </si>
  <si>
    <t xml:space="preserve">Calle de chapa (carros)</t>
  </si>
  <si>
    <t xml:space="preserve">Cantilever de caños y barras</t>
  </si>
  <si>
    <t xml:space="preserve">Chapa y fleje (manuales)</t>
  </si>
  <si>
    <t xml:space="preserve">Depósito de polvo químico</t>
  </si>
  <si>
    <t xml:space="preserve">Embalaje</t>
  </si>
  <si>
    <t xml:space="preserve">Identificación</t>
  </si>
  <si>
    <t xml:space="preserve">Insumos de montaje (manuales)</t>
  </si>
  <si>
    <t xml:space="preserve">Insumos de recargas</t>
  </si>
  <si>
    <t xml:space="preserve">Insumos de soldadura y superficie</t>
  </si>
  <si>
    <t xml:space="preserve">Jaula de gases</t>
  </si>
  <si>
    <t xml:space="preserve">Rack de casquetes y cuplas (carros)</t>
  </si>
  <si>
    <t xml:space="preserve">Rack de insumos de montaje (carros)</t>
  </si>
  <si>
    <t xml:space="preserve">Total almacén de MP (v10)</t>
  </si>
  <si>
    <t xml:space="preserve">MP al pie de los puestos (v10, MP_en_linea): no cambia en este análisis</t>
  </si>
  <si>
    <t xml:space="preserve">5) MRP POR MATERIAL (FLAMA_MRP, POLITICA_STOCK; unidad y frecuencia revisadas en el Word de MP)</t>
  </si>
  <si>
    <t xml:space="preserve">Ref.</t>
  </si>
  <si>
    <t xml:space="preserve">Código</t>
  </si>
  <si>
    <t xml:space="preserve">Proveedor</t>
  </si>
  <si>
    <t xml:space="preserve">Consumo del año</t>
  </si>
  <si>
    <t xml:space="preserve">UM</t>
  </si>
  <si>
    <t xml:space="preserve">Plazo mín.</t>
  </si>
  <si>
    <t xml:space="preserve">Plazo máx.</t>
  </si>
  <si>
    <t xml:space="preserve">Unidad de compra</t>
  </si>
  <si>
    <t xml:space="preserve">Contenido</t>
  </si>
  <si>
    <t xml:space="preserve">Almacén (v10)</t>
  </si>
  <si>
    <t xml:space="preserve">Cuánto entra en un lugar</t>
  </si>
  <si>
    <t xml:space="preserve">Origen del formato</t>
  </si>
  <si>
    <t xml:space="preserve">Pico reventa (u/día)</t>
  </si>
  <si>
    <t xml:space="preserve">P01</t>
  </si>
  <si>
    <t xml:space="preserve">Hoja LAF 0,9 × 1220 × 2440 mm (cuerpo 1 kg)</t>
  </si>
  <si>
    <t xml:space="preserve">MP-01</t>
  </si>
  <si>
    <t xml:space="preserve">Hierros Parrotta</t>
  </si>
  <si>
    <t xml:space="preserve">hoja</t>
  </si>
  <si>
    <t xml:space="preserve">Paquete de 21 hojas (1 tanda)</t>
  </si>
  <si>
    <t xml:space="preserve">Unidad óptima (hoja Compra_MP): paquete = 1 tanda de corte. Consumo pico = producción con sobrestock (no ventas). Antes: Paquete de 50 hojas</t>
  </si>
  <si>
    <t xml:space="preserve">P02</t>
  </si>
  <si>
    <t xml:space="preserve">Hoja LAF 1,25 × 1220 × 2440 mm</t>
  </si>
  <si>
    <t xml:space="preserve">MP-02</t>
  </si>
  <si>
    <t xml:space="preserve">Pradecon</t>
  </si>
  <si>
    <t xml:space="preserve">Paquete de 19 hojas (1 tanda)</t>
  </si>
  <si>
    <t xml:space="preserve">P03</t>
  </si>
  <si>
    <t xml:space="preserve">Hoja LAF 1,6 × 1000 × 2000 mm</t>
  </si>
  <si>
    <t xml:space="preserve">MP-03</t>
  </si>
  <si>
    <t xml:space="preserve">Paquete de 24 hojas (1 tanda)</t>
  </si>
  <si>
    <t xml:space="preserve">Unidad óptima (hoja Compra_MP): paquete = 1 tanda de corte. Consumo pico = producción con sobrestock (no ventas). Antes: Paquete de 80 hojas</t>
  </si>
  <si>
    <t xml:space="preserve">P04</t>
  </si>
  <si>
    <t xml:space="preserve">Hoja LAF 2,0 × 1500 × 3000 mm</t>
  </si>
  <si>
    <t xml:space="preserve">MP-04</t>
  </si>
  <si>
    <t xml:space="preserve">Unidad óptima (hoja Compra_MP): paquete = 1 tanda de corte. Consumo pico = producción con sobrestock (no ventas). Antes: Paquete de 20 hojas</t>
  </si>
  <si>
    <t xml:space="preserve">P05</t>
  </si>
  <si>
    <t xml:space="preserve">Fleje LAF 0,9 × 93,05 mm (cúpula 1 kg)</t>
  </si>
  <si>
    <t xml:space="preserve">MP-05</t>
  </si>
  <si>
    <t xml:space="preserve">kg</t>
  </si>
  <si>
    <t xml:space="preserve">Rollo de 218 kg (1 tanda)</t>
  </si>
  <si>
    <t xml:space="preserve">Unidad óptima (hoja Compra_MP): rollo = 1 tanda de la matriz. Consumo pico = producción con sobrestock (no ventas). Antes: Rollo de 1.900 kg</t>
  </si>
  <si>
    <t xml:space="preserve">P06</t>
  </si>
  <si>
    <t xml:space="preserve">Fleje LAF 0,9 × 100,6 mm (fondo 1 kg)</t>
  </si>
  <si>
    <t xml:space="preserve">MP-13</t>
  </si>
  <si>
    <t xml:space="preserve">Rollo de 252 kg (1 tanda)</t>
  </si>
  <si>
    <t xml:space="preserve">DECISIÓN DEL GRUPO: fondo del 1 kg pasa de 1,25 a 0,9 mm (mismo espesor que la cúpula). Consumo del año = MRP × 0.72 (el disco tiene el mismo diámetro; el peso del fleje cambia con el espesor). Hay que actualizar BOM, MRP y plano. Unidad óptima (hoja Compra_MP): rollo = 1 tanda de la matriz. Consumo pico = producción con sobrestock (no ventas). Antes: Rollo de 1.900 kg</t>
  </si>
  <si>
    <t xml:space="preserve">P07</t>
  </si>
  <si>
    <t xml:space="preserve">Fleje LAF 1,25 × 162,1 mm (cúpula 2,5 kg)</t>
  </si>
  <si>
    <t xml:space="preserve">MP-06</t>
  </si>
  <si>
    <t xml:space="preserve">Pacheco Chapas</t>
  </si>
  <si>
    <t xml:space="preserve">Rollo de 258 kg (1 tanda)</t>
  </si>
  <si>
    <t xml:space="preserve">Unidad óptima (hoja Compra_MP): rollo = 1 tanda de la matriz. Consumo pico = producción con sobrestock (no ventas). Antes: Rollo de 492 kg</t>
  </si>
  <si>
    <t xml:space="preserve">P08</t>
  </si>
  <si>
    <t xml:space="preserve">Fleje LAF 1,25 × 146,1 mm (fondo 2,5 kg)</t>
  </si>
  <si>
    <t xml:space="preserve">MP-14</t>
  </si>
  <si>
    <t xml:space="preserve">Rollo de 209 kg (1 tanda)</t>
  </si>
  <si>
    <t xml:space="preserve">P09</t>
  </si>
  <si>
    <t xml:space="preserve">Fleje LAF 1,6 × 204,2 mm (cúpula 5 kg)</t>
  </si>
  <si>
    <t xml:space="preserve">MP-07</t>
  </si>
  <si>
    <t xml:space="preserve">Rollo de 1181 kg (1 tanda)</t>
  </si>
  <si>
    <t xml:space="preserve">Unidad óptima (hoja Compra_MP): rollo = 1 tanda de la matriz. Consumo pico = producción con sobrestock (no ventas). Antes: Rollo de 615 kg</t>
  </si>
  <si>
    <t xml:space="preserve">P10</t>
  </si>
  <si>
    <t xml:space="preserve">Fleje LAF 1,6 × 177,2 mm (fondo 5 kg)</t>
  </si>
  <si>
    <t xml:space="preserve">MP-08</t>
  </si>
  <si>
    <t xml:space="preserve">Rollo de 886 kg (1 tanda)</t>
  </si>
  <si>
    <t xml:space="preserve">P11</t>
  </si>
  <si>
    <t xml:space="preserve">Fleje LAF 2,0 × 238,7 mm (cúpula 10 kg)</t>
  </si>
  <si>
    <t xml:space="preserve">MP-09</t>
  </si>
  <si>
    <t xml:space="preserve">Rollo de 245 kg (1 tanda)</t>
  </si>
  <si>
    <t xml:space="preserve">DECISIÓN DEL GRUPO: cúpula del 10 kg pasa de 1,6 a 2,0 mm (mismo espesor que el fondo). Consumo del año = MRP × 1.25 (el disco tiene el mismo diámetro; el peso del fleje cambia con el espesor). Hay que actualizar BOM, MRP y plano. Unidad óptima (hoja Compra_MP): rollo = 1 tanda de la matriz. Consumo pico = producción con sobrestock (no ventas). Antes: Rollo de 590 kg</t>
  </si>
  <si>
    <t xml:space="preserve">P12</t>
  </si>
  <si>
    <t xml:space="preserve">Fleje LAF 2,0 × 205 mm (fondo 10 kg)</t>
  </si>
  <si>
    <t xml:space="preserve">MP-10</t>
  </si>
  <si>
    <t xml:space="preserve">Rollo de 179 kg (1 tanda)</t>
  </si>
  <si>
    <t xml:space="preserve">Unidad óptima (hoja Compra_MP): rollo = 1 tanda de la matriz. Consumo pico = producción con sobrestock (no ventas). Antes: Rollo de 498 kg</t>
  </si>
  <si>
    <t xml:space="preserve">P13</t>
  </si>
  <si>
    <t xml:space="preserve">Hoja LAC 3,2 × 1500 × 3000 mm</t>
  </si>
  <si>
    <t xml:space="preserve">MP-11</t>
  </si>
  <si>
    <t xml:space="preserve">Paquete de 7 hojas (1 tanda)</t>
  </si>
  <si>
    <t xml:space="preserve">P14</t>
  </si>
  <si>
    <t xml:space="preserve">Hoja LAC 4,75 × 1500 × 3000 mm</t>
  </si>
  <si>
    <t xml:space="preserve">MP-12</t>
  </si>
  <si>
    <t xml:space="preserve">Paquete de 3 hojas (1 tanda)</t>
  </si>
  <si>
    <t xml:space="preserve">Unidad óptima (hoja Compra_MP): paquete = 1 tanda de corte. Consumo pico = producción con sobrestock (no ventas). Antes: Paquete de 15 hojas</t>
  </si>
  <si>
    <t xml:space="preserve">P15</t>
  </si>
  <si>
    <t xml:space="preserve">Casquete 10" × 3,2 mm (carro 25 kg)</t>
  </si>
  <si>
    <t xml:space="preserve">MP-15</t>
  </si>
  <si>
    <t xml:space="preserve">NOVA Ruedas</t>
  </si>
  <si>
    <t xml:space="preserve">u</t>
  </si>
  <si>
    <t xml:space="preserve">Como Fadesa: compra nacional, llega en contenedores, demora ≈ 40 días y se pide según la demanda. Contenedor dimensionado en la hoja Casquetes. Antes: importado (China), pallet de 400/300/150 u, contenedor de 20' cada 50 días.</t>
  </si>
  <si>
    <t xml:space="preserve">P16</t>
  </si>
  <si>
    <t xml:space="preserve">Casquete 12" × 3,2 mm (carro 50 kg)</t>
  </si>
  <si>
    <t xml:space="preserve">MP-16</t>
  </si>
  <si>
    <t xml:space="preserve">P17</t>
  </si>
  <si>
    <t xml:space="preserve">Casquete 15" × 4,75 mm (carros 70 y 100 kg)</t>
  </si>
  <si>
    <t xml:space="preserve">MP-17</t>
  </si>
  <si>
    <t xml:space="preserve">P18</t>
  </si>
  <si>
    <t xml:space="preserve">Asiento de válvula M22 × 1,5 (1 kg)</t>
  </si>
  <si>
    <t xml:space="preserve">MP-18</t>
  </si>
  <si>
    <t xml:space="preserve">Eli-Met</t>
  </si>
  <si>
    <t xml:space="preserve">Caja de 500 u (≈ 16 kg, un turno)</t>
  </si>
  <si>
    <t xml:space="preserve">La caja de 1.000 pesa ≈ 31 kg (más de 25 kg para una persona). La de 500 pesa ≈ 16 kg y es lo que usa un turno (≈ 456 u). Llegan en pallet de cajas. Antes (MRP): Caja de 1.000 u, cada 20 días.</t>
  </si>
  <si>
    <t xml:space="preserve">P19</t>
  </si>
  <si>
    <t xml:space="preserve">Asiento de válvula M30 × 1,5 (2,5 a 10 kg)</t>
  </si>
  <si>
    <t xml:space="preserve">MP-19</t>
  </si>
  <si>
    <t xml:space="preserve">Caja de 500 u (≈ 15 kg)</t>
  </si>
  <si>
    <t xml:space="preserve">Misma caja que el M22, para que Eli-Met mande un solo formato. Antes (MRP): Caja de 1.000 u, cada 20 días.</t>
  </si>
  <si>
    <t xml:space="preserve">P20</t>
  </si>
  <si>
    <t xml:space="preserve">Cupla M30 × 1,5 (carros 25 y 50 kg)</t>
  </si>
  <si>
    <t xml:space="preserve">MP-20</t>
  </si>
  <si>
    <t xml:space="preserve">Caja de 100 u (25 kg)</t>
  </si>
  <si>
    <t xml:space="preserve">Caja del Word (25 kg, una persona). Va en el pedido mensual de Eli-Met junto con los asientos. Antes (MRP): Caja de 100 u, cada 40 días.</t>
  </si>
  <si>
    <t xml:space="preserve">P21</t>
  </si>
  <si>
    <t xml:space="preserve">Cupla 2½" BSP (carros 70 y 100 kg)</t>
  </si>
  <si>
    <t xml:space="preserve">MP-21</t>
  </si>
  <si>
    <t xml:space="preserve">Caja de 40 u (24 kg)</t>
  </si>
  <si>
    <t xml:space="preserve">Caja del Word. Va en el pedido mensual de Eli-Met. Antes (MRP): Caja de 40 u, cada 40 días.</t>
  </si>
  <si>
    <t xml:space="preserve">P22</t>
  </si>
  <si>
    <t xml:space="preserve">Caño SAE 1010 1" × 2,0 × 6 m (manija; caño del eje 25 kg)</t>
  </si>
  <si>
    <t xml:space="preserve">MP-66</t>
  </si>
  <si>
    <t xml:space="preserve">Centrosider</t>
  </si>
  <si>
    <t xml:space="preserve">barra</t>
  </si>
  <si>
    <t xml:space="preserve">Barra de 6 m (un atado por pedido)</t>
  </si>
  <si>
    <t xml:space="preserve">Se compra por barra entera. Cada 20 días alcanza (el proveedor entrega en 5): baja el stock y libera cantilever. Antes (MRP): Barra de 6 m, cada 60 días.</t>
  </si>
  <si>
    <t xml:space="preserve">P23</t>
  </si>
  <si>
    <t xml:space="preserve">Caño SAE 1010 1¼" × 2,0 × 6 m (caño del eje 50 a 100 kg)</t>
  </si>
  <si>
    <t xml:space="preserve">MP-67</t>
  </si>
  <si>
    <t xml:space="preserve">Ídem MP-66, mismo pedido a Centrosider. Antes (MRP): Barra de 6 m, cada 60 días.</t>
  </si>
  <si>
    <t xml:space="preserve">P24</t>
  </si>
  <si>
    <t xml:space="preserve">Barra trefilada SAE 1045 3/4" × 4 m (eje 25 kg)</t>
  </si>
  <si>
    <t xml:space="preserve">MP-68</t>
  </si>
  <si>
    <t xml:space="preserve">Vladimirsky</t>
  </si>
  <si>
    <t xml:space="preserve">Barra de 4 m</t>
  </si>
  <si>
    <t xml:space="preserve">Ídem, pedido mensual a Vladimirsky. Antes (MRP): Barra de 4 m, cada 60 días.</t>
  </si>
  <si>
    <t xml:space="preserve">P25</t>
  </si>
  <si>
    <t xml:space="preserve">Barra trefilada SAE 1045 1" × 6 m (eje 50 a 100 kg)</t>
  </si>
  <si>
    <t xml:space="preserve">MP-69</t>
  </si>
  <si>
    <t xml:space="preserve">Barra de 6 m</t>
  </si>
  <si>
    <t xml:space="preserve">Ídem, pedido mensual a Vladimirsky. Antes (MRP): Barra de 6 m, cada 60 días.</t>
  </si>
  <si>
    <t xml:space="preserve">P26</t>
  </si>
  <si>
    <t xml:space="preserve">Arandela de tope del eje</t>
  </si>
  <si>
    <t xml:space="preserve">MP-70</t>
  </si>
  <si>
    <t xml:space="preserve">Würth Argentina</t>
  </si>
  <si>
    <t xml:space="preserve">Bolsa de 1.000 u</t>
  </si>
  <si>
    <t xml:space="preserve">Se mantiene: una bolsa dura ≈ 30 días.</t>
  </si>
  <si>
    <t xml:space="preserve">P27</t>
  </si>
  <si>
    <t xml:space="preserve">Pasador partido del eje</t>
  </si>
  <si>
    <t xml:space="preserve">MP-71</t>
  </si>
  <si>
    <t xml:space="preserve">Se mantiene: es chica y barata, dura ≈ 60 días.</t>
  </si>
  <si>
    <t xml:space="preserve">P28</t>
  </si>
  <si>
    <t xml:space="preserve">Rueda Ø300 × 50, buje 3/4" (carro 25 kg)</t>
  </si>
  <si>
    <t xml:space="preserve">MP-54/300</t>
  </si>
  <si>
    <t xml:space="preserve">Ruedar</t>
  </si>
  <si>
    <t xml:space="preserve">Pallet de 72 u</t>
  </si>
  <si>
    <t xml:space="preserve">Se mantiene el pallet del proveedor (dura ≈ 17 días).</t>
  </si>
  <si>
    <t xml:space="preserve">P29</t>
  </si>
  <si>
    <t xml:space="preserve">Rueda Ø350 × 60, buje 1" (carro 50 kg)</t>
  </si>
  <si>
    <t xml:space="preserve">MP-54/350</t>
  </si>
  <si>
    <t xml:space="preserve">Se mantiene el pallet del proveedor (dura ≈ 8 días).</t>
  </si>
  <si>
    <t xml:space="preserve">P30</t>
  </si>
  <si>
    <t xml:space="preserve">Rueda Ø400 × 60, buje 1" (carros 70 y 100 kg)</t>
  </si>
  <si>
    <t xml:space="preserve">MP-54/400</t>
  </si>
  <si>
    <t xml:space="preserve">Escanort</t>
  </si>
  <si>
    <t xml:space="preserve">Se mantiene el pallet del proveedor (dura ≈ 22 días).</t>
  </si>
  <si>
    <t xml:space="preserve">P31</t>
  </si>
  <si>
    <t xml:space="preserve">Alambre MAG ER70S-6 Ø0,9 mm (manuales)</t>
  </si>
  <si>
    <t xml:space="preserve">MP-23</t>
  </si>
  <si>
    <t xml:space="preserve">Soldanet</t>
  </si>
  <si>
    <t xml:space="preserve">Pallet de 60 bobinas de 15 kg (900 kg)</t>
  </si>
  <si>
    <t xml:space="preserve">La bobina de 15 kg es la que se monta en la soldadora; el pallet completo dura ≈ 25 días y sale más barato por kg. Antes (MRP): Pallet de 900 kg, cada 20 días.</t>
  </si>
  <si>
    <t xml:space="preserve">P32</t>
  </si>
  <si>
    <t xml:space="preserve">Alambre MAG ER70S-6 Ø1,0 mm (carros)</t>
  </si>
  <si>
    <t xml:space="preserve">MP-24</t>
  </si>
  <si>
    <t xml:space="preserve">Bobina de 15 kg</t>
  </si>
  <si>
    <t xml:space="preserve">Carros usa ≈ 6 kg/día: un pallet de 900 kg duraría 140 días. Se piden bobinas sueltas en el mismo pedido de Soldanet que el MP-23. Antes (MRP): Pallet de 900 kg, cada 40 días.</t>
  </si>
  <si>
    <t xml:space="preserve">P33</t>
  </si>
  <si>
    <t xml:space="preserve">Gas MAG Ar + 8 % CO₂ (Arcal 21)</t>
  </si>
  <si>
    <t xml:space="preserve">MP-25</t>
  </si>
  <si>
    <t xml:space="preserve">Air Liquide</t>
  </si>
  <si>
    <t xml:space="preserve">m³</t>
  </si>
  <si>
    <t xml:space="preserve">Batería de 11 cilindros con manifold (115,5 m³)</t>
  </si>
  <si>
    <t xml:space="preserve">Se mantiene. Air Liquide pasa una vez por semana con todos los gases; la batería dura ≈ 3 días. Antes (MRP): Batería de 11 cilindros, cada 5 días.</t>
  </si>
  <si>
    <t xml:space="preserve">P34</t>
  </si>
  <si>
    <t xml:space="preserve">Argón puro EN ISO 14175 I1 (costura longitudinal TIG del 1 kg)</t>
  </si>
  <si>
    <t xml:space="preserve">MP-26</t>
  </si>
  <si>
    <t xml:space="preserve">Cilindro de 10,5 m³</t>
  </si>
  <si>
    <t xml:space="preserve">Se mantiene; visita semanal de Air Liquide.</t>
  </si>
  <si>
    <t xml:space="preserve">P35</t>
  </si>
  <si>
    <t xml:space="preserve">Electrodo de tungsteno lantanado 2 % (WL20) Ø2,4 × 175 mm</t>
  </si>
  <si>
    <t xml:space="preserve">MP-29</t>
  </si>
  <si>
    <t xml:space="preserve">Caja de 10 u</t>
  </si>
  <si>
    <t xml:space="preserve">Se mantiene.</t>
  </si>
  <si>
    <t xml:space="preserve">P36</t>
  </si>
  <si>
    <t xml:space="preserve">Disco de sensitiva 355 mm</t>
  </si>
  <si>
    <t xml:space="preserve">MP-92</t>
  </si>
  <si>
    <t xml:space="preserve">Se usan 27 por año: la caja de 25 dura casi un año. Se revisa cada 60 días. Antes (MRP): Caja de 25 u, cada 20 días.</t>
  </si>
  <si>
    <t xml:space="preserve">P37</t>
  </si>
  <si>
    <t xml:space="preserve">Disco de corte 115 × 1,0 mm</t>
  </si>
  <si>
    <t xml:space="preserve">MP-27</t>
  </si>
  <si>
    <t xml:space="preserve">Espacio Industria</t>
  </si>
  <si>
    <t xml:space="preserve">Caja de 25 u</t>
  </si>
  <si>
    <t xml:space="preserve">Se mantiene la caja (dura ≈ 60 días); se revisa cada 60 días. Antes (MRP): Caja de 25 u, cada 20 días.</t>
  </si>
  <si>
    <t xml:space="preserve">P38</t>
  </si>
  <si>
    <t xml:space="preserve">Disco flap 115 mm grano 60</t>
  </si>
  <si>
    <t xml:space="preserve">MP-93</t>
  </si>
  <si>
    <t xml:space="preserve">Se usan 23 por año: caja de 10 en vez de 25. Antes (MRP): Caja de 25 u, cada 20 días.</t>
  </si>
  <si>
    <t xml:space="preserve">P39</t>
  </si>
  <si>
    <t xml:space="preserve">Mecha de acero rápido 4,5 mm</t>
  </si>
  <si>
    <t xml:space="preserve">MP-94</t>
  </si>
  <si>
    <t xml:space="preserve">Se usan 18 por año: caja de 10 en vez de 25. Antes (MRP): Caja de 25 u, cada 20 días.</t>
  </si>
  <si>
    <t xml:space="preserve">P40</t>
  </si>
  <si>
    <t xml:space="preserve">Spray antiproyecciones 400 ml</t>
  </si>
  <si>
    <t xml:space="preserve">MP-95</t>
  </si>
  <si>
    <t xml:space="preserve">Unidad (aerosol de 400 ml)</t>
  </si>
  <si>
    <t xml:space="preserve">Se usan 8 por año: se compra suelto (la caja de 25 son 3 años). Antes (MRP): Caja de 25 u, cada 20 días.</t>
  </si>
  <si>
    <t xml:space="preserve">P41</t>
  </si>
  <si>
    <t xml:space="preserve">Granalla de acero S330 / S390</t>
  </si>
  <si>
    <t xml:space="preserve">MP-28</t>
  </si>
  <si>
    <t xml:space="preserve">CyM Materiales</t>
  </si>
  <si>
    <t xml:space="preserve">Pallet de 1.000 kg (40 bolsas de 25 kg)</t>
  </si>
  <si>
    <t xml:space="preserve">Se mantiene el pallet, pero se pide cada 20 días (antes 60): el proveedor entrega en 1 día, no hace falta guardar 8 t. Antes (MRP): Pallet de 1.000 kg, cada 60 días.</t>
  </si>
  <si>
    <t xml:space="preserve">P42</t>
  </si>
  <si>
    <t xml:space="preserve">Pintura en polvo poliéster rojo 03-1-050</t>
  </si>
  <si>
    <t xml:space="preserve">MP-31</t>
  </si>
  <si>
    <t xml:space="preserve">Sinteplast</t>
  </si>
  <si>
    <t xml:space="preserve">Caja de 25 kg</t>
  </si>
  <si>
    <t xml:space="preserve">La pintura en polvo viene en cajas de 20-25 kg; el pallet de 600 kg dura 37 días. Cajas sueltas cada 20 días. Antes (MRP): Pallet de 600 kg, cada 20 días.</t>
  </si>
  <si>
    <t xml:space="preserve">P43</t>
  </si>
  <si>
    <t xml:space="preserve">Polvo ABC 60 (manuales y sus recargas)</t>
  </si>
  <si>
    <t xml:space="preserve">MP-33</t>
  </si>
  <si>
    <t xml:space="preserve">DEMSA</t>
  </si>
  <si>
    <t xml:space="preserve">Big bag de 1.000 kg</t>
  </si>
  <si>
    <t xml:space="preserve">Manuales y recargas</t>
  </si>
  <si>
    <t xml:space="preserve">Se mantiene: el big bag se cuelga directo en la estación de descarga (Word). Entrega semanal.</t>
  </si>
  <si>
    <t xml:space="preserve">P44</t>
  </si>
  <si>
    <t xml:space="preserve">Polvo ABC 90 (carros y sus recargas)</t>
  </si>
  <si>
    <t xml:space="preserve">MP-33B</t>
  </si>
  <si>
    <t xml:space="preserve">Carros y recargas</t>
  </si>
  <si>
    <t xml:space="preserve">Se mantiene; va en la misma entrega semanal.</t>
  </si>
  <si>
    <t xml:space="preserve">P45</t>
  </si>
  <si>
    <t xml:space="preserve">Nitrógeno seco</t>
  </si>
  <si>
    <t xml:space="preserve">MP-34</t>
  </si>
  <si>
    <t xml:space="preserve">Pack de 12 cilindros con manifold (110 m³)</t>
  </si>
  <si>
    <t xml:space="preserve">Se mantiene el pack; pasa a la visita semanal de Air Liquide (antes cada 10 días). Antes (MRP): Pack de 12 cilindros, cada 10 días.</t>
  </si>
  <si>
    <t xml:space="preserve">P46</t>
  </si>
  <si>
    <t xml:space="preserve">Polvo BC (recargas)</t>
  </si>
  <si>
    <t xml:space="preserve">MP-35</t>
  </si>
  <si>
    <t xml:space="preserve">Polvex</t>
  </si>
  <si>
    <t xml:space="preserve">Bolsa de 25 kg</t>
  </si>
  <si>
    <t xml:space="preserve">Se mantiene la bolsa; pedido mensual (antes cada 60 días). Antes (MRP): Bolsa de 25 kg, cada 60 días.</t>
  </si>
  <si>
    <t xml:space="preserve">P47</t>
  </si>
  <si>
    <t xml:space="preserve">Polvo clase D (recargas)</t>
  </si>
  <si>
    <t xml:space="preserve">MP-36</t>
  </si>
  <si>
    <t xml:space="preserve">Antes cada 120 días (24 bolsas): ahora cada 20, en la entrega semanal de polvo cuando toca. Antes (MRP): Bolsa de 25 kg, cada 120 días.</t>
  </si>
  <si>
    <t xml:space="preserve">P48</t>
  </si>
  <si>
    <t xml:space="preserve">CO₂ líquido (recargas)</t>
  </si>
  <si>
    <t xml:space="preserve">MP-37</t>
  </si>
  <si>
    <t xml:space="preserve">Cilindro de 25 kg</t>
  </si>
  <si>
    <t xml:space="preserve">Visita semanal de Air Liquide (antes cada 10 días). Antes (MRP): Cilindro de 25 kg, cada 10 días.</t>
  </si>
  <si>
    <t xml:space="preserve">P49</t>
  </si>
  <si>
    <t xml:space="preserve">Agente limpio HCFC-123 (recargas)</t>
  </si>
  <si>
    <t xml:space="preserve">MP-38</t>
  </si>
  <si>
    <t xml:space="preserve">Polvex / DEMSA</t>
  </si>
  <si>
    <t xml:space="preserve">Cilindro de 50 kg</t>
  </si>
  <si>
    <t xml:space="preserve">Se mantiene el cilindro (dura ≈ 50 días); se revisa en el pedido mensual y se pide solo cuando hace falta. Antes (MRP): Cilindro de 50 kg, cada 60 días.</t>
  </si>
  <si>
    <t xml:space="preserve">P50</t>
  </si>
  <si>
    <t xml:space="preserve">Concentrado AFFF 3 % (recargas)</t>
  </si>
  <si>
    <t xml:space="preserve">MP-40</t>
  </si>
  <si>
    <t xml:space="preserve">L</t>
  </si>
  <si>
    <t xml:space="preserve">Bidón de 20 L</t>
  </si>
  <si>
    <t xml:space="preserve">Se mantiene el bidón; cada 20 días (antes 60). Antes (MRP): Bidón de 20 L, cada 60 días.</t>
  </si>
  <si>
    <t xml:space="preserve">P51</t>
  </si>
  <si>
    <t xml:space="preserve">Acetato de potasio Gastro K (recargas)</t>
  </si>
  <si>
    <t xml:space="preserve">MP-41</t>
  </si>
  <si>
    <t xml:space="preserve">Tambor de 200 L (4 por pallet)</t>
  </si>
  <si>
    <t xml:space="preserve">Se usan ≈ 37 L/día: un bidón de 20 L dura medio día. El tambor de 200 L con bomba de trasvase dura ≈ 5 días. Antes (MRP): Bidón de 20 L, cada 20 días.</t>
  </si>
  <si>
    <t xml:space="preserve">P52</t>
  </si>
  <si>
    <t xml:space="preserve">Válvula HZ M-22 con tubo de pesca (1 kg)</t>
  </si>
  <si>
    <t xml:space="preserve">MP-42</t>
  </si>
  <si>
    <t xml:space="preserve">Polvex (HZ)</t>
  </si>
  <si>
    <t xml:space="preserve">Pallet de 3.000 u</t>
  </si>
  <si>
    <t xml:space="preserve">Se mantiene (dura ≈ 21 días).</t>
  </si>
  <si>
    <t xml:space="preserve">P53</t>
  </si>
  <si>
    <t xml:space="preserve">Válvula HZ M-30 con resorte, sin tubo pescante (2,5 a 10 kg)</t>
  </si>
  <si>
    <t xml:space="preserve">MP-43</t>
  </si>
  <si>
    <t xml:space="preserve">Pallet de 1.500 u</t>
  </si>
  <si>
    <t xml:space="preserve">Se mantiene (dura ≈ 8 días).</t>
  </si>
  <si>
    <t xml:space="preserve">P54</t>
  </si>
  <si>
    <t xml:space="preserve">Válvula HZ de carro 25 kg, sin tubo pescante</t>
  </si>
  <si>
    <t xml:space="preserve">MP-44/25</t>
  </si>
  <si>
    <t xml:space="preserve">P55</t>
  </si>
  <si>
    <t xml:space="preserve">Válvula HZ de carro 50-70-100 kg, sin tubo pescante</t>
  </si>
  <si>
    <t xml:space="preserve">MP-44/50</t>
  </si>
  <si>
    <t xml:space="preserve">P56</t>
  </si>
  <si>
    <t xml:space="preserve">Manómetro 1,4 MPa</t>
  </si>
  <si>
    <t xml:space="preserve">MP-45</t>
  </si>
  <si>
    <t xml:space="preserve">Yukon</t>
  </si>
  <si>
    <t xml:space="preserve">Caja de 100 u</t>
  </si>
  <si>
    <t xml:space="preserve">Se mantiene (incluye los de carros).</t>
  </si>
  <si>
    <t xml:space="preserve">P57</t>
  </si>
  <si>
    <t xml:space="preserve">Tubo pescante de PVC rígido, ABC 2,5 kg</t>
  </si>
  <si>
    <t xml:space="preserve">MP-46/ABC2.5</t>
  </si>
  <si>
    <t xml:space="preserve">Alt. 1 Esinex (Billinghurst) / Alt. 2 Securitá</t>
  </si>
  <si>
    <t xml:space="preserve">Caja de 200 u</t>
  </si>
  <si>
    <t xml:space="preserve">P58</t>
  </si>
  <si>
    <t xml:space="preserve">Tubo pescante de PVC rígido, ABC 5 kg</t>
  </si>
  <si>
    <t xml:space="preserve">MP-46/ABC5</t>
  </si>
  <si>
    <t xml:space="preserve">P59</t>
  </si>
  <si>
    <t xml:space="preserve">Tubo pescante de PVC rígido, ABC 10 kg</t>
  </si>
  <si>
    <t xml:space="preserve">MP-46/ABC10</t>
  </si>
  <si>
    <t xml:space="preserve">Se mantiene (dura ≈ 25 días).</t>
  </si>
  <si>
    <t xml:space="preserve">P60</t>
  </si>
  <si>
    <t xml:space="preserve">Tubo pescante de acero SAE 1010, carro 25 kg</t>
  </si>
  <si>
    <t xml:space="preserve">MP-47/ABC25</t>
  </si>
  <si>
    <t xml:space="preserve">Alt. 1 Mozart (V. Alsina) / Alt. 2 Georgia (CABA)</t>
  </si>
  <si>
    <t xml:space="preserve">Caja de 20 u</t>
  </si>
  <si>
    <t xml:space="preserve">P61</t>
  </si>
  <si>
    <t xml:space="preserve">Tubo pescante de acero SAE 1010, carro 50 kg</t>
  </si>
  <si>
    <t xml:space="preserve">MP-47/ABC50</t>
  </si>
  <si>
    <t xml:space="preserve">P62</t>
  </si>
  <si>
    <t xml:space="preserve">Tubo pescante de acero SAE 1010, carro 70 kg</t>
  </si>
  <si>
    <t xml:space="preserve">MP-47/ABC70</t>
  </si>
  <si>
    <t xml:space="preserve">P63</t>
  </si>
  <si>
    <t xml:space="preserve">Tubo pescante de acero SAE 1010, carro 100 kg</t>
  </si>
  <si>
    <t xml:space="preserve">MP-47/ABC100</t>
  </si>
  <si>
    <t xml:space="preserve">P64</t>
  </si>
  <si>
    <t xml:space="preserve">Tobera ABC 1 kg</t>
  </si>
  <si>
    <t xml:space="preserve">MP-48/ABC1</t>
  </si>
  <si>
    <t xml:space="preserve">Caja de 50 u</t>
  </si>
  <si>
    <t xml:space="preserve">P65</t>
  </si>
  <si>
    <t xml:space="preserve">Manguera con tobera ABC 2,5 kg</t>
  </si>
  <si>
    <t xml:space="preserve">MP-48/ABC2.5</t>
  </si>
  <si>
    <t xml:space="preserve">P66</t>
  </si>
  <si>
    <t xml:space="preserve">Manguera con tobera ABC 5 kg</t>
  </si>
  <si>
    <t xml:space="preserve">MP-48/ABC5</t>
  </si>
  <si>
    <t xml:space="preserve">P67</t>
  </si>
  <si>
    <t xml:space="preserve">Manguera con tobera ABC 10 kg</t>
  </si>
  <si>
    <t xml:space="preserve">MP-48/ABC10</t>
  </si>
  <si>
    <t xml:space="preserve">P68</t>
  </si>
  <si>
    <t xml:space="preserve">Manguera con válvula esférica y tobera, carro 25 kg</t>
  </si>
  <si>
    <t xml:space="preserve">MP-49/ABC25</t>
  </si>
  <si>
    <t xml:space="preserve">P69</t>
  </si>
  <si>
    <t xml:space="preserve">Manguera con válvula esférica y tobera, carro 50 kg</t>
  </si>
  <si>
    <t xml:space="preserve">MP-49/ABC50</t>
  </si>
  <si>
    <t xml:space="preserve">P70</t>
  </si>
  <si>
    <t xml:space="preserve">Manguera con válvula esférica y tobera, carro 70 kg</t>
  </si>
  <si>
    <t xml:space="preserve">MP-49/ABC70</t>
  </si>
  <si>
    <t xml:space="preserve">P71</t>
  </si>
  <si>
    <t xml:space="preserve">Manguera con válvula esférica y tobera, carro 100 kg</t>
  </si>
  <si>
    <t xml:space="preserve">MP-49/ABC100</t>
  </si>
  <si>
    <t xml:space="preserve">P72</t>
  </si>
  <si>
    <t xml:space="preserve">Junta tórica del cuello M22</t>
  </si>
  <si>
    <t xml:space="preserve">MP-50/M22</t>
  </si>
  <si>
    <t xml:space="preserve">Argensold</t>
  </si>
  <si>
    <t xml:space="preserve">P73</t>
  </si>
  <si>
    <t xml:space="preserve">Junta tórica del cuello M30</t>
  </si>
  <si>
    <t xml:space="preserve">MP-50/M30</t>
  </si>
  <si>
    <t xml:space="preserve">P74</t>
  </si>
  <si>
    <t xml:space="preserve">Junta tórica del cuello 2½"</t>
  </si>
  <si>
    <t xml:space="preserve">MP-50/2½</t>
  </si>
  <si>
    <t xml:space="preserve">Bolsa de 100 u</t>
  </si>
  <si>
    <t xml:space="preserve">Se usan 363 por año: la bolsa de 1.000 duraría casi 3 años y la goma envejece. Antes (MRP): Bolsa de 1.000 u, cada 20 días.</t>
  </si>
  <si>
    <t xml:space="preserve">P75</t>
  </si>
  <si>
    <t xml:space="preserve">Junta tórica del cuello (recargas, surtido por medida)</t>
  </si>
  <si>
    <t xml:space="preserve">MP-50/OT</t>
  </si>
  <si>
    <t xml:space="preserve">Bolsa de 1.000 u (surtido por medida)</t>
  </si>
  <si>
    <t xml:space="preserve">P76</t>
  </si>
  <si>
    <t xml:space="preserve">Soporte de pared ABC 2,5 kg</t>
  </si>
  <si>
    <t xml:space="preserve">MP-52/ABC2.5</t>
  </si>
  <si>
    <t xml:space="preserve">Matafuegos Aconcagua (J. C. Paz)</t>
  </si>
  <si>
    <t xml:space="preserve">P77</t>
  </si>
  <si>
    <t xml:space="preserve">Soporte de pared ABC 5 kg</t>
  </si>
  <si>
    <t xml:space="preserve">MP-52/ABC5</t>
  </si>
  <si>
    <t xml:space="preserve">P78</t>
  </si>
  <si>
    <t xml:space="preserve">Soporte de pared ABC 10 kg</t>
  </si>
  <si>
    <t xml:space="preserve">MP-52/ABC10</t>
  </si>
  <si>
    <t xml:space="preserve">P79</t>
  </si>
  <si>
    <t xml:space="preserve">Soporte vehicular (1 kg)</t>
  </si>
  <si>
    <t xml:space="preserve">MP-87</t>
  </si>
  <si>
    <t xml:space="preserve">P80</t>
  </si>
  <si>
    <t xml:space="preserve">Tornillo y tarugo de fijación</t>
  </si>
  <si>
    <t xml:space="preserve">MP-86</t>
  </si>
  <si>
    <t xml:space="preserve">P81</t>
  </si>
  <si>
    <t xml:space="preserve">Conjunto de seguridad de CO₂ (recargas)</t>
  </si>
  <si>
    <t xml:space="preserve">MP-55</t>
  </si>
  <si>
    <t xml:space="preserve">Georgia</t>
  </si>
  <si>
    <t xml:space="preserve">Cada 20 días (antes 60). Antes (MRP): Bolsa de 100 u, cada 60 días.</t>
  </si>
  <si>
    <t xml:space="preserve">P82</t>
  </si>
  <si>
    <t xml:space="preserve">Etiqueta de características ABC 1 kg</t>
  </si>
  <si>
    <t xml:space="preserve">MP-56/ABC1</t>
  </si>
  <si>
    <t xml:space="preserve">Rotolan (Lanús)</t>
  </si>
  <si>
    <t xml:space="preserve">Rollo de 1.000 u</t>
  </si>
  <si>
    <t xml:space="preserve">P83</t>
  </si>
  <si>
    <t xml:space="preserve">Etiqueta de características ABC 2,5 kg</t>
  </si>
  <si>
    <t xml:space="preserve">MP-56/ABC2.5</t>
  </si>
  <si>
    <t xml:space="preserve">P84</t>
  </si>
  <si>
    <t xml:space="preserve">Etiqueta de características ABC 5 kg</t>
  </si>
  <si>
    <t xml:space="preserve">MP-56/ABC5</t>
  </si>
  <si>
    <t xml:space="preserve">P85</t>
  </si>
  <si>
    <t xml:space="preserve">Etiqueta de características ABC 10 kg</t>
  </si>
  <si>
    <t xml:space="preserve">MP-56/ABC10</t>
  </si>
  <si>
    <t xml:space="preserve">RotulArte (CABA)</t>
  </si>
  <si>
    <t xml:space="preserve">Se mantiene (dura ≈ 6 meses); se revisa cada 60 días. Antes (MRP): Rollo de 1.000 u, cada 20 días.</t>
  </si>
  <si>
    <t xml:space="preserve">P86</t>
  </si>
  <si>
    <t xml:space="preserve">Etiqueta de características ABC 25 kg</t>
  </si>
  <si>
    <t xml:space="preserve">MP-56/ABC25</t>
  </si>
  <si>
    <t xml:space="preserve">Rollo de 500 u</t>
  </si>
  <si>
    <t xml:space="preserve">Se usan 454 por año: rollo de 500 (≈ 1 año) en vez de 1.000. Antes (MRP): Rollo de 1.000 u, cada 20 días.</t>
  </si>
  <si>
    <t xml:space="preserve">P87</t>
  </si>
  <si>
    <t xml:space="preserve">Etiqueta de características ABC 50 kg</t>
  </si>
  <si>
    <t xml:space="preserve">MP-56/ABC50</t>
  </si>
  <si>
    <t xml:space="preserve">Se mantiene (≈ 1 año). Antes (MRP): Rollo de 1.000 u, cada 20 días.</t>
  </si>
  <si>
    <t xml:space="preserve">P88</t>
  </si>
  <si>
    <t xml:space="preserve">Etiqueta de características ABC 70 kg</t>
  </si>
  <si>
    <t xml:space="preserve">MP-56/ABC70</t>
  </si>
  <si>
    <t xml:space="preserve">Rollo de 250 u</t>
  </si>
  <si>
    <t xml:space="preserve">Se usan 218 por año: el rollo de 1.000 duraría 5 años (el adhesivo y el diseño vencen antes). Antes (MRP): Rollo de 1.000 u, cada 20 días.</t>
  </si>
  <si>
    <t xml:space="preserve">P89</t>
  </si>
  <si>
    <t xml:space="preserve">Etiqueta de características ABC 100 kg</t>
  </si>
  <si>
    <t xml:space="preserve">MP-56/ABC100</t>
  </si>
  <si>
    <t xml:space="preserve">Se usan 145 por año: rollo de 250 en vez de 1.000. Antes (MRP): Rollo de 1.000 u, cada 20 días.</t>
  </si>
  <si>
    <t xml:space="preserve">P90</t>
  </si>
  <si>
    <t xml:space="preserve">Oblea de fabricación (PBA)</t>
  </si>
  <si>
    <t xml:space="preserve">MP-78</t>
  </si>
  <si>
    <t xml:space="preserve">DPS (PBA)</t>
  </si>
  <si>
    <t xml:space="preserve">Paquete de 500 u</t>
  </si>
  <si>
    <t xml:space="preserve">Se mantiene (lo entrega el organismo).</t>
  </si>
  <si>
    <t xml:space="preserve">P91</t>
  </si>
  <si>
    <t xml:space="preserve">Estampilla IRAM de conformidad</t>
  </si>
  <si>
    <t xml:space="preserve">MP-79</t>
  </si>
  <si>
    <t xml:space="preserve">IRAM</t>
  </si>
  <si>
    <t xml:space="preserve">Se mantiene (lo entrega IRAM; plazo de 21 días).</t>
  </si>
  <si>
    <t xml:space="preserve">P92</t>
  </si>
  <si>
    <t xml:space="preserve">Tarjeta de identificación AGC (CABA)</t>
  </si>
  <si>
    <t xml:space="preserve">MP-77</t>
  </si>
  <si>
    <t xml:space="preserve">AGC (CABA)</t>
  </si>
  <si>
    <t xml:space="preserve">P93</t>
  </si>
  <si>
    <t xml:space="preserve">Etiqueta de n° de serie GS1</t>
  </si>
  <si>
    <t xml:space="preserve">MP-80</t>
  </si>
  <si>
    <t xml:space="preserve">P94</t>
  </si>
  <si>
    <t xml:space="preserve">Faja de garantía válvula-cuello</t>
  </si>
  <si>
    <t xml:space="preserve">MP-81</t>
  </si>
  <si>
    <t xml:space="preserve">P95</t>
  </si>
  <si>
    <t xml:space="preserve">Precinto de fábrica</t>
  </si>
  <si>
    <t xml:space="preserve">MP-51</t>
  </si>
  <si>
    <t xml:space="preserve">SonFuertes</t>
  </si>
  <si>
    <t xml:space="preserve">P96</t>
  </si>
  <si>
    <t xml:space="preserve">Etiqueta del cilindro suelto</t>
  </si>
  <si>
    <t xml:space="preserve">MP-88</t>
  </si>
  <si>
    <t xml:space="preserve">P97</t>
  </si>
  <si>
    <t xml:space="preserve">Tapón protector de rosca M22</t>
  </si>
  <si>
    <t xml:space="preserve">MP-62/M22</t>
  </si>
  <si>
    <t xml:space="preserve">ACPLIND (CABA)</t>
  </si>
  <si>
    <t xml:space="preserve">Caja de 5.000 u</t>
  </si>
  <si>
    <t xml:space="preserve">Se mantiene (dura ≈ 7 días).</t>
  </si>
  <si>
    <t xml:space="preserve">P98</t>
  </si>
  <si>
    <t xml:space="preserve">Tapón protector de rosca M30</t>
  </si>
  <si>
    <t xml:space="preserve">MP-62/M30</t>
  </si>
  <si>
    <t xml:space="preserve">Se mantiene (dura ≈ 28 días).</t>
  </si>
  <si>
    <t xml:space="preserve">P99</t>
  </si>
  <si>
    <t xml:space="preserve">Tapón protector de rosca 2½"</t>
  </si>
  <si>
    <t xml:space="preserve">MP-62/2½</t>
  </si>
  <si>
    <t xml:space="preserve">Bolsa de 250 u</t>
  </si>
  <si>
    <t xml:space="preserve">Se usan 259 por año: la caja de 5.000 duraría 19 años. Antes (MRP): Caja de 5.000 u, cada 20 días.</t>
  </si>
  <si>
    <t xml:space="preserve">P100</t>
  </si>
  <si>
    <t xml:space="preserve">Impresos (protocolo de ensayo, remito de préstamo)</t>
  </si>
  <si>
    <t xml:space="preserve">MP-85</t>
  </si>
  <si>
    <t xml:space="preserve">Formas Visuales (Lanús)</t>
  </si>
  <si>
    <t xml:space="preserve">P101</t>
  </si>
  <si>
    <t xml:space="preserve">Marbete del año</t>
  </si>
  <si>
    <t xml:space="preserve">MP-57</t>
  </si>
  <si>
    <t xml:space="preserve">Paquete de 1.000 u</t>
  </si>
  <si>
    <t xml:space="preserve">Se mantiene (un color por año: no conviene comprar de más).</t>
  </si>
  <si>
    <t xml:space="preserve">P102</t>
  </si>
  <si>
    <t xml:space="preserve">Precinto del recargador</t>
  </si>
  <si>
    <t xml:space="preserve">MP-97</t>
  </si>
  <si>
    <t xml:space="preserve">P103</t>
  </si>
  <si>
    <t xml:space="preserve">Etiqueta de servicio</t>
  </si>
  <si>
    <t xml:space="preserve">MP-72</t>
  </si>
  <si>
    <t xml:space="preserve">P104</t>
  </si>
  <si>
    <t xml:space="preserve">Estampilla y oblea de recarga (PBA)</t>
  </si>
  <si>
    <t xml:space="preserve">MP-75</t>
  </si>
  <si>
    <t xml:space="preserve">P105</t>
  </si>
  <si>
    <t xml:space="preserve">Tarjeta de identificación DPS (PBA)</t>
  </si>
  <si>
    <t xml:space="preserve">MP-76</t>
  </si>
  <si>
    <t xml:space="preserve">P106</t>
  </si>
  <si>
    <t xml:space="preserve">Faja amarilla de sustituto</t>
  </si>
  <si>
    <t xml:space="preserve">MP-82</t>
  </si>
  <si>
    <t xml:space="preserve">Rollo de 100 u</t>
  </si>
  <si>
    <t xml:space="preserve">Se usan 140 por año: el rollo de 1.000 duraría 7 años. Antes (MRP): Rollo de 1.000 u, cada 20 días.</t>
  </si>
  <si>
    <t xml:space="preserve">P107</t>
  </si>
  <si>
    <t xml:space="preserve">Tarjeta DPS «sustituto habilitado»</t>
  </si>
  <si>
    <t xml:space="preserve">MP-83</t>
  </si>
  <si>
    <t xml:space="preserve">Paquete de 100 u</t>
  </si>
  <si>
    <t xml:space="preserve">Se usan 110 por año: paquete de 100 si el organismo lo entrega así. Antes (MRP): Paquete de 500 u, cada 20 días.</t>
  </si>
  <si>
    <t xml:space="preserve">P108</t>
  </si>
  <si>
    <t xml:space="preserve">Tarjeta AGC «es sustituto»</t>
  </si>
  <si>
    <t xml:space="preserve">MP-84</t>
  </si>
  <si>
    <t xml:space="preserve">Paquete de 50 u</t>
  </si>
  <si>
    <t xml:space="preserve">Se usan 29 por año: paquete de 50 si el organismo lo entrega así. Antes (MRP): Paquete de 500 u, cada 20 días.</t>
  </si>
  <si>
    <t xml:space="preserve">P109</t>
  </si>
  <si>
    <t xml:space="preserve">Esmalte sintético rojo RAL 3000 (recargas)</t>
  </si>
  <si>
    <t xml:space="preserve">MP-65</t>
  </si>
  <si>
    <t xml:space="preserve">Lata de 4 L</t>
  </si>
  <si>
    <t xml:space="preserve">Se mantiene: una lata abierta se usa en 3 días y no se arruina.</t>
  </si>
  <si>
    <t xml:space="preserve">P110</t>
  </si>
  <si>
    <t xml:space="preserve">Caja de cartón simple ABC 1 kg</t>
  </si>
  <si>
    <t xml:space="preserve">MP-59/ABC1</t>
  </si>
  <si>
    <t xml:space="preserve">Sellerpack (Pompeya)</t>
  </si>
  <si>
    <t xml:space="preserve">Pallet de 600 cajas plegadas</t>
  </si>
  <si>
    <t xml:space="preserve">Es lo que más lugar ocupa (34 lugares con el MRP). Mismo pallet, pero entrega semanal (antes cada 10 días). Conviene negociar entrega programada: el plazo de 10-15 días es lo que más agranda la seguridad. Antes (MRP): Pallet de 600 cajas, cada 10 días.</t>
  </si>
  <si>
    <t xml:space="preserve">P111</t>
  </si>
  <si>
    <t xml:space="preserve">Caja de cartón simple ABC 2,5 kg</t>
  </si>
  <si>
    <t xml:space="preserve">MP-59/ABC2.5</t>
  </si>
  <si>
    <t xml:space="preserve">Entrega semanal, en el mismo camión que la del 1 kg. Antes (MRP): Pallet de 600 cajas, cada 10 días.</t>
  </si>
  <si>
    <t xml:space="preserve">P112</t>
  </si>
  <si>
    <t xml:space="preserve">Caja de cartón simple ABC 5 kg</t>
  </si>
  <si>
    <t xml:space="preserve">MP-59/ABC5</t>
  </si>
  <si>
    <t xml:space="preserve">Entrega semanal, en el mismo camión. Antes (MRP): Pallet de 600 cajas, cada 10 días.</t>
  </si>
  <si>
    <t xml:space="preserve">P113</t>
  </si>
  <si>
    <t xml:space="preserve">Caja de cartón doble ABC 10 kg</t>
  </si>
  <si>
    <t xml:space="preserve">MP-59/ABC10</t>
  </si>
  <si>
    <t xml:space="preserve">Entrega semanal cuando toca (un pallet dura ≈ 28 días). Antes (MRP): Pallet de 600 cajas, cada 10 días.</t>
  </si>
  <si>
    <t xml:space="preserve">P114</t>
  </si>
  <si>
    <t xml:space="preserve">Etiqueta de caja</t>
  </si>
  <si>
    <t xml:space="preserve">MP-89</t>
  </si>
  <si>
    <t xml:space="preserve">P115</t>
  </si>
  <si>
    <t xml:space="preserve">Pallet de madera 1200 × 1000</t>
  </si>
  <si>
    <t xml:space="preserve">MP-60</t>
  </si>
  <si>
    <t xml:space="preserve">IndusPallets</t>
  </si>
  <si>
    <t xml:space="preserve">Pila de 15 pallets</t>
  </si>
  <si>
    <t xml:space="preserve">Entrega semanal (antes cada 10 días). Antes (MRP): Pila de 15 u, cada 10 días.</t>
  </si>
  <si>
    <t xml:space="preserve">P116</t>
  </si>
  <si>
    <t xml:space="preserve">Etiqueta de pallet</t>
  </si>
  <si>
    <t xml:space="preserve">MP-90</t>
  </si>
  <si>
    <t xml:space="preserve">P117</t>
  </si>
  <si>
    <t xml:space="preserve">Matafuego Agua 10 l (reventa)</t>
  </si>
  <si>
    <t xml:space="preserve">RV-AGUA_10l</t>
  </si>
  <si>
    <t xml:space="preserve">Maxiseguridad (Munro)</t>
  </si>
  <si>
    <t xml:space="preserve">Unidad</t>
  </si>
  <si>
    <t xml:space="preserve">Almacén de producto terminado</t>
  </si>
  <si>
    <t xml:space="preserve">Reventa</t>
  </si>
  <si>
    <t xml:space="preserve">Reventa: se usa el pico de ventas del MRP (no se fabrica). Se mantiene la unidad del MRP.</t>
  </si>
  <si>
    <t xml:space="preserve">P118</t>
  </si>
  <si>
    <t xml:space="preserve">Matafuego AFFF 10 l (reventa)</t>
  </si>
  <si>
    <t xml:space="preserve">RV-AFFF_10l</t>
  </si>
  <si>
    <t xml:space="preserve">P119</t>
  </si>
  <si>
    <t xml:space="preserve">Matafuego AFFF 50 l (reventa)</t>
  </si>
  <si>
    <t xml:space="preserve">RV-AFFF_50l</t>
  </si>
  <si>
    <t xml:space="preserve">P120</t>
  </si>
  <si>
    <t xml:space="preserve">Matafuego BC 5 kg (reventa)</t>
  </si>
  <si>
    <t xml:space="preserve">RV-BC_5kg</t>
  </si>
  <si>
    <t xml:space="preserve">P121</t>
  </si>
  <si>
    <t xml:space="preserve">Matafuego Clase K 6 l (reventa)</t>
  </si>
  <si>
    <t xml:space="preserve">RV-SALESK_6l</t>
  </si>
  <si>
    <t xml:space="preserve">Matafuegos Rodo</t>
  </si>
  <si>
    <t xml:space="preserve">P122</t>
  </si>
  <si>
    <t xml:space="preserve">Matafuego CO₂ 2 kg (reventa)</t>
  </si>
  <si>
    <t xml:space="preserve">RV-CO2_2kg</t>
  </si>
  <si>
    <t xml:space="preserve">P123</t>
  </si>
  <si>
    <t xml:space="preserve">Matafuego CO₂ 5 kg (reventa)</t>
  </si>
  <si>
    <t xml:space="preserve">RV-CO2_5kg</t>
  </si>
  <si>
    <t xml:space="preserve">P124</t>
  </si>
  <si>
    <t xml:space="preserve">Matafuego HCFC 5 kg (reventa)</t>
  </si>
  <si>
    <t xml:space="preserve">RV-HCFC-HFC_5kg</t>
  </si>
  <si>
    <t xml:space="preserve">P125</t>
  </si>
  <si>
    <t xml:space="preserve">Matafuego Clase D 9 l (reventa)</t>
  </si>
  <si>
    <t xml:space="preserve">RV-CLASED_9l</t>
  </si>
  <si>
    <t xml:space="preserve">Fabricante nacional</t>
  </si>
  <si>
    <t xml:space="preserve">6) PRECIOS RELEVADOS (Almacenamiento_MP_FLAMA_2035.xlsx, hoja Precios, 21/10/2026, con IVA)</t>
  </si>
  <si>
    <t xml:space="preserve">Id</t>
  </si>
  <si>
    <t xml:space="preserve">Producto</t>
  </si>
  <si>
    <t xml:space="preserve">Precio con IVA</t>
  </si>
  <si>
    <t xml:space="preserve">Tienda</t>
  </si>
  <si>
    <t xml:space="preserve">Link</t>
  </si>
  <si>
    <t xml:space="preserve">R1I</t>
  </si>
  <si>
    <t xml:space="preserve">Rack selectivo 2,30 × 1,00 × 3 m, 2 niveles, 2.000 kg/nivel — módulo inicial</t>
  </si>
  <si>
    <t xml:space="preserve">Estanterías Boyacá</t>
  </si>
  <si>
    <t xml:space="preserve">https://estanterias.com.ar/tienda/racks/racks-para-paletizacion/racks-selectivos-pallets-230x100-x-3mts-de-alto-c-2-niveles-2000kg-inicial/</t>
  </si>
  <si>
    <t xml:space="preserve">R1A</t>
  </si>
  <si>
    <t xml:space="preserve">Ídem 2.000 kg/nivel — módulo adicional</t>
  </si>
  <si>
    <t xml:space="preserve">https://estanterias.com.ar/tienda/racks/racks-para-paletizacion/racks-selectivos-pallets-230x100-x-3mts-de-alto-c-2-niveles-2000kg-adicional/</t>
  </si>
  <si>
    <t xml:space="preserve">R2I</t>
  </si>
  <si>
    <t xml:space="preserve">Ídem 1.000 kg/nivel — módulo inicial</t>
  </si>
  <si>
    <t xml:space="preserve">https://estanterias.com.ar/tienda/racks/racks-para-paletizacion/racks-selectivos-pallets-230x100-x-3mts-de-alto-c-2-niveles-1000kg-inicial/</t>
  </si>
  <si>
    <t xml:space="preserve">R2A</t>
  </si>
  <si>
    <t xml:space="preserve">Ídem 1.000 kg/nivel — módulo adicional</t>
  </si>
  <si>
    <t xml:space="preserve">https://estanterias.com.ar/tienda/racks/racks-para-paletizacion/racks-selectivos-pallets-230x100-x-3mts-de-alto-c-2-niveles-1000kg-adicional/</t>
  </si>
  <si>
    <t xml:space="preserve">R3I</t>
  </si>
  <si>
    <t xml:space="preserve">Ídem 500 kg/nivel — módulo inicial</t>
  </si>
  <si>
    <t xml:space="preserve">https://estanterias.com.ar/tienda/racks/racks-para-paletizacion/racks-selectivos-pallets-230x100-x-3mts-de-alto-c-2-niveles-500kg-inicial/</t>
  </si>
  <si>
    <t xml:space="preserve">R3A</t>
  </si>
  <si>
    <t xml:space="preserve">Ídem 500 kg/nivel — módulo adicional</t>
  </si>
  <si>
    <t xml:space="preserve">https://estanterias.com.ar/tienda/racks/racks-para-paletizacion/racks-selectivos-pallets-230x100-x-3mts-de-alto-c-2-niveles-500kg-adicional/</t>
  </si>
  <si>
    <t xml:space="preserve">E1</t>
  </si>
  <si>
    <t xml:space="preserve">Estantería encastrable 110 × 50 × 200 cm, 5 estantes</t>
  </si>
  <si>
    <t xml:space="preserve">Storage Compat</t>
  </si>
  <si>
    <t xml:space="preserve">https://www.storagecompatshop.com.ar/productos/estanteria-encastrable-uninorm-50cm-color-azul/</t>
  </si>
  <si>
    <t xml:space="preserve">A1</t>
  </si>
  <si>
    <t xml:space="preserve">Pallet antiderrame para 4 tambores de 200 L</t>
  </si>
  <si>
    <t xml:space="preserve">Paimun Industrial</t>
  </si>
  <si>
    <t xml:space="preserve">https://www.e-paimun.com.ar/producto/pallet-antiderrame-para-4-tambores-de-200-lts-reforzada/</t>
  </si>
  <si>
    <t xml:space="preserve">A2</t>
  </si>
  <si>
    <t xml:space="preserve">Bandeja de contención inox (bidones de 20 L)</t>
  </si>
  <si>
    <t xml:space="preserve">Cuben</t>
  </si>
  <si>
    <t xml:space="preserve">https://www.tienda.cuben.com.ar/productos/pallet-antiderrame-metalico-para-4-tambores-de-200-l/</t>
  </si>
  <si>
    <t xml:space="preserve">G1</t>
  </si>
  <si>
    <t xml:space="preserve">Gabinete para 8 cilindros de gases</t>
  </si>
  <si>
    <t xml:space="preserve">https://www.tienda.cuben.com.ar/productos/gabinete-para-cilindro-de-gases/</t>
  </si>
  <si>
    <t xml:space="preserve">M1</t>
  </si>
  <si>
    <t xml:space="preserve">Malla electrosoldada galvanizada, rollo de 12,5 m</t>
  </si>
  <si>
    <t xml:space="preserve">Easy</t>
  </si>
  <si>
    <t xml:space="preserve">https://www.easy.com.ar/malla-electrosoldada-cal-1-6-50x100x12-5/p</t>
  </si>
  <si>
    <t xml:space="preserve">S1</t>
  </si>
  <si>
    <t xml:space="preserve">Perfil UPN 100, barra de 12 m</t>
  </si>
  <si>
    <t xml:space="preserve">Ropelato</t>
  </si>
  <si>
    <t xml:space="preserve">https://www.ropelato.com.ar/perfiles-upn/47106-perfil-upn-100-barra-x-12m.html</t>
  </si>
  <si>
    <t xml:space="preserve">PL</t>
  </si>
  <si>
    <t xml:space="preserve">Pallet plástico reforzado 1200 × 1000 (1.000 kg estática)</t>
  </si>
  <si>
    <t xml:space="preserve">TiendaEXO</t>
  </si>
  <si>
    <t xml:space="preserve">https://www.tiendaexo.com/pallet-plastico-tarima-reforzada/p</t>
  </si>
  <si>
    <t xml:space="preserve">D1</t>
  </si>
  <si>
    <t xml:space="preserve">Cinta demarcatoria 50 mm × 33 m</t>
  </si>
  <si>
    <t xml:space="preserve">https://www.easy.com.ar/cinta-demarcatoria-50mm-amarilla-negra-1180923/p</t>
  </si>
  <si>
    <t xml:space="preserve">X7</t>
  </si>
  <si>
    <t xml:space="preserve">Larguero pesado 2,30 m, 2.000 kg (par)</t>
  </si>
  <si>
    <t xml:space="preserve">Rapiestantes</t>
  </si>
  <si>
    <t xml:space="preserve">https://rapiestantesweb.com.ar/producto/larguero-pesado-2-30-mts/</t>
  </si>
  <si>
    <t xml:space="preserve">V1</t>
  </si>
  <si>
    <t xml:space="preserve">Apilador eléctrico con pinza giratoria para bobinas (≥ 1,3 t, Ø hasta 1.100) — a cotizar. Referencia: Huizelift 1 t, US$ 6.000 a 7.500</t>
  </si>
  <si>
    <t xml:space="preserve">Huizelift / Tymbia</t>
  </si>
  <si>
    <t xml:space="preserve">https://es.made-in-china.com/co_huizelift/product_Fully-Automatic-Stacker-Electric-Roll-Lifter-with-Rotating-Clamp-for-PVC-Coils_ysusrseiey.html</t>
  </si>
  <si>
    <t xml:space="preserve">PARÁMETROS — supuestos y criterios del almacén de MP</t>
  </si>
  <si>
    <t xml:space="preserve">Amarillo = criterio (se puede cambiar). Verde = dato. Blanco = fórmula. La columna E es el nombre que usan las fórmulas.</t>
  </si>
  <si>
    <t xml:space="preserve">▶ Solo se tocan las celdas amarillas.</t>
  </si>
  <si>
    <t xml:space="preserve">1) CONSUMO DEL DÍA PICO</t>
  </si>
  <si>
    <t xml:space="preserve">Parámetro</t>
  </si>
  <si>
    <t xml:space="preserve">Fuente / criterio</t>
  </si>
  <si>
    <t xml:space="preserve">Nombre</t>
  </si>
  <si>
    <t xml:space="preserve">Días hábiles por año</t>
  </si>
  <si>
    <t xml:space="preserve">días</t>
  </si>
  <si>
    <t xml:space="preserve">Balanceo: 20 días por mes × 12</t>
  </si>
  <si>
    <t xml:space="preserve">DIAS_ANIO</t>
  </si>
  <si>
    <t xml:space="preserve">Factor de pico de manuales (mes pico ÷ mes promedio)</t>
  </si>
  <si>
    <t xml:space="preserve">×</t>
  </si>
  <si>
    <t xml:space="preserve">Producción con sobrestock (no ventas): enero</t>
  </si>
  <si>
    <t xml:space="preserve">FAC_MAN</t>
  </si>
  <si>
    <t xml:space="preserve">Factor de pico de carros</t>
  </si>
  <si>
    <t xml:space="preserve">Marzo</t>
  </si>
  <si>
    <t xml:space="preserve">FAC_CAR</t>
  </si>
  <si>
    <t xml:space="preserve">Factor de pico de recargas</t>
  </si>
  <si>
    <t xml:space="preserve">Diciembre</t>
  </si>
  <si>
    <t xml:space="preserve">FAC_REC</t>
  </si>
  <si>
    <t xml:space="preserve">2) AUTOELEVADOR Y PISO (limitan la altura de las pilas de chapa)</t>
  </si>
  <si>
    <t xml:space="preserve">Altura de elevación del autoelevador</t>
  </si>
  <si>
    <t xml:space="preserve">mm</t>
  </si>
  <si>
    <t xml:space="preserve">Heli CPCD50. El autoelevador lleva mástil de 4,5 m porque lo pide el rack de PT (Word de PT); para las pilas de chapa se mantiene 3 m como tope de trabajo: con 4,5 m las pilas no cambian (casi todas entran en una)</t>
  </si>
  <si>
    <t xml:space="preserve">H_ELEV</t>
  </si>
  <si>
    <t xml:space="preserve">Capacidad nominal del autoelevador</t>
  </si>
  <si>
    <t xml:space="preserve">Heli CPCD50 (Words de manuales y carros)</t>
  </si>
  <si>
    <t xml:space="preserve">CAP_AUTO</t>
  </si>
  <si>
    <t xml:space="preserve">Centro de carga de la capacidad nominal</t>
  </si>
  <si>
    <t xml:space="preserve">Heli CPCD50 (lectura-specs.com)</t>
  </si>
  <si>
    <t xml:space="preserve">CC_AUTO</t>
  </si>
  <si>
    <t xml:space="preserve">Capacidad de la mesa elevadora de la guillotina</t>
  </si>
  <si>
    <t xml:space="preserve">Word de manuales: mesa de tijera de 3 t</t>
  </si>
  <si>
    <t xml:space="preserve">CAP_MESA</t>
  </si>
  <si>
    <t xml:space="preserve">Carga admisible del piso del almacén</t>
  </si>
  <si>
    <t xml:space="preserve">t/m²</t>
  </si>
  <si>
    <t xml:space="preserve">SUPUESTO: losa industrial común. Confirmar con el cálculo del piso; si es menor, las pilas bajan solas</t>
  </si>
  <si>
    <t xml:space="preserve">Q_PISO</t>
  </si>
  <si>
    <t xml:space="preserve">Alto máximo de una pila ÷ su lado menor</t>
  </si>
  <si>
    <t xml:space="preserve">Criterio de estabilidad de pilas sueltas: no más de 3 veces la base más angosta</t>
  </si>
  <si>
    <t xml:space="preserve">REL_PILA</t>
  </si>
  <si>
    <t xml:space="preserve">3) PAQUETES DE CHAPA</t>
  </si>
  <si>
    <t xml:space="preserve">Densidad del acero</t>
  </si>
  <si>
    <t xml:space="preserve">kg/dm³</t>
  </si>
  <si>
    <t xml:space="preserve">Acero al carbono</t>
  </si>
  <si>
    <t xml:space="preserve">DENS</t>
  </si>
  <si>
    <t xml:space="preserve">Alto del taco de madera bajo cada paquete</t>
  </si>
  <si>
    <t xml:space="preserve">Las uñas del CPCD50 (≈ 50 mm) entran sin rozar la hoja de abajo (especificación de compra)</t>
  </si>
  <si>
    <t xml:space="preserve">H_TACO</t>
  </si>
  <si>
    <t xml:space="preserve">Tacos por paquete</t>
  </si>
  <si>
    <t xml:space="preserve">A lo ancho del paquete, alineados en columna en la pila</t>
  </si>
  <si>
    <t xml:space="preserve">N_TACO</t>
  </si>
  <si>
    <t xml:space="preserve">Ancho de apoyo de cada taco</t>
  </si>
  <si>
    <t xml:space="preserve">Taco de 100 × 100 mm</t>
  </si>
  <si>
    <t xml:space="preserve">A_TACO</t>
  </si>
  <si>
    <t xml:space="preserve">Compresión admisible de la madera (perpendicular a la fibra)</t>
  </si>
  <si>
    <t xml:space="preserve">MPa</t>
  </si>
  <si>
    <t xml:space="preserve">SUPUESTO conservador para pino o eucalipto seco</t>
  </si>
  <si>
    <t xml:space="preserve">SIG_MAD</t>
  </si>
  <si>
    <t xml:space="preserve">Separación entre pilas</t>
  </si>
  <si>
    <t xml:space="preserve">m</t>
  </si>
  <si>
    <t xml:space="preserve">Para leer la etiqueta, cortar flejes y que no se toquen las uñas</t>
  </si>
  <si>
    <t xml:space="preserve">SEP_PILA</t>
  </si>
  <si>
    <t xml:space="preserve">Ancho de la calle del autoelevador</t>
  </si>
  <si>
    <t xml:space="preserve">Word de carros: radio de giro 2,93 m + fondo del paquete + margen</t>
  </si>
  <si>
    <t xml:space="preserve">CALLE</t>
  </si>
  <si>
    <t xml:space="preserve">4) FLEJES: RACK SELECTIVO + ZONA DE ARMADO CON EL APILADOR DE PINZA</t>
  </si>
  <si>
    <t xml:space="preserve">Diámetro interior del rollo</t>
  </si>
  <si>
    <t xml:space="preserve">Estándar de 20" (Compra de chapa y fleje)</t>
  </si>
  <si>
    <t xml:space="preserve">DI_ROLLO</t>
  </si>
  <si>
    <t xml:space="preserve">Peso máximo del rollo que admite el desbobinador</t>
  </si>
  <si>
    <t xml:space="preserve">SUPUESTO (Compra de chapa y fleje): confirmar con Cena</t>
  </si>
  <si>
    <t xml:space="preserve">CAP_DESB</t>
  </si>
  <si>
    <t xml:space="preserve">Carga máxima por posición de pallet en los niveles altos</t>
  </si>
  <si>
    <t xml:space="preserve">Rack de 2.000 kg por nivel con 2 pallets de frente (módulo R1)</t>
  </si>
  <si>
    <t xml:space="preserve">KG_POS</t>
  </si>
  <si>
    <t xml:space="preserve">Alto útil de un nivel del rack de flejes</t>
  </si>
  <si>
    <t xml:space="preserve">Pallet (150 mm) + pila de rollos; largueros cada 750 mm</t>
  </si>
  <si>
    <t xml:space="preserve">H_NIV</t>
  </si>
  <si>
    <t xml:space="preserve">Niveles del rack de flejes (piso + 3 largueros)</t>
  </si>
  <si>
    <t xml:space="preserve">Los rollos acostados son bajos: con largueros a 0,75 / 1,50 / 2,25 m el último queda a 2,25 m, dentro de los 3 m del autoelevador y del bastidor</t>
  </si>
  <si>
    <t xml:space="preserve">NIV_FLEJE</t>
  </si>
  <si>
    <t xml:space="preserve">Separador de madera entre rollos (y bajo el primero)</t>
  </si>
  <si>
    <t xml:space="preserve">Listón: la paleta de la pinza baja hasta el borde de abajo del rollo sin tocar el de abajo ni el pallet</t>
  </si>
  <si>
    <t xml:space="preserve">SEP_ROLLO</t>
  </si>
  <si>
    <t xml:space="preserve">Alto máximo de la pila de rollos ÷ Ø exterior</t>
  </si>
  <si>
    <t xml:space="preserve">Estabilidad: la pila no más alta que su diámetro</t>
  </si>
  <si>
    <t xml:space="preserve">REL_ROLLO</t>
  </si>
  <si>
    <t xml:space="preserve">Posiciones de pallet por nivel de un módulo</t>
  </si>
  <si>
    <t xml:space="preserve">Módulo de 2,30 m</t>
  </si>
  <si>
    <t xml:space="preserve">POS_NIV</t>
  </si>
  <si>
    <t xml:space="preserve">Niveles por módulo (piso + 2 largueros)</t>
  </si>
  <si>
    <t xml:space="preserve">Rack de 3 m: el CPCD50 llega con holgura al 2.º larguero</t>
  </si>
  <si>
    <t xml:space="preserve">NIV</t>
  </si>
  <si>
    <t xml:space="preserve">Frente de un módulo</t>
  </si>
  <si>
    <t xml:space="preserve">Rack selectivo de 2,30 m</t>
  </si>
  <si>
    <t xml:space="preserve">MOD_FRENTE</t>
  </si>
  <si>
    <t xml:space="preserve">Fondo del rack</t>
  </si>
  <si>
    <t xml:space="preserve">Pallet de 1.000 de fondo + 100 mm</t>
  </si>
  <si>
    <t xml:space="preserve">MOD_FONDO</t>
  </si>
  <si>
    <t xml:space="preserve">Superficie de la zona de armado (pallet en el piso + brazos de la pinza + maniobra)</t>
  </si>
  <si>
    <t xml:space="preserve">SUPUESTO: 3 × 3 m al lado del rack de flejes; ahí la pinza arma y desarma los pallets</t>
  </si>
  <si>
    <t xml:space="preserve">M2_VOLTEO</t>
  </si>
  <si>
    <t xml:space="preserve">Pallet de los rollos: lado a lo largo del larguero</t>
  </si>
  <si>
    <t xml:space="preserve">Pallet 1.200 × 1.000 con el lado de 1.000 al frente (2 por módulo de 2,30 m)</t>
  </si>
  <si>
    <t xml:space="preserve">PAL_FRENTE</t>
  </si>
  <si>
    <t xml:space="preserve">Pallet de los rollos: fondo</t>
  </si>
  <si>
    <t xml:space="preserve">Entra en el bastidor de 1.100 mm con 50 mm de vuelo adelante y atrás</t>
  </si>
  <si>
    <t xml:space="preserve">PAL_FONDO</t>
  </si>
  <si>
    <t xml:space="preserve">Hueco libre entre pallets y contra el parante</t>
  </si>
  <si>
    <t xml:space="preserve">Módulo de 2,30 m = 2 × 1.000 + 3 huecos de 100</t>
  </si>
  <si>
    <t xml:space="preserve">HUECO</t>
  </si>
  <si>
    <t xml:space="preserve">Lugar de cada brazo de la pinza al costado del rollo (espesor + holgura)</t>
  </si>
  <si>
    <t xml:space="preserve">SUPUESTO: brazo de 60 mm + 20 mm de holgura. Confirmar con el fabricante</t>
  </si>
  <si>
    <t xml:space="preserve">PINZA_BRAZO</t>
  </si>
  <si>
    <t xml:space="preserve">5) RACK SELECTIVO DE LOS DEMÁS ALMACENES</t>
  </si>
  <si>
    <t xml:space="preserve">Lugares de pallet por módulo</t>
  </si>
  <si>
    <t xml:space="preserve">2 pallets × 3 alturas</t>
  </si>
  <si>
    <t xml:space="preserve">LUG_MOD</t>
  </si>
  <si>
    <t xml:space="preserve">6) APILADOR CON PINZA GIRATORIA («volteador»): agarra el rollo parado por afuera, lo lleva y lo gira 90°</t>
  </si>
  <si>
    <t xml:space="preserve">Equipo</t>
  </si>
  <si>
    <t xml:space="preserve">Capacidad (kg)</t>
  </si>
  <si>
    <t xml:space="preserve">Ø máximo que abre la pinza (mm)</t>
  </si>
  <si>
    <t xml:space="preserve">¿Sirve? (capacidad ≥ rollo más pesado y Ø ≥ Ø mayor)</t>
  </si>
  <si>
    <t xml:space="preserve">Nota</t>
  </si>
  <si>
    <t xml:space="preserve">Huizelift CDD1016-Z-11 (apilador 1 t con pinza giratoria)</t>
  </si>
  <si>
    <t xml:space="preserve">El del link: para bobinas de PVC; Ø no publicado. US$ 6.000 a 7.500</t>
  </si>
  <si>
    <t xml:space="preserve">Manuvit (apilador con pinza para bobinas)</t>
  </si>
  <si>
    <t xml:space="preserve">Abre de Ø 120 a 1.270 mm</t>
  </si>
  <si>
    <t xml:space="preserve">Huizelift versión 1,5 t (a pedir)</t>
  </si>
  <si>
    <t xml:space="preserve">Pedir con brazos para acero y apertura hasta 1.150 mm</t>
  </si>
  <si>
    <t xml:space="preserve">Tymbia M103070075 en apilador eléctrico de 2,5 t</t>
  </si>
  <si>
    <t xml:space="preserve">Pinza giratoria 360°, 1.300 kg a 550 mm, Ø 250 a 1.100, pesa 560 kg</t>
  </si>
  <si>
    <t xml:space="preserve">Fuentes: made-in-china.com (Huizelift), directindustry.com (Manuvit), tymbia.com (pinza M103070075). Capacidad: la del equipo con la pinza puesta.</t>
  </si>
  <si>
    <t xml:space="preserve">CHAPA Y FLEJE — el paquete y el rollo son una tanda del balanceo, y cómo se guardan</t>
  </si>
  <si>
    <t xml:space="preserve">Paquete de hojas = tanda de corte de la guillotina; rollo de fleje = tanda de la matriz. Tandas y frecuencias del balanceo limpio (Datos 1 y 2). Las pilas de chapa suben hasta lo que permiten el autoelevador, el piso y la estabilidad.</t>
  </si>
  <si>
    <t xml:space="preserve">▶ Sección 1 (paquete, pedido y stock), 2 (pilas), 3 (rollos), 4 (rack de flejes) y 5 (volteador y superficie).</t>
  </si>
  <si>
    <t xml:space="preserve">1) HOJAS: UN PAQUETE = UNA TANDA DE CORTE</t>
  </si>
  <si>
    <t xml:space="preserve">Espesor (mm)</t>
  </si>
  <si>
    <t xml:space="preserve">Ancho (mm)</t>
  </si>
  <si>
    <t xml:space="preserve">Largo (mm)</t>
  </si>
  <si>
    <t xml:space="preserve">kg por hoja</t>
  </si>
  <si>
    <t xml:space="preserve">Hojas por día</t>
  </si>
  <si>
    <t xml:space="preserve">Se corta cada (días)</t>
  </si>
  <si>
    <t xml:space="preserve">Paquete elegido (vacío = tanda)</t>
  </si>
  <si>
    <t xml:space="preserve">Paquete (hojas)</t>
  </si>
  <si>
    <t xml:space="preserve">Peso del paquete (kg)</t>
  </si>
  <si>
    <t xml:space="preserve">Alto del paquete (mm)</t>
  </si>
  <si>
    <t xml:space="preserve">Días que dura</t>
  </si>
  <si>
    <t xml:space="preserve">Consumo promedio (hojas/día)</t>
  </si>
  <si>
    <t xml:space="preserve">Seguridad (paquetes)</t>
  </si>
  <si>
    <t xml:space="preserve">Días entre pedidos</t>
  </si>
  <si>
    <t xml:space="preserve">Paquetes por pedido</t>
  </si>
  <si>
    <t xml:space="preserve">Stock máximo (paquetes)</t>
  </si>
  <si>
    <t xml:space="preserve">Stock máximo (t)</t>
  </si>
  <si>
    <t xml:space="preserve">Control de peso</t>
  </si>
  <si>
    <t xml:space="preserve">Total</t>
  </si>
  <si>
    <t xml:space="preserve">Hojas por día = cuerpos por día ÷ cuerpos por hoja (MP-11: 25 y 50 kg comparten la hoja de 3,2). Seguridad = (hojas por día × plazo máx. − promedio × plazo medio) ÷ paquete, mínimo 1. Pedido = lo que falta hasta el máximo; en promedio, hojas por día × días entre pedidos.</t>
  </si>
  <si>
    <t xml:space="preserve">2) PILAS DE CHAPA EN EL PISO: lo más alto que permiten el autoelevador, el piso y la estabilidad</t>
  </si>
  <si>
    <t xml:space="preserve">Formato (mm)</t>
  </si>
  <si>
    <t xml:space="preserve">Paquetes en el stock máx.</t>
  </si>
  <si>
    <t xml:space="preserve">Base (m²)</t>
  </si>
  <si>
    <t xml:space="preserve">Máx. por altura del autoelevador</t>
  </si>
  <si>
    <t xml:space="preserve">Máx. por estabilidad</t>
  </si>
  <si>
    <t xml:space="preserve">Máx. por carga del piso</t>
  </si>
  <si>
    <t xml:space="preserve">Máx. por pila</t>
  </si>
  <si>
    <t xml:space="preserve">Pilas</t>
  </si>
  <si>
    <t xml:space="preserve">Paquetes por pila</t>
  </si>
  <si>
    <t xml:space="preserve">Alto de la pila (m)</t>
  </si>
  <si>
    <t xml:space="preserve">Peso de la pila (t)</t>
  </si>
  <si>
    <t xml:space="preserve">Carga en el piso (t/m²)</t>
  </si>
  <si>
    <t xml:space="preserve">Presión en los tacos (MPa)</t>
  </si>
  <si>
    <t xml:space="preserve">Control tacos</t>
  </si>
  <si>
    <t xml:space="preserve">Centro de carga (mm)</t>
  </si>
  <si>
    <t xml:space="preserve">Capacidad del autoelevador a ese centro (kg)</t>
  </si>
  <si>
    <t xml:space="preserve">Control autoelevador</t>
  </si>
  <si>
    <t xml:space="preserve">Frente con separación (m)</t>
  </si>
  <si>
    <t xml:space="preserve">Fondo con separación (m)</t>
  </si>
  <si>
    <t xml:space="preserve">m² de las pilas</t>
  </si>
  <si>
    <t xml:space="preserve">Qué limita</t>
  </si>
  <si>
    <t xml:space="preserve">Frente total de las pilas (m)</t>
  </si>
  <si>
    <t xml:space="preserve">Solo el piso de las pilas, sin calle (m²)</t>
  </si>
  <si>
    <t xml:space="preserve">Calle compartida: la mitad que le toca a la chapa (m²)</t>
  </si>
  <si>
    <t xml:space="preserve">Superficie de la chapa (pilas + media calle, mismo criterio que los racks) (m²)</t>
  </si>
  <si>
    <t xml:space="preserve">Una pila por formato si entra; si no, varias. Siempre se toma el paquete de arriba. Al recibir, el remanente se pasa arriba de la entrega nueva (FIFO por colada). Los tacos van alineados en columna: el peso baja por los tacos y la hoja no se dobla.</t>
  </si>
  <si>
    <t xml:space="preserve">3) FLEJES: UN ROLLO = UNA TANDA DE LA MATRIZ</t>
  </si>
  <si>
    <t xml:space="preserve">Matriz (fila Datos)</t>
  </si>
  <si>
    <t xml:space="preserve">kg de fleje por pieza</t>
  </si>
  <si>
    <t xml:space="preserve">kg por día</t>
  </si>
  <si>
    <t xml:space="preserve">Tanda (piezas)</t>
  </si>
  <si>
    <t xml:space="preserve">Se prensa cada (días)</t>
  </si>
  <si>
    <t xml:space="preserve">Tandas por rollo</t>
  </si>
  <si>
    <t xml:space="preserve">Peso del rollo (kg)</t>
  </si>
  <si>
    <t xml:space="preserve">Ø exterior (mm)</t>
  </si>
  <si>
    <t xml:space="preserve">Consumo promedio (kg/día)</t>
  </si>
  <si>
    <t xml:space="preserve">Seguridad (rollos)</t>
  </si>
  <si>
    <t xml:space="preserve">Rollos por pedido</t>
  </si>
  <si>
    <t xml:space="preserve">Stock máximo (rollos)</t>
  </si>
  <si>
    <t xml:space="preserve">Control desbobinador</t>
  </si>
  <si>
    <t xml:space="preserve">kg por pieza = consumo del año del MRP ÷ piezas del año (incluye el esqueleto entre discos). Ø exterior = √(Øint² + 4 × peso ÷ (π × ancho × densidad)).</t>
  </si>
  <si>
    <t xml:space="preserve">4) APILADOR CON PINZA GIRATORIA («volteador»): el rollo más pesado y el más grande fijan el equipo</t>
  </si>
  <si>
    <t xml:space="preserve">Para qué: los rollos llegan y se usan parados (ojo horizontal) y se guardan acostados (ojo al cielo), que es como no se deforman. La pinza los agarra por afuera, los lleva y los gira 90°.</t>
  </si>
  <si>
    <t xml:space="preserve">Recepción: la pluma baja el rollo del camión a la zona de descarga → el apilador con pinza lo agarra parado, lo lleva a la zona de armado, lo gira 90° y lo apoya acostado en el pallet → el autoelevador con uñas sube el pallet al rack.</t>
  </si>
  <si>
    <t xml:space="preserve">A la línea: el autoelevador baja el pallet a la zona de armado → la pinza toma el rollo de arriba, lo gira 90° (parado) y lo carga en el desbobinador. El pallet con los que quedan vuelve al rack.</t>
  </si>
  <si>
    <t xml:space="preserve">Rollo más pesado (kg)</t>
  </si>
  <si>
    <t xml:space="preserve">Ø exterior mayor (mm)</t>
  </si>
  <si>
    <t xml:space="preserve">Equipo elegido (el primero que sirve, Parametros sección 6)</t>
  </si>
  <si>
    <t xml:space="preserve">Capacidad y plataforma del elegido</t>
  </si>
  <si>
    <t xml:space="preserve">Ancho que ocupa el rollo más grande con los dos brazos (mm)</t>
  </si>
  <si>
    <t xml:space="preserve">5) RACK SELECTIVO DE FLEJES: rollos ojo al cielo en pallets, un código por pallet</t>
  </si>
  <si>
    <t xml:space="preserve">Ancho = alto acostado (mm)</t>
  </si>
  <si>
    <t xml:space="preserve">Rollos en el stock máx.</t>
  </si>
  <si>
    <t xml:space="preserve">Rollos por pallet por peso</t>
  </si>
  <si>
    <t xml:space="preserve">Por alto del nivel</t>
  </si>
  <si>
    <t xml:space="preserve">Por estabilidad</t>
  </si>
  <si>
    <t xml:space="preserve">Rollos por pallet</t>
  </si>
  <si>
    <t xml:space="preserve">Dónde va</t>
  </si>
  <si>
    <t xml:space="preserve">Pallets</t>
  </si>
  <si>
    <t xml:space="preserve">Peso del pallet lleno (kg)</t>
  </si>
  <si>
    <t xml:space="preserve">Presión sobre el rollo de abajo (kPa)</t>
  </si>
  <si>
    <t xml:space="preserve">Alto de la pila (mm)</t>
  </si>
  <si>
    <t xml:space="preserve">Vuelo del rollo fuera del pallet, por lado (mm)</t>
  </si>
  <si>
    <t xml:space="preserve">Lo que ocupa el rollo del pallet (%)</t>
  </si>
  <si>
    <t xml:space="preserve">Control del diámetro</t>
  </si>
  <si>
    <t xml:space="preserve">Ancho con los brazos de la pinza (mm)</t>
  </si>
  <si>
    <t xml:space="preserve">Pallets que solo pueden ir en el piso (rollos de más de KG_POS)</t>
  </si>
  <si>
    <t xml:space="preserve">Módulos de rack = el mayor entre (pallets ÷ lugares por módulo) y (pallets de piso ÷ posiciones por nivel)</t>
  </si>
  <si>
    <t xml:space="preserve">Lugares que da el rack</t>
  </si>
  <si>
    <t xml:space="preserve">m² del rack con media calle (comparte la calle de la chapa)</t>
  </si>
  <si>
    <t xml:space="preserve">m² de la zona de armado (la pinza arma y desarma los pallets en el piso)</t>
  </si>
  <si>
    <t xml:space="preserve">Superficie de flejes (rack + zona de armado)</t>
  </si>
  <si>
    <t xml:space="preserve">Presión sobre el rollo de abajo = peso de los de arriba ÷ cara del rollo. Es de pocos kPa (el acero aguanta cientos de MPa): acostados no se deforman. Lo que limita es la carga del larguero, el alto del nivel y que la pila no sea más alta que su diámetro.</t>
  </si>
  <si>
    <t xml:space="preserve">Ø exterior contra el pallet: el rollo va centrado y entra entero en el lado de 1.000 si mide hasta 1.000 mm. Los del 5 kg miden más: vuelan unos mm por lado sobre el hueco de 100 mm entre pallets, sin tocar el vecino.</t>
  </si>
  <si>
    <t xml:space="preserve">6) OPCIONES PARA GUARDAR LOS FLEJES (m² con su calle o pasillo)</t>
  </si>
  <si>
    <t xml:space="preserve">Opción</t>
  </si>
  <si>
    <t xml:space="preserve">Cómo es</t>
  </si>
  <si>
    <t xml:space="preserve">Elegida</t>
  </si>
  <si>
    <t xml:space="preserve">Cunas en el piso (ojo horizontal)</t>
  </si>
  <si>
    <t xml:space="preserve">Rollos parados en cunas de UPN de 2,5 m (propuesta anterior): 3 cunas + calle. Se manipulan sin volteador, pero apoyados de canto se ovalan si esperan (coil slump) y no se apilan.</t>
  </si>
  <si>
    <t xml:space="preserve">No</t>
  </si>
  <si>
    <t xml:space="preserve">Pallets ojo al cielo en el piso</t>
  </si>
  <si>
    <t xml:space="preserve">Los mismos pallets del rack, en el piso (sin rack). Más barato, pero ocupa una posición de piso por pallet.</t>
  </si>
  <si>
    <t xml:space="preserve">Rack selectivo + pinza (elegida)</t>
  </si>
  <si>
    <t xml:space="preserve">Pallets por código en 4 alturas: los pesados abajo, el stock arriba. El apilador con pinza giratoria arma los pallets en una zona al lado del rack.</t>
  </si>
  <si>
    <t xml:space="preserve">Sí</t>
  </si>
  <si>
    <t xml:space="preserve">Rack cantilever para rollos</t>
  </si>
  <si>
    <t xml:space="preserve">Brazos con rollos colgados del ojo. Para rollos anchos y pesados; con 8 anchos chicos desperdicia brazos y es caro.</t>
  </si>
  <si>
    <t xml:space="preserve">CASQUETES DE CARROS — cómo vienen las cúpulas y los fondos (como Fadesa)</t>
  </si>
  <si>
    <t xml:space="preserve">Compra nacional en contenedores, ≈ 40 días de demora, se pide según la demanda. Acá se dimensiona el contenedor: cuántas cúpulas y fondos entran, cuánto pesa y cada cuánto se pide.</t>
  </si>
  <si>
    <t xml:space="preserve">▶ Columna N: casquetes por contenedor. Columna S: peso. Columna V: contenedores por pedido.</t>
  </si>
  <si>
    <t xml:space="preserve">1) CÓMO LO HACE FADESA (consulta a Pablo Delmas)</t>
  </si>
  <si>
    <t xml:space="preserve">Casquetes de 10", 12" y 15" × 3,20 mm y 15" × 4,75 mm: las pulgadas son el diámetro. Son los mismos tres de FLAMA (MP-15, MP-16 y MP-17).</t>
  </si>
  <si>
    <t xml:space="preserve">Vienen en contenedores e ingresan según la necesidad, atada a la demanda (los pedidos). Demora: unos 40 días. Proveedor: NOVA Ruedas. Contenedor retornable.</t>
  </si>
  <si>
    <t xml:space="preserve">Antes (MRP y Word de carros): importados de China, pallet de 400 / 300 / 150 u, contenedor de 20' cada 50 días hábiles y 54 a 68 días hábiles de plazo. Se corrige.</t>
  </si>
  <si>
    <t xml:space="preserve">2) SUPUESTOS DEL CONTENEDOR Y DEL PEDIDO</t>
  </si>
  <si>
    <t xml:space="preserve">Demora del proveedor</t>
  </si>
  <si>
    <t xml:space="preserve">días corridos</t>
  </si>
  <si>
    <t xml:space="preserve">CQ_PLAZO</t>
  </si>
  <si>
    <t xml:space="preserve">Fadesa: «40 días aproximadamente la demora»</t>
  </si>
  <si>
    <t xml:space="preserve">Variación de la demora (±)</t>
  </si>
  <si>
    <t xml:space="preserve">CQ_VAR</t>
  </si>
  <si>
    <t xml:space="preserve">Supuesto</t>
  </si>
  <si>
    <t xml:space="preserve">Plazo mínimo</t>
  </si>
  <si>
    <t xml:space="preserve">días hábiles</t>
  </si>
  <si>
    <t xml:space="preserve">CQ_PMIN</t>
  </si>
  <si>
    <t xml:space="preserve">5 días hábiles por cada 7 corridos</t>
  </si>
  <si>
    <t xml:space="preserve">Plazo máximo</t>
  </si>
  <si>
    <t xml:space="preserve">CQ_PMAX</t>
  </si>
  <si>
    <t xml:space="preserve">Ídem</t>
  </si>
  <si>
    <t xml:space="preserve">CQ_CADA</t>
  </si>
  <si>
    <t xml:space="preserve">Un pedido por mes con las tres medidas; se pide solo lo que falta (como Fadesa, según demanda)</t>
  </si>
  <si>
    <t xml:space="preserve">Contenedor: largo interior</t>
  </si>
  <si>
    <t xml:space="preserve">CQ_LARGO</t>
  </si>
  <si>
    <t xml:space="preserve">Contenedor metálico de 1.200 × 1.000 (la base del pallet de flejes), paredes de 20 mm</t>
  </si>
  <si>
    <t xml:space="preserve">Contenedor: ancho interior</t>
  </si>
  <si>
    <t xml:space="preserve">CQ_ANCHO</t>
  </si>
  <si>
    <t xml:space="preserve">Alto útil de carga</t>
  </si>
  <si>
    <t xml:space="preserve">CQ_ALTO</t>
  </si>
  <si>
    <t xml:space="preserve">Con el contenedor en el piso, la pieza de arriba queda a ≈ 0,95 m: se saca a mano sin agacharse ni subir</t>
  </si>
  <si>
    <t xml:space="preserve">Base del contenedor (patas, entrada de uñas)</t>
  </si>
  <si>
    <t xml:space="preserve">CQ_BASE</t>
  </si>
  <si>
    <t xml:space="preserve">Peso bruto máximo</t>
  </si>
  <si>
    <t xml:space="preserve">CQ_KG</t>
  </si>
  <si>
    <t xml:space="preserve">Rack de 2.000 kg por nivel con 2 contenedores; mismo límite que el pallet de flejes</t>
  </si>
  <si>
    <t xml:space="preserve">Tara del contenedor</t>
  </si>
  <si>
    <t xml:space="preserve">CQ_TARA</t>
  </si>
  <si>
    <t xml:space="preserve">Contenedor metálico apilable, supuesto</t>
  </si>
  <si>
    <t xml:space="preserve">Alto del borde recto del casquete (pollera)</t>
  </si>
  <si>
    <t xml:space="preserve">CQ_POLL</t>
  </si>
  <si>
    <t xml:space="preserve">Supuesto: el tramo cilíndrico del borde, antes de que empiece la curva; es lo que encastra en el cuerpo. Medir en una muestra</t>
  </si>
  <si>
    <t xml:space="preserve">3) CUÁNTO ENTRA EN UN CONTENEDOR — columnas anidadas, mitad cúpulas y mitad fondos</t>
  </si>
  <si>
    <t xml:space="preserve">Casquete</t>
  </si>
  <si>
    <t xml:space="preserve">Ø (mm)</t>
  </si>
  <si>
    <t xml:space="preserve">Profundidad (mm)</t>
  </si>
  <si>
    <t xml:space="preserve">Peso (kg)</t>
  </si>
  <si>
    <t xml:space="preserve">Paso de anidado (mm)</t>
  </si>
  <si>
    <t xml:space="preserve">Columnas a lo largo</t>
  </si>
  <si>
    <t xml:space="preserve">Columnas a lo ancho</t>
  </si>
  <si>
    <t xml:space="preserve">Columnas</t>
  </si>
  <si>
    <t xml:space="preserve">Piezas por columna</t>
  </si>
  <si>
    <t xml:space="preserve">Por alto</t>
  </si>
  <si>
    <t xml:space="preserve">Por peso</t>
  </si>
  <si>
    <t xml:space="preserve">Por contenedor</t>
  </si>
  <si>
    <t xml:space="preserve">Cúpulas</t>
  </si>
  <si>
    <t xml:space="preserve">Fondos</t>
  </si>
  <si>
    <t xml:space="preserve">Manda</t>
  </si>
  <si>
    <t xml:space="preserve">Alto de la carga (mm)</t>
  </si>
  <si>
    <t xml:space="preserve">Peso bruto (kg)</t>
  </si>
  <si>
    <t xml:space="preserve">Consumo pico (u/día)</t>
  </si>
  <si>
    <t xml:space="preserve">Días que dura (pico)</t>
  </si>
  <si>
    <t xml:space="preserve">Contenedores por pedido</t>
  </si>
  <si>
    <t xml:space="preserve">Stock máx. (contenedores)</t>
  </si>
  <si>
    <t xml:space="preserve">Casquete 10" × 3,2 (carro 25 kg)</t>
  </si>
  <si>
    <t xml:space="preserve">Casquete 12" × 3,2 (carro 50 kg)</t>
  </si>
  <si>
    <t xml:space="preserve">Casquete 15" × 4,75 (carros 70 y 100 kg)</t>
  </si>
  <si>
    <t xml:space="preserve">Ø y profundidad: Word de carros (tabla de piezas del carro; la profundidad del 15" es estimada). Peso: Word de carros, recepción. Ø = diámetro del recipiente (el casquete encastra en el cuerpo).</t>
  </si>
  <si>
    <t xml:space="preserve">Cada columna lleva casquetes de una sola clase: las cúpulas (perforadas) en unas columnas y los fondos en otras, así no se mezclan. Si las columnas son impares, la del medio lleva fondos abajo y cúpulas arriba, con un cartón entre medio.</t>
  </si>
  <si>
    <t xml:space="preserve">El contenedor es retornable: se devuelve vacío en el camión del pedido siguiente, y es la unidad que se guarda en el rack y se baja al piso para ir sacando piezas.</t>
  </si>
  <si>
    <t xml:space="preserve">4) PEDIDOS A NOVA RUEDAS EN EL AÑO — un pedido por mes con las tres medidas juntas; de cada una se piden solo los contenedores que faltan</t>
  </si>
  <si>
    <t xml:space="preserve">Año</t>
  </si>
  <si>
    <t xml:space="preserve">Recipientes de carros del mes (balanceo)</t>
  </si>
  <si>
    <t xml:space="preserve">MP-15 · consumo del mes (u)</t>
  </si>
  <si>
    <t xml:space="preserve">MP-15 · contenedores en el pedido</t>
  </si>
  <si>
    <t xml:space="preserve">MP-15 · stock a fin de mes (u)</t>
  </si>
  <si>
    <t xml:space="preserve">MP-16 · consumo del mes (u)</t>
  </si>
  <si>
    <t xml:space="preserve">MP-16 · contenedores en el pedido</t>
  </si>
  <si>
    <t xml:space="preserve">MP-16 · stock a fin de mes (u)</t>
  </si>
  <si>
    <t xml:space="preserve">MP-17 · consumo del mes (u)</t>
  </si>
  <si>
    <t xml:space="preserve">MP-17 · contenedores en el pedido</t>
  </si>
  <si>
    <t xml:space="preserve">MP-17 · stock a fin de mes (u)</t>
  </si>
  <si>
    <t xml:space="preserve">Contenedores en el pedido a NOVA Ruedas</t>
  </si>
  <si>
    <t xml:space="preserve">Peso del pedido (t)</t>
  </si>
  <si>
    <t xml:space="preserve">Cómo se calcula: el pedido de cada mes llega al mes siguiente (40 días corridos). Se pide lo que falta para cubrir la seguridad y el consumo hasta fin del mes siguiente, en contenedores enteros. Columna N de la fila de stock = el mínimo del año (no baja de la seguridad).</t>
  </si>
  <si>
    <t xml:space="preserve">Consumo del mes = consumo del año (Stock_MP) repartido según los recipientes de carros de cada mes. Empieza en enero con la seguridad + el consumo de enero.</t>
  </si>
  <si>
    <t xml:space="preserve">STOCK DE CADA MATERIA PRIMA — consumo pico, seguridad, pedido y stock máximo (las 125 MP)</t>
  </si>
  <si>
    <t xml:space="preserve">Una fila por MP. Consumo pico = producción con sobrestock (factor de la línea), no ventas. Chapa y fleje salen de Chapa_fleje (en paquetes y rollos enteros).</t>
  </si>
  <si>
    <t xml:space="preserve">▶ Columnas M, N, O (cómo se compra), S (stock máximo), U (lugares) y V (cómo se guarda).</t>
  </si>
  <si>
    <t xml:space="preserve">Consumo por día (prom.)</t>
  </si>
  <si>
    <t xml:space="preserve">Consumo por día (pico)</t>
  </si>
  <si>
    <t xml:space="preserve">Consumo mientras llega</t>
  </si>
  <si>
    <t xml:space="preserve">Stock de seguridad</t>
  </si>
  <si>
    <t xml:space="preserve">Por pedido (unid. de compra)</t>
  </si>
  <si>
    <t xml:space="preserve">Pedidos por año</t>
  </si>
  <si>
    <t xml:space="preserve">Stock máximo</t>
  </si>
  <si>
    <t xml:space="preserve">Cómo se guarda</t>
  </si>
  <si>
    <t xml:space="preserve">Chapa (pilas en el piso)</t>
  </si>
  <si>
    <t xml:space="preserve">Flejes (rack + volteador)</t>
  </si>
  <si>
    <t xml:space="preserve">ALMACENES DE MP — qué estantería se eligió para cada uno y cómo se dispone cada material</t>
  </si>
  <si>
    <t xml:space="preserve">Primero se comparan los tipos de estantería industrial; después, para cada almacén, el tipo elegido, los lugares que ocupa el stock máximo de sus MP (Stock_MP) y los m².</t>
  </si>
  <si>
    <t xml:space="preserve">▶ Sección 2: columnas E (lugares), G (m²) e I (cómo se dispone).</t>
  </si>
  <si>
    <t xml:space="preserve">1) TIPOS DE ESTANTERÍA INDUSTRIAL</t>
  </si>
  <si>
    <t xml:space="preserve">Tipo</t>
  </si>
  <si>
    <t xml:space="preserve">Acceso y rotación</t>
  </si>
  <si>
    <t xml:space="preserve">Cuándo conviene</t>
  </si>
  <si>
    <t xml:space="preserve">m² por pallet (con pasillo)</t>
  </si>
  <si>
    <t xml:space="preserve">Se usa en FLAMA para</t>
  </si>
  <si>
    <t xml:space="preserve">Rack selectivo (como la foto)</t>
  </si>
  <si>
    <t xml:space="preserve">Bastidores y largueros; cada pallet en su posición</t>
  </si>
  <si>
    <t xml:space="preserve">Acceso directo a todos; FIFO por código</t>
  </si>
  <si>
    <t xml:space="preserve">Muchos códigos con pocos pallets cada uno</t>
  </si>
  <si>
    <t xml:space="preserve">Embalaje, montaje, recargas, soldadura, casquetes, insumos de carros y flejes</t>
  </si>
  <si>
    <t xml:space="preserve">Drive-in / compacto</t>
  </si>
  <si>
    <t xml:space="preserve">Calles dentro del rack; pallets uno detrás de otro</t>
  </si>
  <si>
    <t xml:space="preserve">Último que entra, primero que sale</t>
  </si>
  <si>
    <t xml:space="preserve">Muchos pallets de un mismo código (&gt; 20)</t>
  </si>
  <si>
    <t xml:space="preserve">No: ningún código pasa de 14 pallets y las cajas cambian todas las semanas</t>
  </si>
  <si>
    <t xml:space="preserve">Dinámico (por gravedad)</t>
  </si>
  <si>
    <t xml:space="preserve">Rodillos inclinados; carga atrás, descarga adelante</t>
  </si>
  <si>
    <t xml:space="preserve">FIFO perfecto</t>
  </si>
  <si>
    <t xml:space="preserve">Alta rotación de pocos códigos</t>
  </si>
  <si>
    <t xml:space="preserve">No: caro para el volumen de FLAMA</t>
  </si>
  <si>
    <t xml:space="preserve">Push-back</t>
  </si>
  <si>
    <t xml:space="preserve">Carros que se empujan</t>
  </si>
  <si>
    <t xml:space="preserve">2 a 4 pallets por código, poco espacio</t>
  </si>
  <si>
    <t xml:space="preserve">No: pierde el FIFO</t>
  </si>
  <si>
    <t xml:space="preserve">Cantilever</t>
  </si>
  <si>
    <t xml:space="preserve">Columnas con brazos, sin parante adelante</t>
  </si>
  <si>
    <t xml:space="preserve">Cargas largas</t>
  </si>
  <si>
    <t xml:space="preserve">Barras, caños y perfiles</t>
  </si>
  <si>
    <t xml:space="preserve">Caños y barras de carros</t>
  </si>
  <si>
    <t xml:space="preserve">Estantería liviana / gavetas</t>
  </si>
  <si>
    <t xml:space="preserve">Estantes metálicos de 80 a 150 kg</t>
  </si>
  <si>
    <t xml:space="preserve">A mano</t>
  </si>
  <si>
    <t xml:space="preserve">Cajas chicas, rollos de etiquetas</t>
  </si>
  <si>
    <t xml:space="preserve">Identificación y estantes de los puestos</t>
  </si>
  <si>
    <t xml:space="preserve">Apilado en bloque (piso)</t>
  </si>
  <si>
    <t xml:space="preserve">Bultos uno sobre otro, sin estructura</t>
  </si>
  <si>
    <t xml:space="preserve">Se toma el de arriba</t>
  </si>
  <si>
    <t xml:space="preserve">Bultos planos y pesados que se apilan solos</t>
  </si>
  <si>
    <t xml:space="preserve">Paquetes de chapa (hasta lo que dejan el autoelevador y el piso) y big bags</t>
  </si>
  <si>
    <t xml:space="preserve">m² por pallet orientativos (pallet 1.200 × 1.000, 3 alturas, calle de autoelevador contrapesado). El selectivo usa más piso por pallet que el drive-in, pero FLAMA tiene muchos códigos y pocos pallets de cada uno: con drive-in quedarían calles medio vacías.</t>
  </si>
  <si>
    <t xml:space="preserve">2) CADA ALMACÉN: ESTANTERÍA ELEGIDA, LUGARES, m² Y CÓMO SE DISPONE</t>
  </si>
  <si>
    <t xml:space="preserve">Qué guarda</t>
  </si>
  <si>
    <t xml:space="preserve">Estantería elegida</t>
  </si>
  <si>
    <t xml:space="preserve">Por qué</t>
  </si>
  <si>
    <t xml:space="preserve">m² por lugar</t>
  </si>
  <si>
    <t xml:space="preserve">Antes (v10, m²)</t>
  </si>
  <si>
    <t xml:space="preserve">Cómo se dispone</t>
  </si>
  <si>
    <t xml:space="preserve">Paquetes de hojas de manuales y de carros</t>
  </si>
  <si>
    <t xml:space="preserve">Apilado en bloque</t>
  </si>
  <si>
    <t xml:space="preserve">El paquete va entero a la mesa elevadora; no entra en un rack de 2,30 m</t>
  </si>
  <si>
    <t xml:space="preserve"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t>
  </si>
  <si>
    <t xml:space="preserve">Rollos de fleje de las 8 matrices</t>
  </si>
  <si>
    <t xml:space="preserve">Rack selectivo 2.000 kg/nivel</t>
  </si>
  <si>
    <t xml:space="preserve">Los rollos acostados no se deforman y se apilan; el rack usa la altura</t>
  </si>
  <si>
    <t xml:space="preserve">(en la fila de arriba)</t>
  </si>
  <si>
    <t xml:space="preserve"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t>
  </si>
  <si>
    <t xml:space="preserve">Cantilever (fabricación propia)</t>
  </si>
  <si>
    <t xml:space="preserve">Cargas largas de 4 y 6 m</t>
  </si>
  <si>
    <t xml:space="preserve">Un atado por brazo y una medida por nivel; las barras de 6 m con los brazos a 1,5 m.</t>
  </si>
  <si>
    <t xml:space="preserve">Big bags de polvo ABC, bolsas de BC y clase D</t>
  </si>
  <si>
    <t xml:space="preserve">El big bag se apila de a 2 y no necesita rack</t>
  </si>
  <si>
    <t xml:space="preserve">Big bags de 1 × 1 m en el piso, de a 2, por fecha de llegada; bolsas de 25 kg y cajas de pintura sobre pallet plástico. Depósito seco.</t>
  </si>
  <si>
    <t xml:space="preserve">Cajas plegadas, pallets, tapones</t>
  </si>
  <si>
    <t xml:space="preserve">Rack selectivo 500 kg/nivel</t>
  </si>
  <si>
    <t xml:space="preserve">Pallets livianos (&lt; 300 kg), muchos códigos</t>
  </si>
  <si>
    <t xml:space="preserve">Abajo el pallet que se está usando, arriba la entrega de la semana. La pila de pallets de madera va en el piso.</t>
  </si>
  <si>
    <t xml:space="preserve">Etiquetas, obleas, estampillas, impresos</t>
  </si>
  <si>
    <t xml:space="preserve">Estantería liviana</t>
  </si>
  <si>
    <t xml:space="preserve">Cajas y rollos chicos que se toman a mano</t>
  </si>
  <si>
    <t xml:space="preserve">Un estante por familia; obleas y estampillas (valores) en estante con candado.</t>
  </si>
  <si>
    <t xml:space="preserve">Válvulas, manómetros, toberas, juntas, asientos</t>
  </si>
  <si>
    <t xml:space="preserve">Rack selectivo 1.000 kg/nivel</t>
  </si>
  <si>
    <t xml:space="preserve">Pallets de válvulas de hasta ≈ 600 kg</t>
  </si>
  <si>
    <t xml:space="preserve">Abajo el pallet o la caja en uso (de ahí sale el carro de abastecimiento), arriba la reposición del pedido mensual.</t>
  </si>
  <si>
    <t xml:space="preserve">Tambores de acetato, AFFF, CO₂, HCFC, juntas</t>
  </si>
  <si>
    <t xml:space="preserve">Mezcla de tambores y cajas</t>
  </si>
  <si>
    <t xml:space="preserve">Tambores de 200 L en el piso sobre pallet antiderrame; bidones en bandeja; cajas en los niveles.</t>
  </si>
  <si>
    <t xml:space="preserve">Alambre, granalla, pintura, discos</t>
  </si>
  <si>
    <t xml:space="preserve">Pallets de alambre (900 kg) y granalla (1.000 kg)</t>
  </si>
  <si>
    <t xml:space="preserve">Granalla en el piso del rack; alambre y pintura arriba; insumos chicos en caja.</t>
  </si>
  <si>
    <t xml:space="preserve">Baterías MAG, pack de N₂, cilindros</t>
  </si>
  <si>
    <t xml:space="preserve">Jaula exterior ventilada</t>
  </si>
  <si>
    <t xml:space="preserve">Norma de gases a presión: afuera y ventilado</t>
  </si>
  <si>
    <t xml:space="preserve">Baterías y pack con manifold conectados a la cañería; cilindros sueltos encadenados en gabinete.</t>
  </si>
  <si>
    <t xml:space="preserve">Casquetes (contenedores), cuplas</t>
  </si>
  <si>
    <t xml:space="preserve">Contenedores de casquetes de ≈ 1 t</t>
  </si>
  <si>
    <t xml:space="preserve">Un contenedor por medida de casquete (cúpulas y fondos en columnas separadas); el que está en uso en el piso; cajas de cuplas arriba.</t>
  </si>
  <si>
    <t xml:space="preserve">Ruedas, válvulas, mangueras, ejes</t>
  </si>
  <si>
    <t xml:space="preserve">Pallets de ruedas (≈ 300 kg) y cajas</t>
  </si>
  <si>
    <t xml:space="preserve">Ruedas en pallet abajo; cajas arriba.</t>
  </si>
  <si>
    <t xml:space="preserve">Matafuegos de reventa</t>
  </si>
  <si>
    <t xml:space="preserve">— (va en el almacén de PT)</t>
  </si>
  <si>
    <t xml:space="preserve">No es MP</t>
  </si>
  <si>
    <t xml:space="preserve">En el almacén de producto terminado (Balanceo2035, Pulmones sección 6).</t>
  </si>
  <si>
    <t xml:space="preserve">Total almacén de MP</t>
  </si>
  <si>
    <t xml:space="preserve">Antes (v10): chapa y fleje iban juntos (94,5 m², con las hojas por lugar del MRP viejo) más la calle de chapa de carros (6,7 m²). Los lugares de chapa son pilas y los de flejes posiciones de rack.</t>
  </si>
  <si>
    <t xml:space="preserve">UN PEDIDO POR PROVEEDOR — cada cuánto se pide</t>
  </si>
  <si>
    <t xml:space="preserve">Cada proveedor recibe un solo pedido con todo lo suyo. Los días entre pedidos de chapa y fleje se editan acá (amarillo); los del resto están en Stock_MP, columna O.</t>
  </si>
  <si>
    <t xml:space="preserve">▶ Columna C: cada cuántos días hábiles se le pide a cada proveedor.</t>
  </si>
  <si>
    <t xml:space="preserve">Materiales</t>
  </si>
  <si>
    <t xml:space="preserve">Cada (días hábiles)</t>
  </si>
  <si>
    <t xml:space="preserve">Qué se le pide</t>
  </si>
  <si>
    <t xml:space="preserve">MP-02, MP-03, MP-04, MP-05, MP-13, MP-11, MP-12</t>
  </si>
  <si>
    <t xml:space="preserve">MP-06, MP-14, MP-07, MP-08, MP-09, MP-10</t>
  </si>
  <si>
    <t xml:space="preserve">MP-15, MP-16, MP-17</t>
  </si>
  <si>
    <t xml:space="preserve">MP-18, MP-19, MP-20, MP-21</t>
  </si>
  <si>
    <t xml:space="preserve">MP-66, MP-67</t>
  </si>
  <si>
    <t xml:space="preserve">MP-68, MP-69</t>
  </si>
  <si>
    <t xml:space="preserve">MP-70, MP-71, MP-29, MP-92, MP-93, MP-95, MP-50/OT, MP-86</t>
  </si>
  <si>
    <t xml:space="preserve">MP-54/300, MP-54/350</t>
  </si>
  <si>
    <t xml:space="preserve">MP-23, MP-24</t>
  </si>
  <si>
    <t xml:space="preserve">MP-25, MP-26, MP-34, MP-37</t>
  </si>
  <si>
    <t xml:space="preserve">MP-27, MP-94</t>
  </si>
  <si>
    <t xml:space="preserve">MP-31, MP-65</t>
  </si>
  <si>
    <t xml:space="preserve">MP-33, MP-33B, MP-36</t>
  </si>
  <si>
    <t xml:space="preserve">MP-35, MP-40, MP-41</t>
  </si>
  <si>
    <t xml:space="preserve">MP-42, MP-43, MP-44/25, MP-44/50</t>
  </si>
  <si>
    <t xml:space="preserve">MP-45, MP-48/ABC1, MP-48/ABC2.5, MP-48/ABC5, MP-48/ABC10, MP-49/ABC25, MP-49/ABC50, MP-49/ABC70, MP-49/ABC100</t>
  </si>
  <si>
    <t xml:space="preserve">MP-46/ABC2.5, MP-46/ABC5, MP-46/ABC10</t>
  </si>
  <si>
    <t xml:space="preserve">MP-47/ABC25, MP-47/ABC50, MP-47/ABC70, MP-47/ABC100</t>
  </si>
  <si>
    <t xml:space="preserve">MP-50/M22, MP-50/M30, MP-50/2½</t>
  </si>
  <si>
    <t xml:space="preserve">MP-52/ABC2.5, MP-52/ABC5, MP-52/ABC10, MP-87</t>
  </si>
  <si>
    <t xml:space="preserve">MP-56/ABC1, MP-56/ABC2.5, MP-56/ABC5, MP-80, MP-81, MP-88, MP-57, MP-72, MP-82, MP-89, MP-90</t>
  </si>
  <si>
    <t xml:space="preserve">MP-56/ABC10, MP-56/ABC25, MP-56/ABC50, MP-56/ABC70, MP-56/ABC100</t>
  </si>
  <si>
    <t xml:space="preserve">MP-78, MP-75, MP-76, MP-83</t>
  </si>
  <si>
    <t xml:space="preserve">MP-77, MP-84</t>
  </si>
  <si>
    <t xml:space="preserve">MP-51, MP-97</t>
  </si>
  <si>
    <t xml:space="preserve">MP-62/M22, MP-62/M30, MP-62/2½</t>
  </si>
  <si>
    <t xml:space="preserve">MP-59/ABC1, MP-59/ABC2.5, MP-59/ABC5, MP-59/ABC10</t>
  </si>
  <si>
    <t xml:space="preserve">RV-AGUA_10l, RV-AFFF_10l, RV-AFFF_50l, RV-BC_5kg, RV-CO2_2kg</t>
  </si>
  <si>
    <t xml:space="preserve">RV-SALESK_6l, RV-CO2_5kg, RV-HCFC-HFC_5kg</t>
  </si>
  <si>
    <t xml:space="preserve">Total de pedidos por año</t>
  </si>
  <si>
    <t xml:space="preserve">Pacheco Chapas va cada 10 días porque sus rollos del 5 kg pesan más de 1 t: pedirlos una vez por mes subiría mucho el stock. Si un proveedor tiene materiales con distinta frecuencia, el pedido va con la más corta y en cada uno se pide solo lo que falta.</t>
  </si>
  <si>
    <t xml:space="preserve">EQUIPOS PARA GUARDAR LA MP — cuántos hacen falta y cuánto cuestan</t>
  </si>
  <si>
    <t xml:space="preserve">Cantidades con fórmula desde Almacenes y Chapa_fleje; precios de Datos sección 6 (con IVA, 21/10/2026). Los flejes ya no van en cunas.</t>
  </si>
  <si>
    <t xml:space="preserve">▶ Columna G: subtotal por equipo y total al pie.</t>
  </si>
  <si>
    <t xml:space="preserve">Zona</t>
  </si>
  <si>
    <t xml:space="preserve">Cantidad</t>
  </si>
  <si>
    <t xml:space="preserve">Precio unitario</t>
  </si>
  <si>
    <t xml:space="preserve">Subtotal</t>
  </si>
  <si>
    <t xml:space="preserve">Cómo se calculó</t>
  </si>
  <si>
    <t xml:space="preserve">Rack 2.000 kg/nivel — módulo inicial</t>
  </si>
  <si>
    <t xml:space="preserve">1 por fila de rack</t>
  </si>
  <si>
    <t xml:space="preserve">Rack 2.000 kg/nivel — módulo adicional</t>
  </si>
  <si>
    <t xml:space="preserve">Módulos de Chapa_fleje G68</t>
  </si>
  <si>
    <t xml:space="preserve">Apilador con pinza giratoria («volteador»)</t>
  </si>
  <si>
    <t xml:space="preserve">Pallet plástico para los rollos de hasta 1.000 kg</t>
  </si>
  <si>
    <t xml:space="preserve">Los rollos del 5 kg (más de 1.000 kg) van sobre pallet de madera de 4 entradas del pedido de IndusPallets (MP-60)</t>
  </si>
  <si>
    <t xml:space="preserve">Rack 2.000 kg/nivel — inicial</t>
  </si>
  <si>
    <t xml:space="preserve">Rack 2.000 kg/nivel — adicional</t>
  </si>
  <si>
    <t xml:space="preserve">Lugares ÷ 6</t>
  </si>
  <si>
    <t xml:space="preserve">Rack 500 kg/nivel — inicial</t>
  </si>
  <si>
    <t xml:space="preserve">Rack 500 kg/nivel — adicional</t>
  </si>
  <si>
    <t xml:space="preserve">Rack 1.000 kg/nivel — inicial</t>
  </si>
  <si>
    <t xml:space="preserve">Rack 1.000 kg/nivel — adicional</t>
  </si>
  <si>
    <t xml:space="preserve">Pallet antiderrame 4 tambores</t>
  </si>
  <si>
    <t xml:space="preserve">Uno en el almacén y otro al pie del puesto 5</t>
  </si>
  <si>
    <t xml:space="preserve">Bandeja de contención</t>
  </si>
  <si>
    <t xml:space="preserve">Almacén y puesto 5</t>
  </si>
  <si>
    <t xml:space="preserve">Estantería encastrable 110 × 50</t>
  </si>
  <si>
    <t xml:space="preserve">m² ÷ 1,1 m² por estantería con pasillo</t>
  </si>
  <si>
    <t xml:space="preserve">Pallet plástico (pintura y bolsas)</t>
  </si>
  <si>
    <t xml:space="preserve">1 por material</t>
  </si>
  <si>
    <t xml:space="preserve">Malla electrosoldada (rollo)</t>
  </si>
  <si>
    <t xml:space="preserve">Cerco de la jaula</t>
  </si>
  <si>
    <t xml:space="preserve">Gabinete para 8 cilindros</t>
  </si>
  <si>
    <t xml:space="preserve">CO₂ y argón sueltos</t>
  </si>
  <si>
    <t xml:space="preserve">Par de largueros extra 2,30 m (4.º nivel)</t>
  </si>
  <si>
    <t xml:space="preserve">1 por módulo: el rack de flejes tiene piso + 3 niveles</t>
  </si>
  <si>
    <t xml:space="preserve">Fabricación propia</t>
  </si>
  <si>
    <t xml:space="preserve">Cantilever y jaula</t>
  </si>
  <si>
    <t xml:space="preserve">Perfil UPN 100 × 12 m</t>
  </si>
  <si>
    <t xml:space="preserve">Cantilever (17,4 m) + postes de la jaula (14 m) + 10 %: ya no hay cunas</t>
  </si>
  <si>
    <t xml:space="preserve">General</t>
  </si>
  <si>
    <t xml:space="preserve">Chapa y almacén</t>
  </si>
  <si>
    <t xml:space="preserve">Cinta demarcatoria</t>
  </si>
  <si>
    <t xml:space="preserve">Pilas de chapa, rack de flejes, estación de volteo, big bags</t>
  </si>
  <si>
    <t xml:space="preserve">Total con IVA (sin el apilador con pinza, a cotizar)</t>
  </si>
  <si>
    <t xml:space="preserve">No incluye: autoelevador y pluma (ya están en los Words), estantes de cajones y carros de abastecimiento de la línea (MP al pie de los puestos) ni el almacén de PT.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</si>
</sst>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&quot;$ &quot;#,##0"/>
    <numFmt numFmtId="167" formatCode="0"/>
    <numFmt numFmtId="168" formatCode="0.00"/>
    <numFmt numFmtId="169" formatCode="#,##0"/>
    <numFmt numFmtId="170" formatCode="0.0"/>
    <numFmt numFmtId="171" formatCode="0.000"/>
    <numFmt numFmtId="172" formatCode="0%"/>
    <numFmt numFmtId="173" formatCode="0.0#"/>
    <numFmt numFmtId="17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000000"/>
        <bgColor rgb="FF003300"/>
      </patternFill>
    </fill>
    <fill>
      <patternFill patternType="solid">
        <fgColor rgb="FFDDEBF7"/>
        <bgColor rgb="FFD9EAD3"/>
      </patternFill>
    </fill>
    <fill>
      <patternFill patternType="solid">
        <fgColor rgb="FFD9EAD3"/>
        <bgColor rgb="FFDDEBF7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3" min="2" style="1" width="16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15" hidden="false" customHeight="true" outlineLevel="0" collapsed="false">
      <c r="A5" s="5" t="s">
        <v>3</v>
      </c>
      <c r="B5" s="6"/>
      <c r="C5" s="6"/>
      <c r="D5" s="6"/>
    </row>
    <row r="6" customFormat="false" ht="42" hidden="false" customHeight="true" outlineLevel="0" collapsed="false">
      <c r="A6" s="7" t="s">
        <v>4</v>
      </c>
      <c r="B6" s="7" t="s">
        <v>5</v>
      </c>
      <c r="C6" s="7" t="s">
        <v>6</v>
      </c>
      <c r="D6" s="7" t="s">
        <v>7</v>
      </c>
    </row>
    <row r="7" customFormat="false" ht="15" hidden="false" customHeight="true" outlineLevel="0" collapsed="false">
      <c r="A7" s="8" t="s">
        <v>8</v>
      </c>
      <c r="B7" s="9" t="n">
        <f aca="false">Datos!D47</f>
        <v>207.49</v>
      </c>
      <c r="C7" s="10" t="n">
        <f aca="false">Almacenes!G33</f>
        <v>221.7636</v>
      </c>
      <c r="D7" s="11" t="s">
        <v>9</v>
      </c>
    </row>
    <row r="8" customFormat="false" ht="15" hidden="false" customHeight="true" outlineLevel="0" collapsed="false">
      <c r="A8" s="8" t="s">
        <v>10</v>
      </c>
      <c r="B8" s="9" t="n">
        <f aca="false">Almacenes!H19</f>
        <v>101.16</v>
      </c>
      <c r="C8" s="10" t="n">
        <f aca="false">Almacenes!G19+Almacenes!G20</f>
        <v>117.6236</v>
      </c>
      <c r="D8" s="11" t="s">
        <v>11</v>
      </c>
    </row>
    <row r="9" customFormat="false" ht="15" hidden="false" customHeight="true" outlineLevel="0" collapsed="false">
      <c r="A9" s="8" t="s">
        <v>12</v>
      </c>
      <c r="B9" s="9" t="s">
        <v>13</v>
      </c>
      <c r="C9" s="10" t="n">
        <f aca="false">Chapa_fleje!K24</f>
        <v>7</v>
      </c>
      <c r="D9" s="11" t="s">
        <v>14</v>
      </c>
    </row>
    <row r="10" customFormat="false" ht="15" hidden="false" customHeight="true" outlineLevel="0" collapsed="false">
      <c r="A10" s="8" t="s">
        <v>15</v>
      </c>
      <c r="B10" s="9" t="n">
        <v>1.2</v>
      </c>
      <c r="C10" s="10" t="n">
        <f aca="false">MAX(Chapa_fleje!M18:M23)</f>
        <v>2.4969</v>
      </c>
      <c r="D10" s="11" t="s">
        <v>14</v>
      </c>
    </row>
    <row r="11" customFormat="false" ht="15" hidden="false" customHeight="true" outlineLevel="0" collapsed="false">
      <c r="A11" s="8" t="s">
        <v>16</v>
      </c>
      <c r="B11" s="9" t="s">
        <v>13</v>
      </c>
      <c r="C11" s="10" t="n">
        <f aca="false">Chapa_fleje!G72</f>
        <v>25.56</v>
      </c>
      <c r="D11" s="11" t="s">
        <v>17</v>
      </c>
    </row>
    <row r="12" customFormat="false" ht="15" hidden="false" customHeight="true" outlineLevel="0" collapsed="false">
      <c r="A12" s="8" t="s">
        <v>18</v>
      </c>
      <c r="B12" s="9" t="s">
        <v>19</v>
      </c>
      <c r="C12" s="10" t="n">
        <f aca="false">Chapa_fleje!G68</f>
        <v>2</v>
      </c>
      <c r="D12" s="11" t="s">
        <v>17</v>
      </c>
    </row>
    <row r="13" customFormat="false" ht="15" hidden="false" customHeight="true" outlineLevel="0" collapsed="false">
      <c r="A13" s="8" t="s">
        <v>20</v>
      </c>
      <c r="B13" s="9" t="s">
        <v>13</v>
      </c>
      <c r="C13" s="10" t="str">
        <f aca="false">Chapa_fleje!L52</f>
        <v>Tymbia M103070075 en apilador eléctrico de 2,5 t</v>
      </c>
      <c r="D13" s="11" t="s">
        <v>21</v>
      </c>
    </row>
    <row r="14" customFormat="false" ht="15" hidden="false" customHeight="true" outlineLevel="0" collapsed="false">
      <c r="A14" s="8" t="s">
        <v>22</v>
      </c>
      <c r="B14" s="12" t="n">
        <v>20477058</v>
      </c>
      <c r="C14" s="13" t="n">
        <f aca="false">Equipos!G32</f>
        <v>21644111</v>
      </c>
      <c r="D14" s="11" t="s">
        <v>23</v>
      </c>
    </row>
    <row r="15" customFormat="false" ht="15" hidden="false" customHeight="true" outlineLevel="0" collapsed="false">
      <c r="A15" s="8" t="s">
        <v>24</v>
      </c>
      <c r="B15" s="9" t="s">
        <v>13</v>
      </c>
      <c r="C15" s="10" t="n">
        <f aca="false">Pedidos!D45</f>
        <v>596</v>
      </c>
      <c r="D15" s="11" t="s">
        <v>25</v>
      </c>
    </row>
    <row r="16" customFormat="false" ht="15" hidden="false" customHeight="true" outlineLevel="0" collapsed="false">
      <c r="A16" s="8" t="s">
        <v>26</v>
      </c>
      <c r="B16" s="9" t="n">
        <v>35.5</v>
      </c>
      <c r="C16" s="10" t="n">
        <f aca="false">Datos!D48</f>
        <v>35.5</v>
      </c>
      <c r="D16" s="11" t="s">
        <v>27</v>
      </c>
    </row>
    <row r="17" customFormat="false" ht="15" hidden="false" customHeight="true" outlineLevel="0" collapsed="false">
      <c r="A17" s="14" t="s">
        <v>28</v>
      </c>
    </row>
    <row r="19" customFormat="false" ht="15" hidden="false" customHeight="true" outlineLevel="0" collapsed="false">
      <c r="A19" s="5" t="s">
        <v>29</v>
      </c>
      <c r="B19" s="6"/>
      <c r="C19" s="6"/>
      <c r="D19" s="6"/>
    </row>
    <row r="20" customFormat="false" ht="42" hidden="false" customHeight="true" outlineLevel="0" collapsed="false">
      <c r="A20" s="7" t="s">
        <v>30</v>
      </c>
      <c r="B20" s="7" t="s">
        <v>31</v>
      </c>
      <c r="C20" s="7" t="s">
        <v>32</v>
      </c>
      <c r="D20" s="7" t="s">
        <v>33</v>
      </c>
    </row>
    <row r="21" customFormat="false" ht="15" hidden="false" customHeight="true" outlineLevel="0" collapsed="false">
      <c r="A21" s="11" t="str">
        <f aca="false">Chapa_fleje!A7&amp;" · "&amp;Chapa_fleje!B7</f>
        <v>MP-01 · Hoja LAF 0,9 × 1220 × 2440 mm (cuerpo 1 kg)</v>
      </c>
      <c r="B21" s="11" t="str">
        <f aca="false">"Paquete de "&amp;Chapa_fleje!L7&amp;" hojas ("&amp;TEXT(Chapa_fleje!M7,"#,##0")&amp;" kg)"</f>
        <v>Paquete de 21 hojas (442 kg)</v>
      </c>
      <c r="C21" s="15" t="n">
        <f aca="false">Chapa_fleje!T7</f>
        <v>20</v>
      </c>
      <c r="D21" s="15" t="n">
        <f aca="false">Chapa_fleje!V7</f>
        <v>21</v>
      </c>
    </row>
    <row r="22" customFormat="false" ht="15" hidden="false" customHeight="true" outlineLevel="0" collapsed="false">
      <c r="A22" s="11" t="str">
        <f aca="false">Chapa_fleje!A8&amp;" · "&amp;Chapa_fleje!B8</f>
        <v>MP-02 · Hoja LAF 1,25 × 1220 × 2440 mm</v>
      </c>
      <c r="B22" s="11" t="str">
        <f aca="false">"Paquete de "&amp;Chapa_fleje!L8&amp;" hojas ("&amp;TEXT(Chapa_fleje!M8,"#,##0")&amp;" kg)"</f>
        <v>Paquete de 19 hojas (555 kg)</v>
      </c>
      <c r="C22" s="15" t="n">
        <f aca="false">Chapa_fleje!T8</f>
        <v>20</v>
      </c>
      <c r="D22" s="15" t="n">
        <f aca="false">Chapa_fleje!V8</f>
        <v>4</v>
      </c>
    </row>
    <row r="23" customFormat="false" ht="15" hidden="false" customHeight="true" outlineLevel="0" collapsed="false">
      <c r="A23" s="11" t="str">
        <f aca="false">Chapa_fleje!A9&amp;" · "&amp;Chapa_fleje!B9</f>
        <v>MP-03 · Hoja LAF 1,6 × 1000 × 2000 mm</v>
      </c>
      <c r="B23" s="11" t="str">
        <f aca="false">"Paquete de "&amp;Chapa_fleje!L9&amp;" hojas ("&amp;TEXT(Chapa_fleje!M9,"#,##0")&amp;" kg)"</f>
        <v>Paquete de 24 hojas (603 kg)</v>
      </c>
      <c r="C23" s="15" t="n">
        <f aca="false">Chapa_fleje!T9</f>
        <v>20</v>
      </c>
      <c r="D23" s="15" t="n">
        <f aca="false">Chapa_fleje!V9</f>
        <v>23</v>
      </c>
    </row>
    <row r="24" customFormat="false" ht="15" hidden="false" customHeight="true" outlineLevel="0" collapsed="false">
      <c r="A24" s="11" t="str">
        <f aca="false">Chapa_fleje!A10&amp;" · "&amp;Chapa_fleje!B10</f>
        <v>MP-04 · Hoja LAF 2,0 × 1500 × 3000 mm</v>
      </c>
      <c r="B24" s="11" t="str">
        <f aca="false">"Paquete de "&amp;Chapa_fleje!L10&amp;" hojas ("&amp;TEXT(Chapa_fleje!M10,"#,##0")&amp;" kg)"</f>
        <v>Paquete de 19 hojas (1,342 kg)</v>
      </c>
      <c r="C24" s="15" t="n">
        <f aca="false">Chapa_fleje!T10</f>
        <v>20</v>
      </c>
      <c r="D24" s="15" t="n">
        <f aca="false">Chapa_fleje!V10</f>
        <v>3</v>
      </c>
    </row>
    <row r="25" customFormat="false" ht="15" hidden="false" customHeight="true" outlineLevel="0" collapsed="false">
      <c r="A25" s="11" t="str">
        <f aca="false">Chapa_fleje!A11&amp;" · "&amp;Chapa_fleje!B11</f>
        <v>MP-11 · Hoja LAC 3,2 × 1500 × 3000 mm</v>
      </c>
      <c r="B25" s="11" t="str">
        <f aca="false">"Paquete de "&amp;Chapa_fleje!L11&amp;" hojas ("&amp;TEXT(Chapa_fleje!M11,"#,##0")&amp;" kg)"</f>
        <v>Paquete de 7 hojas (791 kg)</v>
      </c>
      <c r="C25" s="15" t="n">
        <f aca="false">Chapa_fleje!T11</f>
        <v>20</v>
      </c>
      <c r="D25" s="15" t="n">
        <f aca="false">Chapa_fleje!V11</f>
        <v>6</v>
      </c>
    </row>
    <row r="26" customFormat="false" ht="15" hidden="false" customHeight="true" outlineLevel="0" collapsed="false">
      <c r="A26" s="11" t="str">
        <f aca="false">Chapa_fleje!A12&amp;" · "&amp;Chapa_fleje!B12</f>
        <v>MP-12 · Hoja LAC 4,75 × 1500 × 3000 mm</v>
      </c>
      <c r="B26" s="11" t="str">
        <f aca="false">"Paquete de "&amp;Chapa_fleje!L12&amp;" hojas ("&amp;TEXT(Chapa_fleje!M12,"#,##0")&amp;" kg)"</f>
        <v>Paquete de 3 hojas (503 kg)</v>
      </c>
      <c r="C26" s="15" t="n">
        <f aca="false">Chapa_fleje!T12</f>
        <v>20</v>
      </c>
      <c r="D26" s="15" t="n">
        <f aca="false">Chapa_fleje!V12</f>
        <v>6</v>
      </c>
    </row>
    <row r="27" customFormat="false" ht="15" hidden="false" customHeight="true" outlineLevel="0" collapsed="false">
      <c r="A27" s="11" t="str">
        <f aca="false">Chapa_fleje!A34&amp;" · "&amp;Chapa_fleje!B34</f>
        <v>MP-05 · Fleje LAF 0,9 × 93,05 mm (cúpula 1 kg)</v>
      </c>
      <c r="B27" s="11" t="str">
        <f aca="false">"Rollo de "&amp;TEXT(Chapa_fleje!M34,"#,##0")&amp;" kg · Ø "&amp;TEXT(Chapa_fleje!N34,"#,##0")</f>
        <v>Rollo de 218 kg · Ø 798</v>
      </c>
      <c r="C27" s="15" t="n">
        <f aca="false">Chapa_fleje!T34</f>
        <v>20</v>
      </c>
      <c r="D27" s="15" t="n">
        <f aca="false">Chapa_fleje!V34</f>
        <v>6</v>
      </c>
    </row>
    <row r="28" customFormat="false" ht="15" hidden="false" customHeight="true" outlineLevel="0" collapsed="false">
      <c r="A28" s="11" t="str">
        <f aca="false">Chapa_fleje!A35&amp;" · "&amp;Chapa_fleje!B35</f>
        <v>MP-13 · Fleje LAF 0,9 × 100,6 mm (fondo 1 kg)</v>
      </c>
      <c r="B28" s="11" t="str">
        <f aca="false">"Rollo de "&amp;TEXT(Chapa_fleje!M35,"#,##0")&amp;" kg · Ø "&amp;TEXT(Chapa_fleje!N35,"#,##0")</f>
        <v>Rollo de 252 kg · Ø 816</v>
      </c>
      <c r="C28" s="15" t="n">
        <f aca="false">Chapa_fleje!T35</f>
        <v>20</v>
      </c>
      <c r="D28" s="15" t="n">
        <f aca="false">Chapa_fleje!V35</f>
        <v>6</v>
      </c>
    </row>
    <row r="29" customFormat="false" ht="15" hidden="false" customHeight="true" outlineLevel="0" collapsed="false">
      <c r="A29" s="11" t="str">
        <f aca="false">Chapa_fleje!A36&amp;" · "&amp;Chapa_fleje!B36</f>
        <v>MP-06 · Fleje LAF 1,25 × 162,1 mm (cúpula 2,5 kg)</v>
      </c>
      <c r="B29" s="11" t="str">
        <f aca="false">"Rollo de "&amp;TEXT(Chapa_fleje!M36,"#,##0")&amp;" kg · Ø "&amp;TEXT(Chapa_fleje!N36,"#,##0")</f>
        <v>Rollo de 258 kg · Ø 718</v>
      </c>
      <c r="C29" s="15" t="n">
        <f aca="false">Chapa_fleje!T36</f>
        <v>10</v>
      </c>
      <c r="D29" s="15" t="n">
        <f aca="false">Chapa_fleje!V36</f>
        <v>2</v>
      </c>
    </row>
    <row r="30" customFormat="false" ht="15" hidden="false" customHeight="true" outlineLevel="0" collapsed="false">
      <c r="A30" s="11" t="str">
        <f aca="false">Chapa_fleje!A37&amp;" · "&amp;Chapa_fleje!B37</f>
        <v>MP-14 · Fleje LAF 1,25 × 146,1 mm (fondo 2,5 kg)</v>
      </c>
      <c r="B30" s="11" t="str">
        <f aca="false">"Rollo de "&amp;TEXT(Chapa_fleje!M37,"#,##0")&amp;" kg · Ø "&amp;TEXT(Chapa_fleje!N37,"#,##0")</f>
        <v>Rollo de 209 kg · Ø 700</v>
      </c>
      <c r="C30" s="15" t="n">
        <f aca="false">Chapa_fleje!T37</f>
        <v>10</v>
      </c>
      <c r="D30" s="15" t="n">
        <f aca="false">Chapa_fleje!V37</f>
        <v>2</v>
      </c>
    </row>
    <row r="31" customFormat="false" ht="15" hidden="false" customHeight="true" outlineLevel="0" collapsed="false">
      <c r="A31" s="11" t="str">
        <f aca="false">Chapa_fleje!A38&amp;" · "&amp;Chapa_fleje!B38</f>
        <v>MP-07 · Fleje LAF 1,6 × 204,2 mm (cúpula 5 kg)</v>
      </c>
      <c r="B31" s="11" t="str">
        <f aca="false">"Rollo de "&amp;TEXT(Chapa_fleje!M38,"#,##0")&amp;" kg · Ø "&amp;TEXT(Chapa_fleje!N38,"#,##0")</f>
        <v>Rollo de 1,181 kg · Ø 1,094</v>
      </c>
      <c r="C31" s="15" t="n">
        <f aca="false">Chapa_fleje!T38</f>
        <v>10</v>
      </c>
      <c r="D31" s="15" t="n">
        <f aca="false">Chapa_fleje!V38</f>
        <v>3</v>
      </c>
    </row>
    <row r="32" customFormat="false" ht="15" hidden="false" customHeight="true" outlineLevel="0" collapsed="false">
      <c r="A32" s="11" t="str">
        <f aca="false">Chapa_fleje!A39&amp;" · "&amp;Chapa_fleje!B39</f>
        <v>MP-08 · Fleje LAF 1,6 × 177,2 mm (fondo 5 kg)</v>
      </c>
      <c r="B32" s="11" t="str">
        <f aca="false">"Rollo de "&amp;TEXT(Chapa_fleje!M39,"#,##0")&amp;" kg · Ø "&amp;TEXT(Chapa_fleje!N39,"#,##0")</f>
        <v>Rollo de 886 kg · Ø 1,034</v>
      </c>
      <c r="C32" s="15" t="n">
        <f aca="false">Chapa_fleje!T39</f>
        <v>10</v>
      </c>
      <c r="D32" s="15" t="n">
        <f aca="false">Chapa_fleje!V39</f>
        <v>3</v>
      </c>
    </row>
    <row r="33" customFormat="false" ht="15" hidden="false" customHeight="true" outlineLevel="0" collapsed="false">
      <c r="A33" s="11" t="str">
        <f aca="false">Chapa_fleje!A40&amp;" · "&amp;Chapa_fleje!B40</f>
        <v>MP-09 · Fleje LAF 2,0 × 238,7 mm (cúpula 10 kg)</v>
      </c>
      <c r="B33" s="11" t="str">
        <f aca="false">"Rollo de "&amp;TEXT(Chapa_fleje!M40,"#,##0")&amp;" kg · Ø "&amp;TEXT(Chapa_fleje!N40,"#,##0")</f>
        <v>Rollo de 245 kg · Ø 652</v>
      </c>
      <c r="C33" s="15" t="n">
        <f aca="false">Chapa_fleje!T40</f>
        <v>10</v>
      </c>
      <c r="D33" s="15" t="n">
        <f aca="false">Chapa_fleje!V40</f>
        <v>2</v>
      </c>
    </row>
    <row r="34" customFormat="false" ht="15" hidden="false" customHeight="true" outlineLevel="0" collapsed="false">
      <c r="A34" s="11" t="str">
        <f aca="false">Chapa_fleje!A41&amp;" · "&amp;Chapa_fleje!B41</f>
        <v>MP-10 · Fleje LAF 2,0 × 205 mm (fondo 10 kg)</v>
      </c>
      <c r="B34" s="11" t="str">
        <f aca="false">"Rollo de "&amp;TEXT(Chapa_fleje!M41,"#,##0")&amp;" kg · Ø "&amp;TEXT(Chapa_fleje!N41,"#,##0")</f>
        <v>Rollo de 179 kg · Ø 632</v>
      </c>
      <c r="C34" s="15" t="n">
        <f aca="false">Chapa_fleje!T41</f>
        <v>10</v>
      </c>
      <c r="D34" s="15" t="n">
        <f aca="false">Chapa_fleje!V41</f>
        <v>2</v>
      </c>
    </row>
    <row r="36" customFormat="false" ht="15" hidden="false" customHeight="true" outlineLevel="0" collapsed="false">
      <c r="A36" s="5" t="s">
        <v>34</v>
      </c>
      <c r="B36" s="6"/>
      <c r="C36" s="6"/>
      <c r="D36" s="6"/>
    </row>
    <row r="37" customFormat="false" ht="42" hidden="false" customHeight="true" outlineLevel="0" collapsed="false">
      <c r="A37" s="7" t="s">
        <v>35</v>
      </c>
      <c r="B37" s="7" t="s">
        <v>36</v>
      </c>
      <c r="C37" s="7" t="s">
        <v>37</v>
      </c>
      <c r="D37" s="7" t="s">
        <v>38</v>
      </c>
    </row>
    <row r="38" customFormat="false" ht="15" hidden="false" customHeight="true" outlineLevel="0" collapsed="false">
      <c r="A38" s="8" t="s">
        <v>39</v>
      </c>
      <c r="B38" s="16" t="n">
        <f aca="false">COUNTIF(Chapa_fleje!X7:X12,"&lt;&gt;OK")</f>
        <v>0</v>
      </c>
      <c r="C38" s="17" t="str">
        <f aca="false">IF(B38=0,"OK","Revisar")</f>
        <v>OK</v>
      </c>
      <c r="D38" s="11" t="s">
        <v>40</v>
      </c>
    </row>
    <row r="39" customFormat="false" ht="15" hidden="false" customHeight="true" outlineLevel="0" collapsed="false">
      <c r="A39" s="8" t="s">
        <v>41</v>
      </c>
      <c r="B39" s="16" t="n">
        <f aca="false">MAX(Chapa_fleje!O18:O23)</f>
        <v>3.61728</v>
      </c>
      <c r="C39" s="17" t="str">
        <f aca="false">IF(B39&lt;=Q_PISO,"OK","Revisar")</f>
        <v>OK</v>
      </c>
      <c r="D39" s="11" t="s">
        <v>42</v>
      </c>
    </row>
    <row r="40" customFormat="false" ht="15" hidden="false" customHeight="true" outlineLevel="0" collapsed="false">
      <c r="A40" s="8" t="s">
        <v>43</v>
      </c>
      <c r="B40" s="16" t="n">
        <f aca="false">MAX(Chapa_fleje!M18:M23)</f>
        <v>2.4969</v>
      </c>
      <c r="C40" s="17" t="str">
        <f aca="false">IF(B40*1000&lt;=H_ELEV,"OK","Revisar")</f>
        <v>OK</v>
      </c>
      <c r="D40" s="11" t="s">
        <v>44</v>
      </c>
    </row>
    <row r="41" customFormat="false" ht="15" hidden="false" customHeight="true" outlineLevel="0" collapsed="false">
      <c r="A41" s="8" t="s">
        <v>45</v>
      </c>
      <c r="B41" s="16" t="n">
        <f aca="false">MAX(Chapa_fleje!P18:P23)</f>
        <v>0.24859267902</v>
      </c>
      <c r="C41" s="17" t="str">
        <f aca="false">IF(B41&lt;=SIG_MAD,"OK","Revisar")</f>
        <v>OK</v>
      </c>
      <c r="D41" s="11" t="s">
        <v>46</v>
      </c>
    </row>
    <row r="42" customFormat="false" ht="15" hidden="false" customHeight="true" outlineLevel="0" collapsed="false">
      <c r="A42" s="8" t="s">
        <v>47</v>
      </c>
      <c r="B42" s="16" t="n">
        <f aca="false">COUNTIF(Chapa_fleje!X34:X41,"&lt;&gt;OK")</f>
        <v>0</v>
      </c>
      <c r="C42" s="17" t="str">
        <f aca="false">IF(B42=0,"OK","Revisar")</f>
        <v>OK</v>
      </c>
      <c r="D42" s="11" t="s">
        <v>40</v>
      </c>
    </row>
    <row r="43" customFormat="false" ht="15" hidden="false" customHeight="true" outlineLevel="0" collapsed="false">
      <c r="A43" s="8" t="s">
        <v>48</v>
      </c>
      <c r="B43" s="16" t="n">
        <f aca="false">MAX(0,Chapa_fleje!K65-Chapa_fleje!G69)</f>
        <v>0</v>
      </c>
      <c r="C43" s="17" t="str">
        <f aca="false">IF(B43=0,"OK","Revisar")</f>
        <v>OK</v>
      </c>
      <c r="D43" s="11" t="s">
        <v>40</v>
      </c>
    </row>
    <row r="44" customFormat="false" ht="15" hidden="false" customHeight="true" outlineLevel="0" collapsed="false">
      <c r="A44" s="8" t="s">
        <v>49</v>
      </c>
      <c r="B44" s="16" t="str">
        <f aca="false">Chapa_fleje!L52</f>
        <v>Tymbia M103070075 en apilador eléctrico de 2,5 t</v>
      </c>
      <c r="C44" s="17" t="str">
        <f aca="false">IF(LEFT(B44,7)="Ninguno","Revisar","OK")</f>
        <v>OK</v>
      </c>
      <c r="D44" s="11" t="s">
        <v>50</v>
      </c>
    </row>
    <row r="46" customFormat="false" ht="15" hidden="false" customHeight="true" outlineLevel="0" collapsed="false">
      <c r="A46" s="5" t="s">
        <v>51</v>
      </c>
      <c r="B46" s="6"/>
      <c r="C46" s="6"/>
      <c r="D46" s="6"/>
    </row>
    <row r="47" customFormat="false" ht="15" hidden="false" customHeight="true" outlineLevel="0" collapsed="false">
      <c r="A47" s="3" t="s">
        <v>52</v>
      </c>
    </row>
    <row r="48" customFormat="false" ht="15" hidden="false" customHeight="true" outlineLevel="0" collapsed="false">
      <c r="A48" s="3" t="s">
        <v>53</v>
      </c>
    </row>
    <row r="49" customFormat="false" ht="15" hidden="false" customHeight="true" outlineLevel="0" collapsed="false">
      <c r="A49" s="3" t="s">
        <v>54</v>
      </c>
    </row>
    <row r="50" customFormat="false" ht="15" hidden="false" customHeight="true" outlineLevel="0" collapsed="false">
      <c r="A50" s="3" t="s">
        <v>55</v>
      </c>
    </row>
    <row r="51" customFormat="false" ht="15" hidden="false" customHeight="true" outlineLevel="0" collapsed="false">
      <c r="A51" s="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6" min="5" style="1" width="14"/>
    <col collapsed="false" customWidth="true" hidden="false" outlineLevel="0" max="8" min="7" style="1" width="10"/>
    <col collapsed="false" customWidth="true" hidden="false" outlineLevel="0" max="9" min="9" style="1" width="30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30"/>
    <col collapsed="false" customWidth="true" hidden="false" outlineLevel="0" max="14" min="13" style="1" width="12"/>
    <col collapsed="false" customWidth="true" hidden="false" outlineLevel="0" max="15" min="15" style="1" width="40"/>
    <col collapsed="false" customWidth="true" hidden="false" outlineLevel="0" max="16" min="16" style="1" width="12"/>
  </cols>
  <sheetData>
    <row r="1" customFormat="false" ht="15" hidden="false" customHeight="true" outlineLevel="0" collapsed="false">
      <c r="A1" s="2" t="s">
        <v>57</v>
      </c>
    </row>
    <row r="2" customFormat="false" ht="15" hidden="false" customHeight="true" outlineLevel="0" collapsed="false">
      <c r="A2" s="3" t="s">
        <v>58</v>
      </c>
    </row>
    <row r="3" customFormat="false" ht="15" hidden="false" customHeight="true" outlineLevel="0" collapsed="false">
      <c r="A3" s="4" t="s">
        <v>59</v>
      </c>
    </row>
    <row r="5" customFormat="false" ht="15" hidden="false" customHeight="true" outlineLevel="0" collapsed="false">
      <c r="A5" s="5" t="s">
        <v>60</v>
      </c>
      <c r="B5" s="6"/>
      <c r="C5" s="6"/>
      <c r="D5" s="6"/>
      <c r="E5" s="6"/>
      <c r="F5" s="6"/>
      <c r="G5" s="6"/>
      <c r="H5" s="6"/>
    </row>
    <row r="6" customFormat="false" ht="42" hidden="false" customHeight="true" outlineLevel="0" collapsed="false">
      <c r="A6" s="7" t="s">
        <v>61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</row>
    <row r="7" customFormat="false" ht="15" hidden="false" customHeight="true" outlineLevel="0" collapsed="false">
      <c r="A7" s="8" t="n">
        <v>8</v>
      </c>
      <c r="B7" s="8" t="s">
        <v>67</v>
      </c>
      <c r="C7" s="18" t="n">
        <v>45</v>
      </c>
      <c r="D7" s="19" t="n">
        <v>911.7928760985</v>
      </c>
      <c r="E7" s="18" t="n">
        <v>1</v>
      </c>
      <c r="F7" s="18" t="n">
        <v>21</v>
      </c>
    </row>
    <row r="8" customFormat="false" ht="15" hidden="false" customHeight="true" outlineLevel="0" collapsed="false">
      <c r="A8" s="8" t="n">
        <v>9</v>
      </c>
      <c r="B8" s="8" t="s">
        <v>68</v>
      </c>
      <c r="C8" s="18" t="n">
        <v>27</v>
      </c>
      <c r="D8" s="19" t="n">
        <v>63.56852299845</v>
      </c>
      <c r="E8" s="18" t="n">
        <v>8</v>
      </c>
      <c r="F8" s="18" t="n">
        <v>19</v>
      </c>
    </row>
    <row r="9" customFormat="false" ht="15" hidden="false" customHeight="true" outlineLevel="0" collapsed="false">
      <c r="A9" s="8" t="n">
        <v>10</v>
      </c>
      <c r="B9" s="8" t="s">
        <v>69</v>
      </c>
      <c r="C9" s="18" t="n">
        <v>12</v>
      </c>
      <c r="D9" s="19" t="n">
        <v>287.3369642445</v>
      </c>
      <c r="E9" s="18" t="n">
        <v>1</v>
      </c>
      <c r="F9" s="18" t="n">
        <v>24</v>
      </c>
    </row>
    <row r="10" customFormat="false" ht="15" hidden="false" customHeight="true" outlineLevel="0" collapsed="false">
      <c r="A10" s="8" t="n">
        <v>11</v>
      </c>
      <c r="B10" s="8" t="s">
        <v>70</v>
      </c>
      <c r="C10" s="18" t="n">
        <v>15</v>
      </c>
      <c r="D10" s="19" t="n">
        <v>17.38317635415</v>
      </c>
      <c r="E10" s="18" t="n">
        <v>16</v>
      </c>
      <c r="F10" s="18" t="n">
        <v>19</v>
      </c>
    </row>
    <row r="11" customFormat="false" ht="15" hidden="false" customHeight="true" outlineLevel="0" collapsed="false">
      <c r="A11" s="8" t="n">
        <v>12</v>
      </c>
      <c r="B11" s="8" t="s">
        <v>71</v>
      </c>
      <c r="C11" s="18" t="n">
        <v>9</v>
      </c>
      <c r="D11" s="19" t="n">
        <v>3.3035697665</v>
      </c>
      <c r="E11" s="18" t="n">
        <v>4</v>
      </c>
      <c r="F11" s="18" t="n">
        <v>2</v>
      </c>
    </row>
    <row r="12" customFormat="false" ht="15" hidden="false" customHeight="true" outlineLevel="0" collapsed="false">
      <c r="A12" s="8" t="n">
        <v>13</v>
      </c>
      <c r="B12" s="8" t="s">
        <v>72</v>
      </c>
      <c r="C12" s="18" t="n">
        <v>6</v>
      </c>
      <c r="D12" s="19" t="n">
        <v>7.260849486</v>
      </c>
      <c r="E12" s="18" t="n">
        <v>4</v>
      </c>
      <c r="F12" s="18" t="n">
        <v>5</v>
      </c>
    </row>
    <row r="13" customFormat="false" ht="15" hidden="false" customHeight="true" outlineLevel="0" collapsed="false">
      <c r="A13" s="8" t="n">
        <v>14</v>
      </c>
      <c r="B13" s="8" t="s">
        <v>73</v>
      </c>
      <c r="C13" s="18" t="n">
        <v>4</v>
      </c>
      <c r="D13" s="19" t="n">
        <v>2.641699813</v>
      </c>
      <c r="E13" s="18" t="n">
        <v>4</v>
      </c>
      <c r="F13" s="18" t="n">
        <v>3</v>
      </c>
    </row>
    <row r="15" customFormat="false" ht="15" hidden="false" customHeight="true" outlineLevel="0" collapsed="false">
      <c r="A15" s="5" t="s">
        <v>74</v>
      </c>
      <c r="B15" s="6"/>
      <c r="C15" s="6"/>
      <c r="D15" s="6"/>
      <c r="E15" s="6"/>
      <c r="F15" s="6"/>
      <c r="G15" s="6"/>
      <c r="H15" s="6"/>
    </row>
    <row r="16" customFormat="false" ht="42" hidden="false" customHeight="true" outlineLevel="0" collapsed="false">
      <c r="A16" s="7" t="s">
        <v>61</v>
      </c>
      <c r="B16" s="7" t="s">
        <v>75</v>
      </c>
      <c r="C16" s="7" t="s">
        <v>76</v>
      </c>
      <c r="D16" s="7" t="s">
        <v>77</v>
      </c>
      <c r="E16" s="7" t="s">
        <v>65</v>
      </c>
      <c r="F16" s="7" t="s">
        <v>78</v>
      </c>
      <c r="G16" s="7" t="s">
        <v>79</v>
      </c>
    </row>
    <row r="17" customFormat="false" ht="15" hidden="false" customHeight="true" outlineLevel="0" collapsed="false">
      <c r="A17" s="8" t="n">
        <v>30</v>
      </c>
      <c r="B17" s="8" t="s">
        <v>80</v>
      </c>
      <c r="C17" s="8" t="s">
        <v>81</v>
      </c>
      <c r="D17" s="19" t="n">
        <v>911.7928760985</v>
      </c>
      <c r="E17" s="18" t="n">
        <v>4</v>
      </c>
      <c r="F17" s="20" t="n">
        <v>3647.171504394</v>
      </c>
      <c r="G17" s="20" t="n">
        <v>202620.639</v>
      </c>
    </row>
    <row r="18" customFormat="false" ht="15" hidden="false" customHeight="true" outlineLevel="0" collapsed="false">
      <c r="A18" s="8" t="n">
        <v>31</v>
      </c>
      <c r="B18" s="8" t="s">
        <v>82</v>
      </c>
      <c r="C18" s="8" t="s">
        <v>81</v>
      </c>
      <c r="D18" s="19" t="n">
        <v>911.7928760985</v>
      </c>
      <c r="E18" s="18" t="n">
        <v>4</v>
      </c>
      <c r="F18" s="20" t="n">
        <v>3647.171504394</v>
      </c>
      <c r="G18" s="20" t="n">
        <v>202620.639</v>
      </c>
    </row>
    <row r="19" customFormat="false" ht="15" hidden="false" customHeight="true" outlineLevel="0" collapsed="false">
      <c r="A19" s="8" t="n">
        <v>32</v>
      </c>
      <c r="B19" s="8" t="s">
        <v>83</v>
      </c>
      <c r="C19" s="8" t="s">
        <v>84</v>
      </c>
      <c r="D19" s="19" t="n">
        <v>63.56852299845</v>
      </c>
      <c r="E19" s="18" t="n">
        <v>16</v>
      </c>
      <c r="F19" s="20" t="n">
        <v>1017.0963679752</v>
      </c>
      <c r="G19" s="20" t="n">
        <v>14126.338</v>
      </c>
    </row>
    <row r="20" customFormat="false" ht="15" hidden="false" customHeight="true" outlineLevel="0" collapsed="false">
      <c r="A20" s="8" t="n">
        <v>33</v>
      </c>
      <c r="B20" s="8" t="s">
        <v>85</v>
      </c>
      <c r="C20" s="8" t="s">
        <v>84</v>
      </c>
      <c r="D20" s="19" t="n">
        <v>63.56852299845</v>
      </c>
      <c r="E20" s="18" t="n">
        <v>16</v>
      </c>
      <c r="F20" s="20" t="n">
        <v>1017.0963679752</v>
      </c>
      <c r="G20" s="20" t="n">
        <v>14126.338</v>
      </c>
    </row>
    <row r="21" customFormat="false" ht="15" hidden="false" customHeight="true" outlineLevel="0" collapsed="false">
      <c r="A21" s="8" t="n">
        <v>34</v>
      </c>
      <c r="B21" s="8" t="s">
        <v>86</v>
      </c>
      <c r="C21" s="8" t="s">
        <v>87</v>
      </c>
      <c r="D21" s="19" t="n">
        <v>287.3369642445</v>
      </c>
      <c r="E21" s="18" t="n">
        <v>8</v>
      </c>
      <c r="F21" s="20" t="n">
        <v>2298.695713956</v>
      </c>
      <c r="G21" s="20" t="n">
        <v>63852.659</v>
      </c>
    </row>
    <row r="22" customFormat="false" ht="15" hidden="false" customHeight="true" outlineLevel="0" collapsed="false">
      <c r="A22" s="8" t="n">
        <v>35</v>
      </c>
      <c r="B22" s="8" t="s">
        <v>88</v>
      </c>
      <c r="C22" s="8" t="s">
        <v>87</v>
      </c>
      <c r="D22" s="19" t="n">
        <v>287.3369642445</v>
      </c>
      <c r="E22" s="18" t="n">
        <v>8</v>
      </c>
      <c r="F22" s="20" t="n">
        <v>2298.695713956</v>
      </c>
      <c r="G22" s="20" t="n">
        <v>63852.659</v>
      </c>
    </row>
    <row r="23" customFormat="false" ht="15" hidden="false" customHeight="true" outlineLevel="0" collapsed="false">
      <c r="A23" s="8" t="n">
        <v>36</v>
      </c>
      <c r="B23" s="8" t="s">
        <v>89</v>
      </c>
      <c r="C23" s="8" t="s">
        <v>90</v>
      </c>
      <c r="D23" s="19" t="n">
        <v>17.38317635415</v>
      </c>
      <c r="E23" s="18" t="n">
        <v>16</v>
      </c>
      <c r="F23" s="20" t="n">
        <v>278.1308216664</v>
      </c>
      <c r="G23" s="20" t="n">
        <v>3862.928</v>
      </c>
    </row>
    <row r="24" customFormat="false" ht="15" hidden="false" customHeight="true" outlineLevel="0" collapsed="false">
      <c r="A24" s="8" t="n">
        <v>37</v>
      </c>
      <c r="B24" s="8" t="s">
        <v>91</v>
      </c>
      <c r="C24" s="8" t="s">
        <v>90</v>
      </c>
      <c r="D24" s="19" t="n">
        <v>17.38317635415</v>
      </c>
      <c r="E24" s="18" t="n">
        <v>16</v>
      </c>
      <c r="F24" s="20" t="n">
        <v>278.1308216664</v>
      </c>
      <c r="G24" s="20" t="n">
        <v>3862.928</v>
      </c>
    </row>
    <row r="25" customFormat="false" ht="15" hidden="false" customHeight="true" outlineLevel="0" collapsed="false">
      <c r="A25" s="14" t="s">
        <v>92</v>
      </c>
    </row>
    <row r="27" customFormat="false" ht="15" hidden="false" customHeight="true" outlineLevel="0" collapsed="false">
      <c r="A27" s="5" t="s">
        <v>93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customFormat="false" ht="42" hidden="false" customHeight="true" outlineLevel="0" collapsed="false">
      <c r="A28" s="7" t="s">
        <v>94</v>
      </c>
      <c r="B28" s="7" t="s">
        <v>95</v>
      </c>
      <c r="C28" s="7" t="s">
        <v>96</v>
      </c>
      <c r="D28" s="7" t="s">
        <v>97</v>
      </c>
      <c r="E28" s="7" t="s">
        <v>98</v>
      </c>
      <c r="F28" s="7" t="s">
        <v>99</v>
      </c>
      <c r="G28" s="7" t="s">
        <v>100</v>
      </c>
      <c r="H28" s="7" t="s">
        <v>101</v>
      </c>
      <c r="I28" s="7" t="s">
        <v>102</v>
      </c>
      <c r="J28" s="7" t="s">
        <v>103</v>
      </c>
      <c r="K28" s="7" t="s">
        <v>104</v>
      </c>
      <c r="L28" s="7" t="s">
        <v>105</v>
      </c>
      <c r="M28" s="7" t="s">
        <v>106</v>
      </c>
    </row>
    <row r="29" customFormat="false" ht="15" hidden="false" customHeight="true" outlineLevel="0" collapsed="false">
      <c r="A29" s="8" t="s">
        <v>107</v>
      </c>
      <c r="B29" s="20" t="n">
        <v>25601.630793912</v>
      </c>
      <c r="C29" s="20" t="n">
        <v>24783.211541474</v>
      </c>
      <c r="D29" s="20" t="n">
        <v>23166.214776363</v>
      </c>
      <c r="E29" s="20" t="n">
        <v>22153.111580698</v>
      </c>
      <c r="F29" s="20" t="n">
        <v>20730.798758814</v>
      </c>
      <c r="G29" s="20" t="n">
        <v>20321.589132595</v>
      </c>
      <c r="H29" s="20" t="n">
        <v>21743.901954479</v>
      </c>
      <c r="I29" s="20" t="n">
        <v>24783.211541474</v>
      </c>
      <c r="J29" s="20" t="n">
        <v>24783.211541474</v>
      </c>
      <c r="K29" s="20" t="n">
        <v>25192.421167693</v>
      </c>
      <c r="L29" s="20" t="n">
        <v>25601.630793912</v>
      </c>
      <c r="M29" s="20" t="n">
        <v>25601.630793912</v>
      </c>
    </row>
    <row r="30" customFormat="false" ht="15" hidden="false" customHeight="true" outlineLevel="0" collapsed="false">
      <c r="A30" s="8" t="s">
        <v>108</v>
      </c>
      <c r="B30" s="20" t="n">
        <v>264.12238131</v>
      </c>
      <c r="C30" s="20" t="n">
        <v>233.04915998</v>
      </c>
      <c r="D30" s="20" t="n">
        <v>279.65899197</v>
      </c>
      <c r="E30" s="20" t="n">
        <v>279.65899197</v>
      </c>
      <c r="F30" s="20" t="n">
        <v>279.65899197</v>
      </c>
      <c r="G30" s="20" t="n">
        <v>248.58577064</v>
      </c>
      <c r="H30" s="20" t="n">
        <v>279.65899197</v>
      </c>
      <c r="I30" s="20" t="n">
        <v>279.65899197</v>
      </c>
      <c r="J30" s="20" t="n">
        <v>264.12238131</v>
      </c>
      <c r="K30" s="20" t="n">
        <v>233.04915998</v>
      </c>
      <c r="L30" s="20" t="n">
        <v>217.51254931</v>
      </c>
      <c r="M30" s="20" t="n">
        <v>248.58577064</v>
      </c>
    </row>
    <row r="31" customFormat="false" ht="15" hidden="false" customHeight="true" outlineLevel="0" collapsed="false">
      <c r="A31" s="8" t="s">
        <v>109</v>
      </c>
      <c r="B31" s="20" t="n">
        <v>10822.07538</v>
      </c>
      <c r="C31" s="20" t="n">
        <v>9391.262503</v>
      </c>
      <c r="D31" s="20" t="n">
        <v>8906.03007</v>
      </c>
      <c r="E31" s="20" t="n">
        <v>9801.729969</v>
      </c>
      <c r="F31" s="20" t="n">
        <v>9879.358481</v>
      </c>
      <c r="G31" s="20" t="n">
        <v>9758.703258</v>
      </c>
      <c r="H31" s="20" t="n">
        <v>8689.691505</v>
      </c>
      <c r="I31" s="20" t="n">
        <v>8770.096101</v>
      </c>
      <c r="J31" s="20" t="n">
        <v>8876.551924</v>
      </c>
      <c r="K31" s="20" t="n">
        <v>8876.551924</v>
      </c>
      <c r="L31" s="20" t="n">
        <v>10229.73629</v>
      </c>
      <c r="M31" s="20" t="n">
        <v>11781.20439</v>
      </c>
    </row>
    <row r="33" customFormat="false" ht="15" hidden="false" customHeight="true" outlineLevel="0" collapsed="false">
      <c r="A33" s="5" t="s">
        <v>110</v>
      </c>
      <c r="B33" s="6"/>
      <c r="C33" s="6"/>
      <c r="D33" s="6"/>
      <c r="E33" s="6"/>
      <c r="F33" s="6"/>
      <c r="G33" s="6"/>
      <c r="H33" s="6"/>
    </row>
    <row r="34" customFormat="false" ht="42" hidden="false" customHeight="true" outlineLevel="0" collapsed="false">
      <c r="A34" s="7" t="s">
        <v>111</v>
      </c>
      <c r="B34" s="7"/>
      <c r="C34" s="7" t="s">
        <v>112</v>
      </c>
      <c r="D34" s="7" t="s">
        <v>113</v>
      </c>
    </row>
    <row r="35" customFormat="false" ht="15" hidden="false" customHeight="true" outlineLevel="0" collapsed="false">
      <c r="A35" s="8" t="s">
        <v>114</v>
      </c>
      <c r="C35" s="21" t="n">
        <v>2</v>
      </c>
      <c r="D35" s="22" t="n">
        <v>6.66</v>
      </c>
    </row>
    <row r="36" customFormat="false" ht="15" hidden="false" customHeight="true" outlineLevel="0" collapsed="false">
      <c r="A36" s="8" t="s">
        <v>115</v>
      </c>
      <c r="C36" s="21" t="n">
        <v>2</v>
      </c>
      <c r="D36" s="22" t="n">
        <v>4</v>
      </c>
    </row>
    <row r="37" customFormat="false" ht="15" hidden="false" customHeight="true" outlineLevel="0" collapsed="false">
      <c r="A37" s="8" t="s">
        <v>116</v>
      </c>
      <c r="C37" s="21" t="n">
        <v>21</v>
      </c>
      <c r="D37" s="22" t="n">
        <v>94.5</v>
      </c>
    </row>
    <row r="38" customFormat="false" ht="15" hidden="false" customHeight="true" outlineLevel="0" collapsed="false">
      <c r="A38" s="8" t="s">
        <v>117</v>
      </c>
      <c r="C38" s="21" t="n">
        <v>8</v>
      </c>
      <c r="D38" s="22" t="n">
        <v>8</v>
      </c>
    </row>
    <row r="39" customFormat="false" ht="15" hidden="false" customHeight="true" outlineLevel="0" collapsed="false">
      <c r="A39" s="8" t="s">
        <v>118</v>
      </c>
      <c r="C39" s="21" t="n">
        <v>27</v>
      </c>
      <c r="D39" s="22" t="n">
        <v>33.21</v>
      </c>
    </row>
    <row r="40" customFormat="false" ht="15" hidden="false" customHeight="true" outlineLevel="0" collapsed="false">
      <c r="A40" s="8" t="s">
        <v>119</v>
      </c>
      <c r="C40" s="21" t="n">
        <v>7</v>
      </c>
      <c r="D40" s="22" t="n">
        <v>3.5</v>
      </c>
    </row>
    <row r="41" customFormat="false" ht="15" hidden="false" customHeight="true" outlineLevel="0" collapsed="false">
      <c r="A41" s="8" t="s">
        <v>120</v>
      </c>
      <c r="C41" s="21" t="n">
        <v>19</v>
      </c>
      <c r="D41" s="22" t="n">
        <v>23.37</v>
      </c>
    </row>
    <row r="42" customFormat="false" ht="15" hidden="false" customHeight="true" outlineLevel="0" collapsed="false">
      <c r="A42" s="8" t="s">
        <v>121</v>
      </c>
      <c r="C42" s="21" t="n">
        <v>7</v>
      </c>
      <c r="D42" s="22" t="n">
        <v>8.61</v>
      </c>
    </row>
    <row r="43" customFormat="false" ht="15" hidden="false" customHeight="true" outlineLevel="0" collapsed="false">
      <c r="A43" s="8" t="s">
        <v>122</v>
      </c>
      <c r="C43" s="21" t="n">
        <v>5</v>
      </c>
      <c r="D43" s="22" t="n">
        <v>6.15</v>
      </c>
    </row>
    <row r="44" customFormat="false" ht="15" hidden="false" customHeight="true" outlineLevel="0" collapsed="false">
      <c r="A44" s="8" t="s">
        <v>123</v>
      </c>
      <c r="C44" s="21" t="n">
        <v>7</v>
      </c>
      <c r="D44" s="22" t="n">
        <v>7</v>
      </c>
    </row>
    <row r="45" customFormat="false" ht="15" hidden="false" customHeight="true" outlineLevel="0" collapsed="false">
      <c r="A45" s="8" t="s">
        <v>124</v>
      </c>
      <c r="C45" s="21" t="n">
        <v>9</v>
      </c>
      <c r="D45" s="22" t="n">
        <v>6.57</v>
      </c>
    </row>
    <row r="46" customFormat="false" ht="15" hidden="false" customHeight="true" outlineLevel="0" collapsed="false">
      <c r="A46" s="8" t="s">
        <v>125</v>
      </c>
      <c r="C46" s="21" t="n">
        <v>8</v>
      </c>
      <c r="D46" s="22" t="n">
        <v>5.92</v>
      </c>
    </row>
    <row r="47" customFormat="false" ht="15" hidden="false" customHeight="true" outlineLevel="0" collapsed="false">
      <c r="A47" s="17" t="s">
        <v>126</v>
      </c>
      <c r="C47" s="17" t="n">
        <f aca="false">SUM(C35:C46)</f>
        <v>122</v>
      </c>
      <c r="D47" s="23" t="n">
        <f aca="false">SUM(D35:D46)</f>
        <v>207.49</v>
      </c>
    </row>
    <row r="48" customFormat="false" ht="15" hidden="false" customHeight="true" outlineLevel="0" collapsed="false">
      <c r="A48" s="8" t="s">
        <v>127</v>
      </c>
      <c r="D48" s="22" t="n">
        <v>35.5</v>
      </c>
    </row>
    <row r="50" customFormat="false" ht="15" hidden="false" customHeight="true" outlineLevel="0" collapsed="false">
      <c r="A50" s="5" t="s">
        <v>128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customFormat="false" ht="42" hidden="false" customHeight="true" outlineLevel="0" collapsed="false">
      <c r="A51" s="7" t="s">
        <v>129</v>
      </c>
      <c r="B51" s="7" t="s">
        <v>30</v>
      </c>
      <c r="C51" s="7" t="s">
        <v>130</v>
      </c>
      <c r="D51" s="7" t="s">
        <v>131</v>
      </c>
      <c r="E51" s="7" t="s">
        <v>132</v>
      </c>
      <c r="F51" s="7" t="s">
        <v>133</v>
      </c>
      <c r="G51" s="7" t="s">
        <v>134</v>
      </c>
      <c r="H51" s="7" t="s">
        <v>135</v>
      </c>
      <c r="I51" s="7" t="s">
        <v>136</v>
      </c>
      <c r="J51" s="7" t="s">
        <v>137</v>
      </c>
      <c r="K51" s="7" t="s">
        <v>65</v>
      </c>
      <c r="L51" s="7" t="s">
        <v>138</v>
      </c>
      <c r="M51" s="7" t="s">
        <v>139</v>
      </c>
      <c r="N51" s="7" t="s">
        <v>94</v>
      </c>
      <c r="O51" s="7" t="s">
        <v>140</v>
      </c>
      <c r="P51" s="7" t="s">
        <v>141</v>
      </c>
    </row>
    <row r="52" customFormat="false" ht="15" hidden="false" customHeight="true" outlineLevel="0" collapsed="false">
      <c r="A52" s="11" t="s">
        <v>142</v>
      </c>
      <c r="B52" s="11" t="s">
        <v>143</v>
      </c>
      <c r="C52" s="11" t="s">
        <v>144</v>
      </c>
      <c r="D52" s="11" t="s">
        <v>145</v>
      </c>
      <c r="E52" s="24" t="n">
        <v>4502.681</v>
      </c>
      <c r="F52" s="11" t="s">
        <v>146</v>
      </c>
      <c r="G52" s="25" t="n">
        <v>10</v>
      </c>
      <c r="H52" s="25" t="n">
        <v>10</v>
      </c>
      <c r="I52" s="11" t="s">
        <v>147</v>
      </c>
      <c r="J52" s="25" t="n">
        <v>21</v>
      </c>
      <c r="K52" s="25" t="n">
        <v>20</v>
      </c>
      <c r="L52" s="11" t="s">
        <v>116</v>
      </c>
      <c r="M52" s="25" t="n">
        <v>136</v>
      </c>
      <c r="N52" s="11" t="s">
        <v>107</v>
      </c>
      <c r="O52" s="11" t="s">
        <v>148</v>
      </c>
      <c r="P52" s="24"/>
    </row>
    <row r="53" customFormat="false" ht="15" hidden="false" customHeight="true" outlineLevel="0" collapsed="false">
      <c r="A53" s="11" t="s">
        <v>149</v>
      </c>
      <c r="B53" s="11" t="s">
        <v>150</v>
      </c>
      <c r="C53" s="11" t="s">
        <v>151</v>
      </c>
      <c r="D53" s="11" t="s">
        <v>152</v>
      </c>
      <c r="E53" s="24" t="n">
        <v>523.198</v>
      </c>
      <c r="F53" s="11" t="s">
        <v>146</v>
      </c>
      <c r="G53" s="25" t="n">
        <v>7</v>
      </c>
      <c r="H53" s="25" t="n">
        <v>10</v>
      </c>
      <c r="I53" s="11" t="s">
        <v>153</v>
      </c>
      <c r="J53" s="25" t="n">
        <v>19</v>
      </c>
      <c r="K53" s="25" t="n">
        <v>20</v>
      </c>
      <c r="L53" s="11" t="s">
        <v>116</v>
      </c>
      <c r="M53" s="25" t="n">
        <v>136</v>
      </c>
      <c r="N53" s="11" t="s">
        <v>107</v>
      </c>
      <c r="O53" s="11" t="s">
        <v>148</v>
      </c>
      <c r="P53" s="24"/>
    </row>
    <row r="54" customFormat="false" ht="15" hidden="false" customHeight="true" outlineLevel="0" collapsed="false">
      <c r="A54" s="11" t="s">
        <v>154</v>
      </c>
      <c r="B54" s="11" t="s">
        <v>155</v>
      </c>
      <c r="C54" s="11" t="s">
        <v>156</v>
      </c>
      <c r="D54" s="11" t="s">
        <v>152</v>
      </c>
      <c r="E54" s="24" t="n">
        <v>5321.055</v>
      </c>
      <c r="F54" s="11" t="s">
        <v>146</v>
      </c>
      <c r="G54" s="25" t="n">
        <v>7</v>
      </c>
      <c r="H54" s="25" t="n">
        <v>10</v>
      </c>
      <c r="I54" s="11" t="s">
        <v>157</v>
      </c>
      <c r="J54" s="25" t="n">
        <v>24</v>
      </c>
      <c r="K54" s="25" t="n">
        <v>20</v>
      </c>
      <c r="L54" s="11" t="s">
        <v>116</v>
      </c>
      <c r="M54" s="25" t="n">
        <v>158</v>
      </c>
      <c r="N54" s="11" t="s">
        <v>107</v>
      </c>
      <c r="O54" s="11" t="s">
        <v>158</v>
      </c>
      <c r="P54" s="24"/>
    </row>
    <row r="55" customFormat="false" ht="15" hidden="false" customHeight="true" outlineLevel="0" collapsed="false">
      <c r="A55" s="11" t="s">
        <v>159</v>
      </c>
      <c r="B55" s="11" t="s">
        <v>160</v>
      </c>
      <c r="C55" s="11" t="s">
        <v>161</v>
      </c>
      <c r="D55" s="11" t="s">
        <v>152</v>
      </c>
      <c r="E55" s="24" t="n">
        <v>257.529</v>
      </c>
      <c r="F55" s="11" t="s">
        <v>146</v>
      </c>
      <c r="G55" s="25" t="n">
        <v>7</v>
      </c>
      <c r="H55" s="25" t="n">
        <v>10</v>
      </c>
      <c r="I55" s="11" t="s">
        <v>153</v>
      </c>
      <c r="J55" s="25" t="n">
        <v>19</v>
      </c>
      <c r="K55" s="25" t="n">
        <v>20</v>
      </c>
      <c r="L55" s="11" t="s">
        <v>116</v>
      </c>
      <c r="M55" s="25" t="n">
        <v>56</v>
      </c>
      <c r="N55" s="11" t="s">
        <v>107</v>
      </c>
      <c r="O55" s="11" t="s">
        <v>162</v>
      </c>
      <c r="P55" s="24"/>
    </row>
    <row r="56" customFormat="false" ht="15" hidden="false" customHeight="true" outlineLevel="0" collapsed="false">
      <c r="A56" s="11" t="s">
        <v>163</v>
      </c>
      <c r="B56" s="11" t="s">
        <v>164</v>
      </c>
      <c r="C56" s="11" t="s">
        <v>165</v>
      </c>
      <c r="D56" s="11" t="s">
        <v>152</v>
      </c>
      <c r="E56" s="24" t="n">
        <v>12095.318</v>
      </c>
      <c r="F56" s="11" t="s">
        <v>166</v>
      </c>
      <c r="G56" s="25" t="n">
        <v>7</v>
      </c>
      <c r="H56" s="25" t="n">
        <v>10</v>
      </c>
      <c r="I56" s="11" t="s">
        <v>167</v>
      </c>
      <c r="J56" s="25" t="n">
        <v>217.716</v>
      </c>
      <c r="K56" s="25" t="n">
        <v>20</v>
      </c>
      <c r="L56" s="11" t="s">
        <v>116</v>
      </c>
      <c r="M56" s="25" t="n">
        <v>1000</v>
      </c>
      <c r="N56" s="11" t="s">
        <v>107</v>
      </c>
      <c r="O56" s="11" t="s">
        <v>168</v>
      </c>
      <c r="P56" s="24"/>
    </row>
    <row r="57" customFormat="false" ht="15" hidden="false" customHeight="true" outlineLevel="0" collapsed="false">
      <c r="A57" s="11" t="s">
        <v>169</v>
      </c>
      <c r="B57" s="11" t="s">
        <v>170</v>
      </c>
      <c r="C57" s="11" t="s">
        <v>171</v>
      </c>
      <c r="D57" s="11" t="s">
        <v>152</v>
      </c>
      <c r="E57" s="24" t="n">
        <v>14024.6</v>
      </c>
      <c r="F57" s="11" t="s">
        <v>166</v>
      </c>
      <c r="G57" s="25" t="n">
        <v>7</v>
      </c>
      <c r="H57" s="25" t="n">
        <v>10</v>
      </c>
      <c r="I57" s="11" t="s">
        <v>172</v>
      </c>
      <c r="J57" s="25" t="n">
        <v>252.443</v>
      </c>
      <c r="K57" s="25" t="n">
        <v>20</v>
      </c>
      <c r="L57" s="11" t="s">
        <v>116</v>
      </c>
      <c r="M57" s="25" t="n">
        <v>1000</v>
      </c>
      <c r="N57" s="11" t="s">
        <v>107</v>
      </c>
      <c r="O57" s="11" t="s">
        <v>173</v>
      </c>
      <c r="P57" s="24"/>
    </row>
    <row r="58" customFormat="false" ht="15" hidden="false" customHeight="true" outlineLevel="0" collapsed="false">
      <c r="A58" s="11" t="s">
        <v>174</v>
      </c>
      <c r="B58" s="11" t="s">
        <v>175</v>
      </c>
      <c r="C58" s="11" t="s">
        <v>176</v>
      </c>
      <c r="D58" s="11" t="s">
        <v>177</v>
      </c>
      <c r="E58" s="24" t="n">
        <v>3577.032</v>
      </c>
      <c r="F58" s="11" t="s">
        <v>166</v>
      </c>
      <c r="G58" s="25" t="n">
        <v>7</v>
      </c>
      <c r="H58" s="25" t="n">
        <v>10</v>
      </c>
      <c r="I58" s="11" t="s">
        <v>178</v>
      </c>
      <c r="J58" s="25" t="n">
        <v>257.546</v>
      </c>
      <c r="K58" s="25" t="n">
        <v>10</v>
      </c>
      <c r="L58" s="11" t="s">
        <v>116</v>
      </c>
      <c r="M58" s="25" t="n">
        <v>492</v>
      </c>
      <c r="N58" s="11" t="s">
        <v>107</v>
      </c>
      <c r="O58" s="11" t="s">
        <v>179</v>
      </c>
      <c r="P58" s="24"/>
    </row>
    <row r="59" customFormat="false" ht="15" hidden="false" customHeight="true" outlineLevel="0" collapsed="false">
      <c r="A59" s="11" t="s">
        <v>180</v>
      </c>
      <c r="B59" s="11" t="s">
        <v>181</v>
      </c>
      <c r="C59" s="11" t="s">
        <v>182</v>
      </c>
      <c r="D59" s="11" t="s">
        <v>177</v>
      </c>
      <c r="E59" s="24" t="n">
        <v>2898.307</v>
      </c>
      <c r="F59" s="11" t="s">
        <v>166</v>
      </c>
      <c r="G59" s="25" t="n">
        <v>7</v>
      </c>
      <c r="H59" s="25" t="n">
        <v>10</v>
      </c>
      <c r="I59" s="11" t="s">
        <v>183</v>
      </c>
      <c r="J59" s="25" t="n">
        <v>208.678</v>
      </c>
      <c r="K59" s="25" t="n">
        <v>10</v>
      </c>
      <c r="L59" s="11" t="s">
        <v>116</v>
      </c>
      <c r="M59" s="25" t="n">
        <v>492</v>
      </c>
      <c r="N59" s="11" t="s">
        <v>107</v>
      </c>
      <c r="O59" s="11" t="s">
        <v>179</v>
      </c>
      <c r="P59" s="24"/>
    </row>
    <row r="60" customFormat="false" ht="15" hidden="false" customHeight="true" outlineLevel="0" collapsed="false">
      <c r="A60" s="11" t="s">
        <v>184</v>
      </c>
      <c r="B60" s="11" t="s">
        <v>185</v>
      </c>
      <c r="C60" s="11" t="s">
        <v>186</v>
      </c>
      <c r="D60" s="11" t="s">
        <v>177</v>
      </c>
      <c r="E60" s="24" t="n">
        <v>32819.082</v>
      </c>
      <c r="F60" s="11" t="s">
        <v>166</v>
      </c>
      <c r="G60" s="25" t="n">
        <v>7</v>
      </c>
      <c r="H60" s="25" t="n">
        <v>10</v>
      </c>
      <c r="I60" s="11" t="s">
        <v>187</v>
      </c>
      <c r="J60" s="25" t="n">
        <v>1181.487</v>
      </c>
      <c r="K60" s="25" t="n">
        <v>10</v>
      </c>
      <c r="L60" s="11" t="s">
        <v>116</v>
      </c>
      <c r="M60" s="25" t="n">
        <v>615</v>
      </c>
      <c r="N60" s="11" t="s">
        <v>107</v>
      </c>
      <c r="O60" s="11" t="s">
        <v>188</v>
      </c>
      <c r="P60" s="24"/>
    </row>
    <row r="61" customFormat="false" ht="15" hidden="false" customHeight="true" outlineLevel="0" collapsed="false">
      <c r="A61" s="11" t="s">
        <v>189</v>
      </c>
      <c r="B61" s="11" t="s">
        <v>190</v>
      </c>
      <c r="C61" s="11" t="s">
        <v>191</v>
      </c>
      <c r="D61" s="11" t="s">
        <v>177</v>
      </c>
      <c r="E61" s="24" t="n">
        <v>24623.315</v>
      </c>
      <c r="F61" s="11" t="s">
        <v>166</v>
      </c>
      <c r="G61" s="25" t="n">
        <v>7</v>
      </c>
      <c r="H61" s="25" t="n">
        <v>10</v>
      </c>
      <c r="I61" s="11" t="s">
        <v>192</v>
      </c>
      <c r="J61" s="25" t="n">
        <v>886.439</v>
      </c>
      <c r="K61" s="25" t="n">
        <v>10</v>
      </c>
      <c r="L61" s="11" t="s">
        <v>116</v>
      </c>
      <c r="M61" s="25" t="n">
        <v>492</v>
      </c>
      <c r="N61" s="11" t="s">
        <v>107</v>
      </c>
      <c r="O61" s="11" t="s">
        <v>179</v>
      </c>
      <c r="P61" s="24"/>
    </row>
    <row r="62" customFormat="false" ht="15" hidden="false" customHeight="true" outlineLevel="0" collapsed="false">
      <c r="A62" s="11" t="s">
        <v>193</v>
      </c>
      <c r="B62" s="11" t="s">
        <v>194</v>
      </c>
      <c r="C62" s="11" t="s">
        <v>195</v>
      </c>
      <c r="D62" s="11" t="s">
        <v>177</v>
      </c>
      <c r="E62" s="24" t="n">
        <v>3403.11</v>
      </c>
      <c r="F62" s="11" t="s">
        <v>166</v>
      </c>
      <c r="G62" s="25" t="n">
        <v>7</v>
      </c>
      <c r="H62" s="25" t="n">
        <v>10</v>
      </c>
      <c r="I62" s="11" t="s">
        <v>196</v>
      </c>
      <c r="J62" s="25" t="n">
        <v>245.024</v>
      </c>
      <c r="K62" s="25" t="n">
        <v>10</v>
      </c>
      <c r="L62" s="11" t="s">
        <v>116</v>
      </c>
      <c r="M62" s="25" t="n">
        <v>738</v>
      </c>
      <c r="N62" s="11" t="s">
        <v>107</v>
      </c>
      <c r="O62" s="11" t="s">
        <v>197</v>
      </c>
      <c r="P62" s="24"/>
    </row>
    <row r="63" customFormat="false" ht="15" hidden="false" customHeight="true" outlineLevel="0" collapsed="false">
      <c r="A63" s="11" t="s">
        <v>198</v>
      </c>
      <c r="B63" s="11" t="s">
        <v>199</v>
      </c>
      <c r="C63" s="11" t="s">
        <v>200</v>
      </c>
      <c r="D63" s="11" t="s">
        <v>177</v>
      </c>
      <c r="E63" s="24" t="n">
        <v>2486.567</v>
      </c>
      <c r="F63" s="11" t="s">
        <v>166</v>
      </c>
      <c r="G63" s="25" t="n">
        <v>7</v>
      </c>
      <c r="H63" s="25" t="n">
        <v>10</v>
      </c>
      <c r="I63" s="11" t="s">
        <v>201</v>
      </c>
      <c r="J63" s="25" t="n">
        <v>179.033</v>
      </c>
      <c r="K63" s="25" t="n">
        <v>10</v>
      </c>
      <c r="L63" s="11" t="s">
        <v>116</v>
      </c>
      <c r="M63" s="25" t="n">
        <v>498</v>
      </c>
      <c r="N63" s="11" t="s">
        <v>107</v>
      </c>
      <c r="O63" s="11" t="s">
        <v>202</v>
      </c>
      <c r="P63" s="24"/>
    </row>
    <row r="64" customFormat="false" ht="15" hidden="false" customHeight="true" outlineLevel="0" collapsed="false">
      <c r="A64" s="11" t="s">
        <v>203</v>
      </c>
      <c r="B64" s="11" t="s">
        <v>204</v>
      </c>
      <c r="C64" s="11" t="s">
        <v>205</v>
      </c>
      <c r="D64" s="11" t="s">
        <v>152</v>
      </c>
      <c r="E64" s="24" t="n">
        <v>349.515</v>
      </c>
      <c r="F64" s="11" t="s">
        <v>146</v>
      </c>
      <c r="G64" s="25" t="n">
        <v>7</v>
      </c>
      <c r="H64" s="25" t="n">
        <v>10</v>
      </c>
      <c r="I64" s="11" t="s">
        <v>206</v>
      </c>
      <c r="J64" s="25" t="n">
        <v>7</v>
      </c>
      <c r="K64" s="25" t="n">
        <v>20</v>
      </c>
      <c r="L64" s="11" t="s">
        <v>114</v>
      </c>
      <c r="M64" s="25" t="n">
        <v>40</v>
      </c>
      <c r="N64" s="11" t="s">
        <v>108</v>
      </c>
      <c r="O64" s="11" t="s">
        <v>162</v>
      </c>
      <c r="P64" s="24"/>
    </row>
    <row r="65" customFormat="false" ht="15" hidden="false" customHeight="true" outlineLevel="0" collapsed="false">
      <c r="A65" s="11" t="s">
        <v>207</v>
      </c>
      <c r="B65" s="11" t="s">
        <v>208</v>
      </c>
      <c r="C65" s="11" t="s">
        <v>209</v>
      </c>
      <c r="D65" s="11" t="s">
        <v>152</v>
      </c>
      <c r="E65" s="24" t="n">
        <v>165.622</v>
      </c>
      <c r="F65" s="11" t="s">
        <v>146</v>
      </c>
      <c r="G65" s="25" t="n">
        <v>7</v>
      </c>
      <c r="H65" s="25" t="n">
        <v>10</v>
      </c>
      <c r="I65" s="11" t="s">
        <v>210</v>
      </c>
      <c r="J65" s="25" t="n">
        <v>3</v>
      </c>
      <c r="K65" s="25" t="n">
        <v>20</v>
      </c>
      <c r="L65" s="11" t="s">
        <v>114</v>
      </c>
      <c r="M65" s="25" t="n">
        <v>30</v>
      </c>
      <c r="N65" s="11" t="s">
        <v>108</v>
      </c>
      <c r="O65" s="11" t="s">
        <v>211</v>
      </c>
      <c r="P65" s="24"/>
    </row>
    <row r="66" customFormat="false" ht="15" hidden="false" customHeight="true" outlineLevel="0" collapsed="false">
      <c r="A66" s="11" t="s">
        <v>212</v>
      </c>
      <c r="B66" s="11" t="s">
        <v>213</v>
      </c>
      <c r="C66" s="11" t="s">
        <v>214</v>
      </c>
      <c r="D66" s="11" t="s">
        <v>215</v>
      </c>
      <c r="E66" s="24" t="n">
        <v>1554.621</v>
      </c>
      <c r="F66" s="11" t="s">
        <v>216</v>
      </c>
      <c r="G66" s="25" t="n">
        <f aca="false">CQ_PMIN</f>
        <v>25</v>
      </c>
      <c r="H66" s="25" t="n">
        <f aca="false">CQ_PMAX</f>
        <v>32</v>
      </c>
      <c r="I66" s="11" t="str">
        <f aca="false">"Contenedor de "&amp;Casquetes!N27&amp;" u ("&amp;Casquetes!O27&amp;" cúpulas + "&amp;Casquetes!P27&amp;" fondos, ≈ "&amp;ROUND(Casquetes!S27,-1)&amp;" kg)"</f>
        <v>Contenedor de 360 u (180 cúpulas + 180 fondos, ≈ 1000 kg)</v>
      </c>
      <c r="J66" s="25" t="n">
        <f aca="false">Casquetes!N27</f>
        <v>360</v>
      </c>
      <c r="K66" s="25" t="n">
        <f aca="false">CQ_CADA</f>
        <v>20</v>
      </c>
      <c r="L66" s="11" t="s">
        <v>124</v>
      </c>
      <c r="M66" s="25" t="n">
        <f aca="false">Casquetes!N27</f>
        <v>360</v>
      </c>
      <c r="N66" s="11" t="s">
        <v>108</v>
      </c>
      <c r="O66" s="11" t="s">
        <v>217</v>
      </c>
      <c r="P66" s="24"/>
    </row>
    <row r="67" customFormat="false" ht="15" hidden="false" customHeight="true" outlineLevel="0" collapsed="false">
      <c r="A67" s="11" t="s">
        <v>218</v>
      </c>
      <c r="B67" s="11" t="s">
        <v>219</v>
      </c>
      <c r="C67" s="11" t="s">
        <v>220</v>
      </c>
      <c r="D67" s="11" t="s">
        <v>215</v>
      </c>
      <c r="E67" s="24" t="n">
        <v>3416.87</v>
      </c>
      <c r="F67" s="11" t="s">
        <v>216</v>
      </c>
      <c r="G67" s="25" t="n">
        <f aca="false">CQ_PMIN</f>
        <v>25</v>
      </c>
      <c r="H67" s="25" t="n">
        <f aca="false">CQ_PMAX</f>
        <v>32</v>
      </c>
      <c r="I67" s="11" t="str">
        <f aca="false">"Contenedor de "&amp;Casquetes!N28&amp;" u ("&amp;Casquetes!O28&amp;" cúpulas + "&amp;Casquetes!P28&amp;" fondos, ≈ "&amp;ROUND(Casquetes!S28,-1)&amp;" kg)"</f>
        <v>Contenedor de 260 u (130 cúpulas + 130 fondos, ≈ 990 kg)</v>
      </c>
      <c r="J67" s="25" t="n">
        <f aca="false">Casquetes!N28</f>
        <v>260</v>
      </c>
      <c r="K67" s="25" t="n">
        <f aca="false">CQ_CADA</f>
        <v>20</v>
      </c>
      <c r="L67" s="11" t="s">
        <v>124</v>
      </c>
      <c r="M67" s="25" t="n">
        <f aca="false">Casquetes!N28</f>
        <v>260</v>
      </c>
      <c r="N67" s="11" t="s">
        <v>108</v>
      </c>
      <c r="O67" s="11" t="s">
        <v>217</v>
      </c>
      <c r="P67" s="24"/>
    </row>
    <row r="68" customFormat="false" ht="15" hidden="false" customHeight="true" outlineLevel="0" collapsed="false">
      <c r="A68" s="11" t="s">
        <v>221</v>
      </c>
      <c r="B68" s="11" t="s">
        <v>222</v>
      </c>
      <c r="C68" s="11" t="s">
        <v>223</v>
      </c>
      <c r="D68" s="11" t="s">
        <v>215</v>
      </c>
      <c r="E68" s="24" t="n">
        <v>1243.153</v>
      </c>
      <c r="F68" s="11" t="s">
        <v>216</v>
      </c>
      <c r="G68" s="25" t="n">
        <f aca="false">CQ_PMIN</f>
        <v>25</v>
      </c>
      <c r="H68" s="25" t="n">
        <f aca="false">CQ_PMAX</f>
        <v>32</v>
      </c>
      <c r="I68" s="11" t="str">
        <f aca="false">"Contenedor de "&amp;Casquetes!N29&amp;" u ("&amp;Casquetes!O29&amp;" cúpulas + "&amp;Casquetes!P29&amp;" fondos, ≈ "&amp;ROUND(Casquetes!S29,-1)&amp;" kg)"</f>
        <v>Contenedor de 116 u (58 cúpulas + 58 fondos, ≈ 890 kg)</v>
      </c>
      <c r="J68" s="25" t="n">
        <f aca="false">Casquetes!N29</f>
        <v>116</v>
      </c>
      <c r="K68" s="25" t="n">
        <f aca="false">CQ_CADA</f>
        <v>20</v>
      </c>
      <c r="L68" s="11" t="s">
        <v>124</v>
      </c>
      <c r="M68" s="25" t="n">
        <f aca="false">Casquetes!N29</f>
        <v>116</v>
      </c>
      <c r="N68" s="11" t="s">
        <v>108</v>
      </c>
      <c r="O68" s="11" t="s">
        <v>217</v>
      </c>
      <c r="P68" s="24"/>
    </row>
    <row r="69" customFormat="false" ht="15" hidden="false" customHeight="true" outlineLevel="0" collapsed="false">
      <c r="A69" s="11" t="s">
        <v>224</v>
      </c>
      <c r="B69" s="11" t="s">
        <v>225</v>
      </c>
      <c r="C69" s="11" t="s">
        <v>226</v>
      </c>
      <c r="D69" s="11" t="s">
        <v>227</v>
      </c>
      <c r="E69" s="24" t="n">
        <v>202620.639</v>
      </c>
      <c r="F69" s="11" t="s">
        <v>216</v>
      </c>
      <c r="G69" s="25" t="n">
        <v>25</v>
      </c>
      <c r="H69" s="25" t="n">
        <v>29</v>
      </c>
      <c r="I69" s="11" t="s">
        <v>228</v>
      </c>
      <c r="J69" s="25" t="n">
        <v>500</v>
      </c>
      <c r="K69" s="25" t="n">
        <v>20</v>
      </c>
      <c r="L69" s="11" t="s">
        <v>120</v>
      </c>
      <c r="M69" s="25" t="n">
        <v>12000</v>
      </c>
      <c r="N69" s="11" t="s">
        <v>107</v>
      </c>
      <c r="O69" s="11" t="s">
        <v>229</v>
      </c>
      <c r="P69" s="24"/>
    </row>
    <row r="70" customFormat="false" ht="15" hidden="false" customHeight="true" outlineLevel="0" collapsed="false">
      <c r="A70" s="11" t="s">
        <v>230</v>
      </c>
      <c r="B70" s="11" t="s">
        <v>231</v>
      </c>
      <c r="C70" s="11" t="s">
        <v>232</v>
      </c>
      <c r="D70" s="11" t="s">
        <v>227</v>
      </c>
      <c r="E70" s="24" t="n">
        <v>81841.925</v>
      </c>
      <c r="F70" s="11" t="s">
        <v>216</v>
      </c>
      <c r="G70" s="25" t="n">
        <v>25</v>
      </c>
      <c r="H70" s="25" t="n">
        <v>29</v>
      </c>
      <c r="I70" s="11" t="s">
        <v>233</v>
      </c>
      <c r="J70" s="25" t="n">
        <v>500</v>
      </c>
      <c r="K70" s="25" t="n">
        <v>20</v>
      </c>
      <c r="L70" s="11" t="s">
        <v>120</v>
      </c>
      <c r="M70" s="25" t="n">
        <v>8000</v>
      </c>
      <c r="N70" s="11" t="s">
        <v>107</v>
      </c>
      <c r="O70" s="11" t="s">
        <v>234</v>
      </c>
      <c r="P70" s="24"/>
    </row>
    <row r="71" customFormat="false" ht="15" hidden="false" customHeight="true" outlineLevel="0" collapsed="false">
      <c r="A71" s="11" t="s">
        <v>235</v>
      </c>
      <c r="B71" s="11" t="s">
        <v>236</v>
      </c>
      <c r="C71" s="11" t="s">
        <v>237</v>
      </c>
      <c r="D71" s="11" t="s">
        <v>227</v>
      </c>
      <c r="E71" s="24" t="n">
        <v>2485.746</v>
      </c>
      <c r="F71" s="11" t="s">
        <v>216</v>
      </c>
      <c r="G71" s="25" t="n">
        <v>25</v>
      </c>
      <c r="H71" s="25" t="n">
        <v>29</v>
      </c>
      <c r="I71" s="11" t="s">
        <v>238</v>
      </c>
      <c r="J71" s="25" t="n">
        <v>100</v>
      </c>
      <c r="K71" s="25" t="n">
        <v>20</v>
      </c>
      <c r="L71" s="11" t="s">
        <v>124</v>
      </c>
      <c r="M71" s="25" t="n">
        <v>600</v>
      </c>
      <c r="N71" s="11" t="s">
        <v>108</v>
      </c>
      <c r="O71" s="11" t="s">
        <v>239</v>
      </c>
      <c r="P71" s="24"/>
    </row>
    <row r="72" customFormat="false" ht="15" hidden="false" customHeight="true" outlineLevel="0" collapsed="false">
      <c r="A72" s="11" t="s">
        <v>240</v>
      </c>
      <c r="B72" s="11" t="s">
        <v>241</v>
      </c>
      <c r="C72" s="11" t="s">
        <v>242</v>
      </c>
      <c r="D72" s="11" t="s">
        <v>227</v>
      </c>
      <c r="E72" s="24" t="n">
        <v>621.576</v>
      </c>
      <c r="F72" s="11" t="s">
        <v>216</v>
      </c>
      <c r="G72" s="25" t="n">
        <v>25</v>
      </c>
      <c r="H72" s="25" t="n">
        <v>29</v>
      </c>
      <c r="I72" s="11" t="s">
        <v>243</v>
      </c>
      <c r="J72" s="25" t="n">
        <v>40</v>
      </c>
      <c r="K72" s="25" t="n">
        <v>20</v>
      </c>
      <c r="L72" s="11" t="s">
        <v>124</v>
      </c>
      <c r="M72" s="25" t="n">
        <v>160</v>
      </c>
      <c r="N72" s="11" t="s">
        <v>108</v>
      </c>
      <c r="O72" s="11" t="s">
        <v>244</v>
      </c>
      <c r="P72" s="24"/>
    </row>
    <row r="73" customFormat="false" ht="15" hidden="false" customHeight="true" outlineLevel="0" collapsed="false">
      <c r="A73" s="11" t="s">
        <v>245</v>
      </c>
      <c r="B73" s="11" t="s">
        <v>246</v>
      </c>
      <c r="C73" s="11" t="s">
        <v>247</v>
      </c>
      <c r="D73" s="11" t="s">
        <v>248</v>
      </c>
      <c r="E73" s="24" t="n">
        <v>510.181</v>
      </c>
      <c r="F73" s="11" t="s">
        <v>249</v>
      </c>
      <c r="G73" s="25" t="n">
        <v>5</v>
      </c>
      <c r="H73" s="25" t="n">
        <v>5</v>
      </c>
      <c r="I73" s="11" t="s">
        <v>250</v>
      </c>
      <c r="J73" s="25" t="n">
        <v>1</v>
      </c>
      <c r="K73" s="25" t="n">
        <v>20</v>
      </c>
      <c r="L73" s="11" t="s">
        <v>115</v>
      </c>
      <c r="M73" s="25" t="n">
        <v>60</v>
      </c>
      <c r="N73" s="11" t="s">
        <v>108</v>
      </c>
      <c r="O73" s="11" t="s">
        <v>251</v>
      </c>
      <c r="P73" s="24"/>
    </row>
    <row r="74" customFormat="false" ht="15" hidden="false" customHeight="true" outlineLevel="0" collapsed="false">
      <c r="A74" s="11" t="s">
        <v>252</v>
      </c>
      <c r="B74" s="11" t="s">
        <v>253</v>
      </c>
      <c r="C74" s="11" t="s">
        <v>254</v>
      </c>
      <c r="D74" s="11" t="s">
        <v>248</v>
      </c>
      <c r="E74" s="24" t="n">
        <v>89.621</v>
      </c>
      <c r="F74" s="11" t="s">
        <v>249</v>
      </c>
      <c r="G74" s="25" t="n">
        <v>5</v>
      </c>
      <c r="H74" s="25" t="n">
        <v>5</v>
      </c>
      <c r="I74" s="11" t="s">
        <v>250</v>
      </c>
      <c r="J74" s="25" t="n">
        <v>1</v>
      </c>
      <c r="K74" s="25" t="n">
        <v>20</v>
      </c>
      <c r="L74" s="11" t="s">
        <v>115</v>
      </c>
      <c r="M74" s="25" t="n">
        <v>60</v>
      </c>
      <c r="N74" s="11" t="s">
        <v>108</v>
      </c>
      <c r="O74" s="11" t="s">
        <v>255</v>
      </c>
      <c r="P74" s="24"/>
    </row>
    <row r="75" customFormat="false" ht="15" hidden="false" customHeight="true" outlineLevel="0" collapsed="false">
      <c r="A75" s="11" t="s">
        <v>256</v>
      </c>
      <c r="B75" s="11" t="s">
        <v>257</v>
      </c>
      <c r="C75" s="11" t="s">
        <v>258</v>
      </c>
      <c r="D75" s="11" t="s">
        <v>259</v>
      </c>
      <c r="E75" s="24" t="n">
        <v>56.709</v>
      </c>
      <c r="F75" s="11" t="s">
        <v>249</v>
      </c>
      <c r="G75" s="25" t="n">
        <v>1</v>
      </c>
      <c r="H75" s="25" t="n">
        <v>3</v>
      </c>
      <c r="I75" s="11" t="s">
        <v>260</v>
      </c>
      <c r="J75" s="25" t="n">
        <v>1</v>
      </c>
      <c r="K75" s="25" t="n">
        <v>20</v>
      </c>
      <c r="L75" s="11" t="s">
        <v>115</v>
      </c>
      <c r="M75" s="25" t="n">
        <v>60</v>
      </c>
      <c r="N75" s="11" t="s">
        <v>108</v>
      </c>
      <c r="O75" s="11" t="s">
        <v>261</v>
      </c>
      <c r="P75" s="24"/>
    </row>
    <row r="76" customFormat="false" ht="15" hidden="false" customHeight="true" outlineLevel="0" collapsed="false">
      <c r="A76" s="11" t="s">
        <v>262</v>
      </c>
      <c r="B76" s="11" t="s">
        <v>263</v>
      </c>
      <c r="C76" s="11" t="s">
        <v>264</v>
      </c>
      <c r="D76" s="11" t="s">
        <v>259</v>
      </c>
      <c r="E76" s="24" t="n">
        <v>127.028</v>
      </c>
      <c r="F76" s="11" t="s">
        <v>249</v>
      </c>
      <c r="G76" s="25" t="n">
        <v>1</v>
      </c>
      <c r="H76" s="25" t="n">
        <v>3</v>
      </c>
      <c r="I76" s="11" t="s">
        <v>265</v>
      </c>
      <c r="J76" s="25" t="n">
        <v>1</v>
      </c>
      <c r="K76" s="25" t="n">
        <v>20</v>
      </c>
      <c r="L76" s="11" t="s">
        <v>115</v>
      </c>
      <c r="M76" s="25" t="n">
        <v>60</v>
      </c>
      <c r="N76" s="11" t="s">
        <v>108</v>
      </c>
      <c r="O76" s="11" t="s">
        <v>266</v>
      </c>
      <c r="P76" s="24"/>
    </row>
    <row r="77" customFormat="false" ht="15" hidden="false" customHeight="true" outlineLevel="0" collapsed="false">
      <c r="A77" s="11" t="s">
        <v>267</v>
      </c>
      <c r="B77" s="11" t="s">
        <v>268</v>
      </c>
      <c r="C77" s="11" t="s">
        <v>269</v>
      </c>
      <c r="D77" s="11" t="s">
        <v>270</v>
      </c>
      <c r="E77" s="24" t="n">
        <v>7258.729</v>
      </c>
      <c r="F77" s="11" t="s">
        <v>216</v>
      </c>
      <c r="G77" s="25" t="n">
        <v>3</v>
      </c>
      <c r="H77" s="25" t="n">
        <v>5</v>
      </c>
      <c r="I77" s="11" t="s">
        <v>271</v>
      </c>
      <c r="J77" s="25" t="n">
        <v>1000</v>
      </c>
      <c r="K77" s="25" t="n">
        <v>20</v>
      </c>
      <c r="L77" s="11" t="s">
        <v>125</v>
      </c>
      <c r="M77" s="25" t="n">
        <v>20000</v>
      </c>
      <c r="N77" s="11" t="s">
        <v>108</v>
      </c>
      <c r="O77" s="11" t="s">
        <v>272</v>
      </c>
      <c r="P77" s="24"/>
    </row>
    <row r="78" customFormat="false" ht="15" hidden="false" customHeight="true" outlineLevel="0" collapsed="false">
      <c r="A78" s="11" t="s">
        <v>273</v>
      </c>
      <c r="B78" s="11" t="s">
        <v>274</v>
      </c>
      <c r="C78" s="11" t="s">
        <v>275</v>
      </c>
      <c r="D78" s="11" t="s">
        <v>270</v>
      </c>
      <c r="E78" s="24" t="n">
        <v>3629.364</v>
      </c>
      <c r="F78" s="11" t="s">
        <v>216</v>
      </c>
      <c r="G78" s="25" t="n">
        <v>3</v>
      </c>
      <c r="H78" s="25" t="n">
        <v>5</v>
      </c>
      <c r="I78" s="11" t="s">
        <v>271</v>
      </c>
      <c r="J78" s="25" t="n">
        <v>1000</v>
      </c>
      <c r="K78" s="25" t="n">
        <v>20</v>
      </c>
      <c r="L78" s="11" t="s">
        <v>125</v>
      </c>
      <c r="M78" s="25" t="n">
        <v>20000</v>
      </c>
      <c r="N78" s="11" t="s">
        <v>108</v>
      </c>
      <c r="O78" s="11" t="s">
        <v>276</v>
      </c>
      <c r="P78" s="24"/>
    </row>
    <row r="79" customFormat="false" ht="15" hidden="false" customHeight="true" outlineLevel="0" collapsed="false">
      <c r="A79" s="11" t="s">
        <v>277</v>
      </c>
      <c r="B79" s="11" t="s">
        <v>278</v>
      </c>
      <c r="C79" s="11" t="s">
        <v>279</v>
      </c>
      <c r="D79" s="11" t="s">
        <v>280</v>
      </c>
      <c r="E79" s="24" t="n">
        <v>907.341</v>
      </c>
      <c r="F79" s="11" t="s">
        <v>216</v>
      </c>
      <c r="G79" s="25" t="n">
        <v>3</v>
      </c>
      <c r="H79" s="25" t="n">
        <v>5</v>
      </c>
      <c r="I79" s="11" t="s">
        <v>281</v>
      </c>
      <c r="J79" s="25" t="n">
        <v>72</v>
      </c>
      <c r="K79" s="25" t="n">
        <v>20</v>
      </c>
      <c r="L79" s="11" t="s">
        <v>125</v>
      </c>
      <c r="M79" s="25" t="n">
        <v>144</v>
      </c>
      <c r="N79" s="11" t="s">
        <v>108</v>
      </c>
      <c r="O79" s="11" t="s">
        <v>282</v>
      </c>
      <c r="P79" s="24"/>
    </row>
    <row r="80" customFormat="false" ht="15" hidden="false" customHeight="true" outlineLevel="0" collapsed="false">
      <c r="A80" s="11" t="s">
        <v>283</v>
      </c>
      <c r="B80" s="11" t="s">
        <v>284</v>
      </c>
      <c r="C80" s="11" t="s">
        <v>285</v>
      </c>
      <c r="D80" s="11" t="s">
        <v>280</v>
      </c>
      <c r="E80" s="24" t="n">
        <v>1995.99</v>
      </c>
      <c r="F80" s="11" t="s">
        <v>216</v>
      </c>
      <c r="G80" s="25" t="n">
        <v>3</v>
      </c>
      <c r="H80" s="25" t="n">
        <v>5</v>
      </c>
      <c r="I80" s="11" t="s">
        <v>281</v>
      </c>
      <c r="J80" s="25" t="n">
        <v>72</v>
      </c>
      <c r="K80" s="25" t="n">
        <v>20</v>
      </c>
      <c r="L80" s="11" t="s">
        <v>125</v>
      </c>
      <c r="M80" s="25" t="n">
        <v>144</v>
      </c>
      <c r="N80" s="11" t="s">
        <v>108</v>
      </c>
      <c r="O80" s="11" t="s">
        <v>286</v>
      </c>
      <c r="P80" s="24"/>
    </row>
    <row r="81" customFormat="false" ht="15" hidden="false" customHeight="true" outlineLevel="0" collapsed="false">
      <c r="A81" s="11" t="s">
        <v>287</v>
      </c>
      <c r="B81" s="11" t="s">
        <v>288</v>
      </c>
      <c r="C81" s="11" t="s">
        <v>289</v>
      </c>
      <c r="D81" s="11" t="s">
        <v>290</v>
      </c>
      <c r="E81" s="24" t="n">
        <v>726.033</v>
      </c>
      <c r="F81" s="11" t="s">
        <v>216</v>
      </c>
      <c r="G81" s="25" t="n">
        <v>3</v>
      </c>
      <c r="H81" s="25" t="n">
        <v>5</v>
      </c>
      <c r="I81" s="11" t="s">
        <v>281</v>
      </c>
      <c r="J81" s="25" t="n">
        <v>72</v>
      </c>
      <c r="K81" s="25" t="n">
        <v>20</v>
      </c>
      <c r="L81" s="11" t="s">
        <v>125</v>
      </c>
      <c r="M81" s="25" t="n">
        <v>144</v>
      </c>
      <c r="N81" s="11" t="s">
        <v>108</v>
      </c>
      <c r="O81" s="11" t="s">
        <v>291</v>
      </c>
      <c r="P81" s="24"/>
    </row>
    <row r="82" customFormat="false" ht="15" hidden="false" customHeight="true" outlineLevel="0" collapsed="false">
      <c r="A82" s="11" t="s">
        <v>292</v>
      </c>
      <c r="B82" s="11" t="s">
        <v>293</v>
      </c>
      <c r="C82" s="11" t="s">
        <v>294</v>
      </c>
      <c r="D82" s="11" t="s">
        <v>295</v>
      </c>
      <c r="E82" s="24" t="n">
        <v>5990.038</v>
      </c>
      <c r="F82" s="11" t="s">
        <v>166</v>
      </c>
      <c r="G82" s="25" t="n">
        <v>4</v>
      </c>
      <c r="H82" s="25" t="n">
        <v>5</v>
      </c>
      <c r="I82" s="11" t="s">
        <v>296</v>
      </c>
      <c r="J82" s="25" t="n">
        <v>900</v>
      </c>
      <c r="K82" s="25" t="n">
        <v>20</v>
      </c>
      <c r="L82" s="11" t="s">
        <v>122</v>
      </c>
      <c r="M82" s="25" t="n">
        <v>900</v>
      </c>
      <c r="N82" s="11" t="s">
        <v>107</v>
      </c>
      <c r="O82" s="11" t="s">
        <v>297</v>
      </c>
      <c r="P82" s="24"/>
    </row>
    <row r="83" customFormat="false" ht="15" hidden="false" customHeight="true" outlineLevel="0" collapsed="false">
      <c r="A83" s="11" t="s">
        <v>298</v>
      </c>
      <c r="B83" s="11" t="s">
        <v>299</v>
      </c>
      <c r="C83" s="11" t="s">
        <v>300</v>
      </c>
      <c r="D83" s="11" t="s">
        <v>295</v>
      </c>
      <c r="E83" s="24" t="n">
        <v>1390.597</v>
      </c>
      <c r="F83" s="11" t="s">
        <v>166</v>
      </c>
      <c r="G83" s="25" t="n">
        <v>4</v>
      </c>
      <c r="H83" s="25" t="n">
        <v>5</v>
      </c>
      <c r="I83" s="11" t="s">
        <v>301</v>
      </c>
      <c r="J83" s="25" t="n">
        <v>15</v>
      </c>
      <c r="K83" s="25" t="n">
        <v>20</v>
      </c>
      <c r="L83" s="11" t="s">
        <v>125</v>
      </c>
      <c r="M83" s="25" t="n">
        <v>900</v>
      </c>
      <c r="N83" s="11" t="s">
        <v>108</v>
      </c>
      <c r="O83" s="11" t="s">
        <v>302</v>
      </c>
      <c r="P83" s="24"/>
    </row>
    <row r="84" customFormat="false" ht="15" hidden="false" customHeight="true" outlineLevel="0" collapsed="false">
      <c r="A84" s="11" t="s">
        <v>303</v>
      </c>
      <c r="B84" s="11" t="s">
        <v>304</v>
      </c>
      <c r="C84" s="11" t="s">
        <v>305</v>
      </c>
      <c r="D84" s="11" t="s">
        <v>306</v>
      </c>
      <c r="E84" s="24" t="n">
        <v>7959.639</v>
      </c>
      <c r="F84" s="11" t="s">
        <v>307</v>
      </c>
      <c r="G84" s="25" t="n">
        <v>1</v>
      </c>
      <c r="H84" s="25" t="n">
        <v>1</v>
      </c>
      <c r="I84" s="11" t="s">
        <v>308</v>
      </c>
      <c r="J84" s="25" t="n">
        <v>115.5</v>
      </c>
      <c r="K84" s="25" t="n">
        <v>5</v>
      </c>
      <c r="L84" s="11" t="s">
        <v>123</v>
      </c>
      <c r="M84" s="25" t="n">
        <v>115.5</v>
      </c>
      <c r="N84" s="11" t="s">
        <v>107</v>
      </c>
      <c r="O84" s="11" t="s">
        <v>309</v>
      </c>
      <c r="P84" s="24"/>
    </row>
    <row r="85" customFormat="false" ht="15" hidden="false" customHeight="true" outlineLevel="0" collapsed="false">
      <c r="A85" s="11" t="s">
        <v>310</v>
      </c>
      <c r="B85" s="11" t="s">
        <v>311</v>
      </c>
      <c r="C85" s="11" t="s">
        <v>312</v>
      </c>
      <c r="D85" s="11" t="s">
        <v>306</v>
      </c>
      <c r="E85" s="24" t="n">
        <v>800.554</v>
      </c>
      <c r="F85" s="11" t="s">
        <v>307</v>
      </c>
      <c r="G85" s="25" t="n">
        <v>1</v>
      </c>
      <c r="H85" s="25" t="n">
        <v>1</v>
      </c>
      <c r="I85" s="11" t="s">
        <v>313</v>
      </c>
      <c r="J85" s="25" t="n">
        <v>10.5</v>
      </c>
      <c r="K85" s="25" t="n">
        <v>5</v>
      </c>
      <c r="L85" s="11" t="s">
        <v>123</v>
      </c>
      <c r="M85" s="25" t="n">
        <v>115.5</v>
      </c>
      <c r="N85" s="11" t="s">
        <v>107</v>
      </c>
      <c r="O85" s="11" t="s">
        <v>314</v>
      </c>
      <c r="P85" s="24"/>
    </row>
    <row r="86" customFormat="false" ht="15" hidden="false" customHeight="true" outlineLevel="0" collapsed="false">
      <c r="A86" s="11" t="s">
        <v>315</v>
      </c>
      <c r="B86" s="11" t="s">
        <v>316</v>
      </c>
      <c r="C86" s="11" t="s">
        <v>317</v>
      </c>
      <c r="D86" s="11" t="s">
        <v>270</v>
      </c>
      <c r="E86" s="24" t="n">
        <v>166.629</v>
      </c>
      <c r="F86" s="11" t="s">
        <v>216</v>
      </c>
      <c r="G86" s="25" t="n">
        <v>3</v>
      </c>
      <c r="H86" s="25" t="n">
        <v>5</v>
      </c>
      <c r="I86" s="11" t="s">
        <v>318</v>
      </c>
      <c r="J86" s="25" t="n">
        <v>10</v>
      </c>
      <c r="K86" s="25" t="n">
        <v>20</v>
      </c>
      <c r="L86" s="11" t="s">
        <v>122</v>
      </c>
      <c r="M86" s="25" t="n">
        <v>250</v>
      </c>
      <c r="N86" s="11" t="s">
        <v>107</v>
      </c>
      <c r="O86" s="11" t="s">
        <v>319</v>
      </c>
      <c r="P86" s="24"/>
    </row>
    <row r="87" customFormat="false" ht="15" hidden="false" customHeight="true" outlineLevel="0" collapsed="false">
      <c r="A87" s="11" t="s">
        <v>320</v>
      </c>
      <c r="B87" s="11" t="s">
        <v>321</v>
      </c>
      <c r="C87" s="11" t="s">
        <v>322</v>
      </c>
      <c r="D87" s="11" t="s">
        <v>270</v>
      </c>
      <c r="E87" s="24" t="n">
        <v>27.22</v>
      </c>
      <c r="F87" s="11" t="s">
        <v>216</v>
      </c>
      <c r="G87" s="25" t="n">
        <v>3</v>
      </c>
      <c r="H87" s="25" t="n">
        <v>5</v>
      </c>
      <c r="I87" s="11" t="s">
        <v>318</v>
      </c>
      <c r="J87" s="25" t="n">
        <v>10</v>
      </c>
      <c r="K87" s="25" t="n">
        <v>60</v>
      </c>
      <c r="L87" s="11" t="s">
        <v>122</v>
      </c>
      <c r="M87" s="25" t="n">
        <v>250</v>
      </c>
      <c r="N87" s="11" t="s">
        <v>107</v>
      </c>
      <c r="O87" s="11" t="s">
        <v>323</v>
      </c>
      <c r="P87" s="24"/>
    </row>
    <row r="88" customFormat="false" ht="15" hidden="false" customHeight="true" outlineLevel="0" collapsed="false">
      <c r="A88" s="11" t="s">
        <v>324</v>
      </c>
      <c r="B88" s="11" t="s">
        <v>325</v>
      </c>
      <c r="C88" s="11" t="s">
        <v>326</v>
      </c>
      <c r="D88" s="11" t="s">
        <v>327</v>
      </c>
      <c r="E88" s="24" t="n">
        <v>99.755</v>
      </c>
      <c r="F88" s="11" t="s">
        <v>216</v>
      </c>
      <c r="G88" s="25" t="n">
        <v>1</v>
      </c>
      <c r="H88" s="25" t="n">
        <v>1</v>
      </c>
      <c r="I88" s="11" t="s">
        <v>328</v>
      </c>
      <c r="J88" s="25" t="n">
        <v>25</v>
      </c>
      <c r="K88" s="25" t="n">
        <v>60</v>
      </c>
      <c r="L88" s="11" t="s">
        <v>122</v>
      </c>
      <c r="M88" s="25" t="n">
        <v>250</v>
      </c>
      <c r="N88" s="11" t="s">
        <v>107</v>
      </c>
      <c r="O88" s="11" t="s">
        <v>329</v>
      </c>
      <c r="P88" s="24"/>
    </row>
    <row r="89" customFormat="false" ht="15" hidden="false" customHeight="true" outlineLevel="0" collapsed="false">
      <c r="A89" s="11" t="s">
        <v>330</v>
      </c>
      <c r="B89" s="11" t="s">
        <v>331</v>
      </c>
      <c r="C89" s="11" t="s">
        <v>332</v>
      </c>
      <c r="D89" s="11" t="s">
        <v>270</v>
      </c>
      <c r="E89" s="24" t="n">
        <v>22.67</v>
      </c>
      <c r="F89" s="11" t="s">
        <v>216</v>
      </c>
      <c r="G89" s="25" t="n">
        <v>3</v>
      </c>
      <c r="H89" s="25" t="n">
        <v>5</v>
      </c>
      <c r="I89" s="11" t="s">
        <v>318</v>
      </c>
      <c r="J89" s="25" t="n">
        <v>10</v>
      </c>
      <c r="K89" s="25" t="n">
        <v>60</v>
      </c>
      <c r="L89" s="11" t="s">
        <v>122</v>
      </c>
      <c r="M89" s="25" t="n">
        <v>250</v>
      </c>
      <c r="N89" s="11" t="s">
        <v>107</v>
      </c>
      <c r="O89" s="11" t="s">
        <v>333</v>
      </c>
      <c r="P89" s="24"/>
    </row>
    <row r="90" customFormat="false" ht="15" hidden="false" customHeight="true" outlineLevel="0" collapsed="false">
      <c r="A90" s="11" t="s">
        <v>334</v>
      </c>
      <c r="B90" s="11" t="s">
        <v>335</v>
      </c>
      <c r="C90" s="11" t="s">
        <v>336</v>
      </c>
      <c r="D90" s="11" t="s">
        <v>327</v>
      </c>
      <c r="E90" s="24" t="n">
        <v>18.147</v>
      </c>
      <c r="F90" s="11" t="s">
        <v>216</v>
      </c>
      <c r="G90" s="25" t="n">
        <v>1</v>
      </c>
      <c r="H90" s="25" t="n">
        <v>1</v>
      </c>
      <c r="I90" s="11" t="s">
        <v>318</v>
      </c>
      <c r="J90" s="25" t="n">
        <v>10</v>
      </c>
      <c r="K90" s="25" t="n">
        <v>60</v>
      </c>
      <c r="L90" s="11" t="s">
        <v>122</v>
      </c>
      <c r="M90" s="25" t="n">
        <v>250</v>
      </c>
      <c r="N90" s="11" t="s">
        <v>107</v>
      </c>
      <c r="O90" s="11" t="s">
        <v>337</v>
      </c>
      <c r="P90" s="24"/>
    </row>
    <row r="91" customFormat="false" ht="15" hidden="false" customHeight="true" outlineLevel="0" collapsed="false">
      <c r="A91" s="11" t="s">
        <v>338</v>
      </c>
      <c r="B91" s="11" t="s">
        <v>339</v>
      </c>
      <c r="C91" s="11" t="s">
        <v>340</v>
      </c>
      <c r="D91" s="11" t="s">
        <v>270</v>
      </c>
      <c r="E91" s="24" t="n">
        <v>7.768</v>
      </c>
      <c r="F91" s="11" t="s">
        <v>216</v>
      </c>
      <c r="G91" s="25" t="n">
        <v>3</v>
      </c>
      <c r="H91" s="25" t="n">
        <v>5</v>
      </c>
      <c r="I91" s="11" t="s">
        <v>341</v>
      </c>
      <c r="J91" s="25" t="n">
        <v>1</v>
      </c>
      <c r="K91" s="25" t="n">
        <v>60</v>
      </c>
      <c r="L91" s="11" t="s">
        <v>122</v>
      </c>
      <c r="M91" s="25" t="n">
        <v>250</v>
      </c>
      <c r="N91" s="11" t="s">
        <v>107</v>
      </c>
      <c r="O91" s="11" t="s">
        <v>342</v>
      </c>
      <c r="P91" s="24"/>
    </row>
    <row r="92" customFormat="false" ht="15" hidden="false" customHeight="true" outlineLevel="0" collapsed="false">
      <c r="A92" s="11" t="s">
        <v>343</v>
      </c>
      <c r="B92" s="11" t="s">
        <v>344</v>
      </c>
      <c r="C92" s="11" t="s">
        <v>345</v>
      </c>
      <c r="D92" s="11" t="s">
        <v>346</v>
      </c>
      <c r="E92" s="24" t="n">
        <v>22757.005</v>
      </c>
      <c r="F92" s="11" t="s">
        <v>166</v>
      </c>
      <c r="G92" s="25" t="n">
        <v>1</v>
      </c>
      <c r="H92" s="25" t="n">
        <v>1</v>
      </c>
      <c r="I92" s="11" t="s">
        <v>347</v>
      </c>
      <c r="J92" s="25" t="n">
        <v>1000</v>
      </c>
      <c r="K92" s="25" t="n">
        <v>20</v>
      </c>
      <c r="L92" s="11" t="s">
        <v>122</v>
      </c>
      <c r="M92" s="25" t="n">
        <v>1000</v>
      </c>
      <c r="N92" s="11" t="s">
        <v>107</v>
      </c>
      <c r="O92" s="11" t="s">
        <v>348</v>
      </c>
      <c r="P92" s="24"/>
    </row>
    <row r="93" customFormat="false" ht="15" hidden="false" customHeight="true" outlineLevel="0" collapsed="false">
      <c r="A93" s="11" t="s">
        <v>349</v>
      </c>
      <c r="B93" s="11" t="s">
        <v>350</v>
      </c>
      <c r="C93" s="11" t="s">
        <v>351</v>
      </c>
      <c r="D93" s="11" t="s">
        <v>352</v>
      </c>
      <c r="E93" s="24" t="n">
        <v>3581.935</v>
      </c>
      <c r="F93" s="11" t="s">
        <v>166</v>
      </c>
      <c r="G93" s="25" t="n">
        <v>1</v>
      </c>
      <c r="H93" s="25" t="n">
        <v>1</v>
      </c>
      <c r="I93" s="11" t="s">
        <v>353</v>
      </c>
      <c r="J93" s="25" t="n">
        <v>25</v>
      </c>
      <c r="K93" s="25" t="n">
        <v>20</v>
      </c>
      <c r="L93" s="11" t="s">
        <v>117</v>
      </c>
      <c r="M93" s="25" t="n">
        <v>600</v>
      </c>
      <c r="N93" s="11" t="s">
        <v>107</v>
      </c>
      <c r="O93" s="11" t="s">
        <v>354</v>
      </c>
      <c r="P93" s="24"/>
    </row>
    <row r="94" customFormat="false" ht="15" hidden="false" customHeight="true" outlineLevel="0" collapsed="false">
      <c r="A94" s="11" t="s">
        <v>355</v>
      </c>
      <c r="B94" s="11" t="s">
        <v>356</v>
      </c>
      <c r="C94" s="11" t="s">
        <v>357</v>
      </c>
      <c r="D94" s="11" t="s">
        <v>358</v>
      </c>
      <c r="E94" s="24" t="n">
        <v>272378.17</v>
      </c>
      <c r="F94" s="11" t="s">
        <v>166</v>
      </c>
      <c r="G94" s="25" t="n">
        <v>3</v>
      </c>
      <c r="H94" s="25" t="n">
        <v>6</v>
      </c>
      <c r="I94" s="11" t="s">
        <v>359</v>
      </c>
      <c r="J94" s="25" t="n">
        <v>1000</v>
      </c>
      <c r="K94" s="25" t="n">
        <v>5</v>
      </c>
      <c r="L94" s="11" t="s">
        <v>117</v>
      </c>
      <c r="M94" s="25" t="n">
        <v>2000</v>
      </c>
      <c r="N94" s="11" t="s">
        <v>360</v>
      </c>
      <c r="O94" s="11" t="s">
        <v>361</v>
      </c>
      <c r="P94" s="24"/>
    </row>
    <row r="95" customFormat="false" ht="15" hidden="false" customHeight="true" outlineLevel="0" collapsed="false">
      <c r="A95" s="11" t="s">
        <v>362</v>
      </c>
      <c r="B95" s="11" t="s">
        <v>363</v>
      </c>
      <c r="C95" s="11" t="s">
        <v>364</v>
      </c>
      <c r="D95" s="11" t="s">
        <v>358</v>
      </c>
      <c r="E95" s="24" t="n">
        <v>102532.951</v>
      </c>
      <c r="F95" s="11" t="s">
        <v>166</v>
      </c>
      <c r="G95" s="25" t="n">
        <v>3</v>
      </c>
      <c r="H95" s="25" t="n">
        <v>6</v>
      </c>
      <c r="I95" s="11" t="s">
        <v>359</v>
      </c>
      <c r="J95" s="25" t="n">
        <v>1000</v>
      </c>
      <c r="K95" s="25" t="n">
        <v>5</v>
      </c>
      <c r="L95" s="11" t="s">
        <v>117</v>
      </c>
      <c r="M95" s="25" t="n">
        <v>2000</v>
      </c>
      <c r="N95" s="11" t="s">
        <v>365</v>
      </c>
      <c r="O95" s="11" t="s">
        <v>366</v>
      </c>
      <c r="P95" s="24"/>
    </row>
    <row r="96" customFormat="false" ht="15" hidden="false" customHeight="true" outlineLevel="0" collapsed="false">
      <c r="A96" s="11" t="s">
        <v>367</v>
      </c>
      <c r="B96" s="11" t="s">
        <v>368</v>
      </c>
      <c r="C96" s="11" t="s">
        <v>369</v>
      </c>
      <c r="D96" s="11" t="s">
        <v>306</v>
      </c>
      <c r="E96" s="24" t="n">
        <v>3652.274</v>
      </c>
      <c r="F96" s="11" t="s">
        <v>307</v>
      </c>
      <c r="G96" s="25" t="n">
        <v>1</v>
      </c>
      <c r="H96" s="25" t="n">
        <v>1</v>
      </c>
      <c r="I96" s="11" t="s">
        <v>370</v>
      </c>
      <c r="J96" s="25" t="n">
        <v>110</v>
      </c>
      <c r="K96" s="25" t="n">
        <v>5</v>
      </c>
      <c r="L96" s="11" t="s">
        <v>123</v>
      </c>
      <c r="M96" s="25" t="n">
        <v>103</v>
      </c>
      <c r="N96" s="11" t="s">
        <v>360</v>
      </c>
      <c r="O96" s="11" t="s">
        <v>371</v>
      </c>
      <c r="P96" s="24"/>
    </row>
    <row r="97" customFormat="false" ht="15" hidden="false" customHeight="true" outlineLevel="0" collapsed="false">
      <c r="A97" s="11" t="s">
        <v>372</v>
      </c>
      <c r="B97" s="11" t="s">
        <v>373</v>
      </c>
      <c r="C97" s="11" t="s">
        <v>374</v>
      </c>
      <c r="D97" s="11" t="s">
        <v>375</v>
      </c>
      <c r="E97" s="24" t="n">
        <v>727.985</v>
      </c>
      <c r="F97" s="11" t="s">
        <v>166</v>
      </c>
      <c r="G97" s="25" t="n">
        <v>3</v>
      </c>
      <c r="H97" s="25" t="n">
        <v>6</v>
      </c>
      <c r="I97" s="11" t="s">
        <v>376</v>
      </c>
      <c r="J97" s="25" t="n">
        <v>25</v>
      </c>
      <c r="K97" s="25" t="n">
        <v>20</v>
      </c>
      <c r="L97" s="11" t="s">
        <v>117</v>
      </c>
      <c r="M97" s="25" t="n">
        <v>1000</v>
      </c>
      <c r="N97" s="11" t="s">
        <v>109</v>
      </c>
      <c r="O97" s="11" t="s">
        <v>377</v>
      </c>
      <c r="P97" s="24"/>
    </row>
    <row r="98" customFormat="false" ht="15" hidden="false" customHeight="true" outlineLevel="0" collapsed="false">
      <c r="A98" s="11" t="s">
        <v>378</v>
      </c>
      <c r="B98" s="11" t="s">
        <v>379</v>
      </c>
      <c r="C98" s="11" t="s">
        <v>380</v>
      </c>
      <c r="D98" s="11" t="s">
        <v>358</v>
      </c>
      <c r="E98" s="24" t="n">
        <v>1170.002</v>
      </c>
      <c r="F98" s="11" t="s">
        <v>166</v>
      </c>
      <c r="G98" s="25" t="n">
        <v>3</v>
      </c>
      <c r="H98" s="25" t="n">
        <v>6</v>
      </c>
      <c r="I98" s="11" t="s">
        <v>376</v>
      </c>
      <c r="J98" s="25" t="n">
        <v>25</v>
      </c>
      <c r="K98" s="25" t="n">
        <v>20</v>
      </c>
      <c r="L98" s="11" t="s">
        <v>117</v>
      </c>
      <c r="M98" s="25" t="n">
        <v>1000</v>
      </c>
      <c r="N98" s="11" t="s">
        <v>109</v>
      </c>
      <c r="O98" s="11" t="s">
        <v>381</v>
      </c>
      <c r="P98" s="24"/>
    </row>
    <row r="99" customFormat="false" ht="15" hidden="false" customHeight="true" outlineLevel="0" collapsed="false">
      <c r="A99" s="11" t="s">
        <v>382</v>
      </c>
      <c r="B99" s="11" t="s">
        <v>383</v>
      </c>
      <c r="C99" s="11" t="s">
        <v>384</v>
      </c>
      <c r="D99" s="11" t="s">
        <v>306</v>
      </c>
      <c r="E99" s="24" t="n">
        <v>2465.021</v>
      </c>
      <c r="F99" s="11" t="s">
        <v>166</v>
      </c>
      <c r="G99" s="25" t="n">
        <v>1</v>
      </c>
      <c r="H99" s="25" t="n">
        <v>1</v>
      </c>
      <c r="I99" s="11" t="s">
        <v>385</v>
      </c>
      <c r="J99" s="25" t="n">
        <v>25</v>
      </c>
      <c r="K99" s="25" t="n">
        <v>5</v>
      </c>
      <c r="L99" s="11" t="s">
        <v>123</v>
      </c>
      <c r="M99" s="25" t="n">
        <v>25</v>
      </c>
      <c r="N99" s="11" t="s">
        <v>109</v>
      </c>
      <c r="O99" s="11" t="s">
        <v>386</v>
      </c>
      <c r="P99" s="24"/>
    </row>
    <row r="100" customFormat="false" ht="15" hidden="false" customHeight="true" outlineLevel="0" collapsed="false">
      <c r="A100" s="11" t="s">
        <v>387</v>
      </c>
      <c r="B100" s="11" t="s">
        <v>388</v>
      </c>
      <c r="C100" s="11" t="s">
        <v>389</v>
      </c>
      <c r="D100" s="11" t="s">
        <v>390</v>
      </c>
      <c r="E100" s="24" t="n">
        <v>186.31</v>
      </c>
      <c r="F100" s="11" t="s">
        <v>166</v>
      </c>
      <c r="G100" s="25" t="n">
        <v>3</v>
      </c>
      <c r="H100" s="25" t="n">
        <v>6</v>
      </c>
      <c r="I100" s="11" t="s">
        <v>391</v>
      </c>
      <c r="J100" s="25" t="n">
        <v>50</v>
      </c>
      <c r="K100" s="25" t="n">
        <v>20</v>
      </c>
      <c r="L100" s="11" t="s">
        <v>121</v>
      </c>
      <c r="M100" s="25" t="n">
        <v>50</v>
      </c>
      <c r="N100" s="11" t="s">
        <v>109</v>
      </c>
      <c r="O100" s="11" t="s">
        <v>392</v>
      </c>
      <c r="P100" s="24"/>
    </row>
    <row r="101" customFormat="false" ht="15" hidden="false" customHeight="true" outlineLevel="0" collapsed="false">
      <c r="A101" s="11" t="s">
        <v>393</v>
      </c>
      <c r="B101" s="11" t="s">
        <v>394</v>
      </c>
      <c r="C101" s="11" t="s">
        <v>395</v>
      </c>
      <c r="D101" s="11" t="s">
        <v>375</v>
      </c>
      <c r="E101" s="24" t="n">
        <v>506.638</v>
      </c>
      <c r="F101" s="11" t="s">
        <v>396</v>
      </c>
      <c r="G101" s="25" t="n">
        <v>1</v>
      </c>
      <c r="H101" s="25" t="n">
        <v>1</v>
      </c>
      <c r="I101" s="11" t="s">
        <v>397</v>
      </c>
      <c r="J101" s="25" t="n">
        <v>20</v>
      </c>
      <c r="K101" s="25" t="n">
        <v>20</v>
      </c>
      <c r="L101" s="11" t="s">
        <v>121</v>
      </c>
      <c r="M101" s="25" t="n">
        <v>480</v>
      </c>
      <c r="N101" s="11" t="s">
        <v>109</v>
      </c>
      <c r="O101" s="11" t="s">
        <v>398</v>
      </c>
      <c r="P101" s="24"/>
    </row>
    <row r="102" customFormat="false" ht="15" hidden="false" customHeight="true" outlineLevel="0" collapsed="false">
      <c r="A102" s="11" t="s">
        <v>399</v>
      </c>
      <c r="B102" s="11" t="s">
        <v>400</v>
      </c>
      <c r="C102" s="11" t="s">
        <v>401</v>
      </c>
      <c r="D102" s="11" t="s">
        <v>375</v>
      </c>
      <c r="E102" s="24" t="n">
        <v>7419.099</v>
      </c>
      <c r="F102" s="11" t="s">
        <v>396</v>
      </c>
      <c r="G102" s="25" t="n">
        <v>3</v>
      </c>
      <c r="H102" s="25" t="n">
        <v>6</v>
      </c>
      <c r="I102" s="11" t="s">
        <v>402</v>
      </c>
      <c r="J102" s="25" t="n">
        <v>200</v>
      </c>
      <c r="K102" s="25" t="n">
        <v>20</v>
      </c>
      <c r="L102" s="11" t="s">
        <v>121</v>
      </c>
      <c r="M102" s="25" t="n">
        <v>800</v>
      </c>
      <c r="N102" s="11" t="s">
        <v>109</v>
      </c>
      <c r="O102" s="11" t="s">
        <v>403</v>
      </c>
      <c r="P102" s="24"/>
    </row>
    <row r="103" customFormat="false" ht="15" hidden="false" customHeight="true" outlineLevel="0" collapsed="false">
      <c r="A103" s="11" t="s">
        <v>404</v>
      </c>
      <c r="B103" s="11" t="s">
        <v>405</v>
      </c>
      <c r="C103" s="11" t="s">
        <v>406</v>
      </c>
      <c r="D103" s="11" t="s">
        <v>407</v>
      </c>
      <c r="E103" s="24" t="n">
        <v>32072.639</v>
      </c>
      <c r="F103" s="11" t="s">
        <v>216</v>
      </c>
      <c r="G103" s="25" t="n">
        <v>4</v>
      </c>
      <c r="H103" s="25" t="n">
        <v>7</v>
      </c>
      <c r="I103" s="11" t="s">
        <v>408</v>
      </c>
      <c r="J103" s="25" t="n">
        <v>3000</v>
      </c>
      <c r="K103" s="25" t="n">
        <v>20</v>
      </c>
      <c r="L103" s="11" t="s">
        <v>120</v>
      </c>
      <c r="M103" s="25" t="n">
        <v>3000</v>
      </c>
      <c r="N103" s="11" t="s">
        <v>107</v>
      </c>
      <c r="O103" s="11" t="s">
        <v>409</v>
      </c>
      <c r="P103" s="24"/>
    </row>
    <row r="104" customFormat="false" ht="15" hidden="false" customHeight="true" outlineLevel="0" collapsed="false">
      <c r="A104" s="11" t="s">
        <v>410</v>
      </c>
      <c r="B104" s="11" t="s">
        <v>411</v>
      </c>
      <c r="C104" s="11" t="s">
        <v>412</v>
      </c>
      <c r="D104" s="11" t="s">
        <v>407</v>
      </c>
      <c r="E104" s="24" t="n">
        <v>40096.365</v>
      </c>
      <c r="F104" s="11" t="s">
        <v>216</v>
      </c>
      <c r="G104" s="25" t="n">
        <v>4</v>
      </c>
      <c r="H104" s="25" t="n">
        <v>7</v>
      </c>
      <c r="I104" s="11" t="s">
        <v>413</v>
      </c>
      <c r="J104" s="25" t="n">
        <v>1500</v>
      </c>
      <c r="K104" s="25" t="n">
        <v>20</v>
      </c>
      <c r="L104" s="11" t="s">
        <v>120</v>
      </c>
      <c r="M104" s="25" t="n">
        <v>1500</v>
      </c>
      <c r="N104" s="11" t="s">
        <v>107</v>
      </c>
      <c r="O104" s="11" t="s">
        <v>414</v>
      </c>
      <c r="P104" s="24"/>
    </row>
    <row r="105" customFormat="false" ht="15" hidden="false" customHeight="true" outlineLevel="0" collapsed="false">
      <c r="A105" s="11" t="s">
        <v>415</v>
      </c>
      <c r="B105" s="11" t="s">
        <v>416</v>
      </c>
      <c r="C105" s="11" t="s">
        <v>417</v>
      </c>
      <c r="D105" s="11" t="s">
        <v>407</v>
      </c>
      <c r="E105" s="24" t="n">
        <v>453.671</v>
      </c>
      <c r="F105" s="11" t="s">
        <v>216</v>
      </c>
      <c r="G105" s="25" t="n">
        <v>4</v>
      </c>
      <c r="H105" s="25" t="n">
        <v>7</v>
      </c>
      <c r="I105" s="11" t="s">
        <v>318</v>
      </c>
      <c r="J105" s="25" t="n">
        <v>10</v>
      </c>
      <c r="K105" s="25" t="n">
        <v>20</v>
      </c>
      <c r="L105" s="11" t="s">
        <v>125</v>
      </c>
      <c r="M105" s="25" t="n">
        <v>200</v>
      </c>
      <c r="N105" s="11" t="s">
        <v>108</v>
      </c>
      <c r="O105" s="11" t="s">
        <v>319</v>
      </c>
      <c r="P105" s="24"/>
    </row>
    <row r="106" customFormat="false" ht="15" hidden="false" customHeight="true" outlineLevel="0" collapsed="false">
      <c r="A106" s="11" t="s">
        <v>418</v>
      </c>
      <c r="B106" s="11" t="s">
        <v>419</v>
      </c>
      <c r="C106" s="11" t="s">
        <v>420</v>
      </c>
      <c r="D106" s="11" t="s">
        <v>407</v>
      </c>
      <c r="E106" s="24" t="n">
        <v>1361.012</v>
      </c>
      <c r="F106" s="11" t="s">
        <v>216</v>
      </c>
      <c r="G106" s="25" t="n">
        <v>4</v>
      </c>
      <c r="H106" s="25" t="n">
        <v>7</v>
      </c>
      <c r="I106" s="11" t="s">
        <v>318</v>
      </c>
      <c r="J106" s="25" t="n">
        <v>10</v>
      </c>
      <c r="K106" s="25" t="n">
        <v>20</v>
      </c>
      <c r="L106" s="11" t="s">
        <v>125</v>
      </c>
      <c r="M106" s="25" t="n">
        <v>200</v>
      </c>
      <c r="N106" s="11" t="s">
        <v>108</v>
      </c>
      <c r="O106" s="11" t="s">
        <v>319</v>
      </c>
      <c r="P106" s="24"/>
    </row>
    <row r="107" customFormat="false" ht="15" hidden="false" customHeight="true" outlineLevel="0" collapsed="false">
      <c r="A107" s="11" t="s">
        <v>421</v>
      </c>
      <c r="B107" s="11" t="s">
        <v>422</v>
      </c>
      <c r="C107" s="11" t="s">
        <v>423</v>
      </c>
      <c r="D107" s="11" t="s">
        <v>424</v>
      </c>
      <c r="E107" s="24" t="n">
        <v>73983.687</v>
      </c>
      <c r="F107" s="11" t="s">
        <v>216</v>
      </c>
      <c r="G107" s="25" t="n">
        <v>4</v>
      </c>
      <c r="H107" s="25" t="n">
        <v>7</v>
      </c>
      <c r="I107" s="11" t="s">
        <v>425</v>
      </c>
      <c r="J107" s="25" t="n">
        <v>100</v>
      </c>
      <c r="K107" s="25" t="n">
        <v>20</v>
      </c>
      <c r="L107" s="11" t="s">
        <v>120</v>
      </c>
      <c r="M107" s="25" t="n">
        <v>3000</v>
      </c>
      <c r="N107" s="11" t="s">
        <v>107</v>
      </c>
      <c r="O107" s="11" t="s">
        <v>426</v>
      </c>
      <c r="P107" s="24"/>
    </row>
    <row r="108" customFormat="false" ht="15" hidden="false" customHeight="true" outlineLevel="0" collapsed="false">
      <c r="A108" s="11" t="s">
        <v>427</v>
      </c>
      <c r="B108" s="11" t="s">
        <v>428</v>
      </c>
      <c r="C108" s="11" t="s">
        <v>429</v>
      </c>
      <c r="D108" s="11" t="s">
        <v>430</v>
      </c>
      <c r="E108" s="24" t="n">
        <v>7436.458</v>
      </c>
      <c r="F108" s="11" t="s">
        <v>216</v>
      </c>
      <c r="G108" s="25" t="n">
        <v>4</v>
      </c>
      <c r="H108" s="25" t="n">
        <v>7</v>
      </c>
      <c r="I108" s="11" t="s">
        <v>431</v>
      </c>
      <c r="J108" s="25" t="n">
        <v>200</v>
      </c>
      <c r="K108" s="25" t="n">
        <v>20</v>
      </c>
      <c r="L108" s="11" t="s">
        <v>120</v>
      </c>
      <c r="M108" s="25" t="n">
        <v>6000</v>
      </c>
      <c r="N108" s="11" t="s">
        <v>107</v>
      </c>
      <c r="O108" s="11" t="s">
        <v>319</v>
      </c>
      <c r="P108" s="24"/>
    </row>
    <row r="109" customFormat="false" ht="15" hidden="false" customHeight="true" outlineLevel="0" collapsed="false">
      <c r="A109" s="11" t="s">
        <v>432</v>
      </c>
      <c r="B109" s="11" t="s">
        <v>433</v>
      </c>
      <c r="C109" s="11" t="s">
        <v>434</v>
      </c>
      <c r="D109" s="11" t="s">
        <v>430</v>
      </c>
      <c r="E109" s="24" t="n">
        <v>30814.979</v>
      </c>
      <c r="F109" s="11" t="s">
        <v>216</v>
      </c>
      <c r="G109" s="25" t="n">
        <v>4</v>
      </c>
      <c r="H109" s="25" t="n">
        <v>7</v>
      </c>
      <c r="I109" s="11" t="s">
        <v>431</v>
      </c>
      <c r="J109" s="25" t="n">
        <v>200</v>
      </c>
      <c r="K109" s="25" t="n">
        <v>20</v>
      </c>
      <c r="L109" s="11" t="s">
        <v>120</v>
      </c>
      <c r="M109" s="25" t="n">
        <v>6000</v>
      </c>
      <c r="N109" s="11" t="s">
        <v>107</v>
      </c>
      <c r="O109" s="11" t="s">
        <v>319</v>
      </c>
      <c r="P109" s="24"/>
    </row>
    <row r="110" customFormat="false" ht="15" hidden="false" customHeight="true" outlineLevel="0" collapsed="false">
      <c r="A110" s="11" t="s">
        <v>435</v>
      </c>
      <c r="B110" s="11" t="s">
        <v>436</v>
      </c>
      <c r="C110" s="11" t="s">
        <v>437</v>
      </c>
      <c r="D110" s="11" t="s">
        <v>430</v>
      </c>
      <c r="E110" s="24" t="n">
        <v>1844.928</v>
      </c>
      <c r="F110" s="11" t="s">
        <v>216</v>
      </c>
      <c r="G110" s="25" t="n">
        <v>4</v>
      </c>
      <c r="H110" s="25" t="n">
        <v>7</v>
      </c>
      <c r="I110" s="11" t="s">
        <v>431</v>
      </c>
      <c r="J110" s="25" t="n">
        <v>200</v>
      </c>
      <c r="K110" s="25" t="n">
        <v>20</v>
      </c>
      <c r="L110" s="11" t="s">
        <v>120</v>
      </c>
      <c r="M110" s="25" t="n">
        <v>6000</v>
      </c>
      <c r="N110" s="11" t="s">
        <v>107</v>
      </c>
      <c r="O110" s="11" t="s">
        <v>438</v>
      </c>
      <c r="P110" s="24"/>
    </row>
    <row r="111" customFormat="false" ht="15" hidden="false" customHeight="true" outlineLevel="0" collapsed="false">
      <c r="A111" s="11" t="s">
        <v>439</v>
      </c>
      <c r="B111" s="11" t="s">
        <v>440</v>
      </c>
      <c r="C111" s="11" t="s">
        <v>441</v>
      </c>
      <c r="D111" s="11" t="s">
        <v>442</v>
      </c>
      <c r="E111" s="24" t="n">
        <v>453.671</v>
      </c>
      <c r="F111" s="11" t="s">
        <v>216</v>
      </c>
      <c r="G111" s="25" t="n">
        <v>4</v>
      </c>
      <c r="H111" s="25" t="n">
        <v>7</v>
      </c>
      <c r="I111" s="11" t="s">
        <v>443</v>
      </c>
      <c r="J111" s="25" t="n">
        <v>20</v>
      </c>
      <c r="K111" s="25" t="n">
        <v>20</v>
      </c>
      <c r="L111" s="11" t="s">
        <v>125</v>
      </c>
      <c r="M111" s="25" t="n">
        <v>200</v>
      </c>
      <c r="N111" s="11" t="s">
        <v>108</v>
      </c>
      <c r="O111" s="11" t="s">
        <v>319</v>
      </c>
      <c r="P111" s="24"/>
    </row>
    <row r="112" customFormat="false" ht="15" hidden="false" customHeight="true" outlineLevel="0" collapsed="false">
      <c r="A112" s="11" t="s">
        <v>444</v>
      </c>
      <c r="B112" s="11" t="s">
        <v>445</v>
      </c>
      <c r="C112" s="11" t="s">
        <v>446</v>
      </c>
      <c r="D112" s="11" t="s">
        <v>442</v>
      </c>
      <c r="E112" s="24" t="n">
        <v>997.995</v>
      </c>
      <c r="F112" s="11" t="s">
        <v>216</v>
      </c>
      <c r="G112" s="25" t="n">
        <v>4</v>
      </c>
      <c r="H112" s="25" t="n">
        <v>7</v>
      </c>
      <c r="I112" s="11" t="s">
        <v>443</v>
      </c>
      <c r="J112" s="25" t="n">
        <v>20</v>
      </c>
      <c r="K112" s="25" t="n">
        <v>20</v>
      </c>
      <c r="L112" s="11" t="s">
        <v>125</v>
      </c>
      <c r="M112" s="25" t="n">
        <v>200</v>
      </c>
      <c r="N112" s="11" t="s">
        <v>108</v>
      </c>
      <c r="O112" s="11" t="s">
        <v>319</v>
      </c>
      <c r="P112" s="24"/>
    </row>
    <row r="113" customFormat="false" ht="15" hidden="false" customHeight="true" outlineLevel="0" collapsed="false">
      <c r="A113" s="11" t="s">
        <v>447</v>
      </c>
      <c r="B113" s="11" t="s">
        <v>448</v>
      </c>
      <c r="C113" s="11" t="s">
        <v>449</v>
      </c>
      <c r="D113" s="11" t="s">
        <v>442</v>
      </c>
      <c r="E113" s="24" t="n">
        <v>217.81</v>
      </c>
      <c r="F113" s="11" t="s">
        <v>216</v>
      </c>
      <c r="G113" s="25" t="n">
        <v>4</v>
      </c>
      <c r="H113" s="25" t="n">
        <v>7</v>
      </c>
      <c r="I113" s="11" t="s">
        <v>443</v>
      </c>
      <c r="J113" s="25" t="n">
        <v>20</v>
      </c>
      <c r="K113" s="25" t="n">
        <v>20</v>
      </c>
      <c r="L113" s="11" t="s">
        <v>125</v>
      </c>
      <c r="M113" s="25" t="n">
        <v>200</v>
      </c>
      <c r="N113" s="11" t="s">
        <v>108</v>
      </c>
      <c r="O113" s="11" t="s">
        <v>319</v>
      </c>
      <c r="P113" s="24"/>
    </row>
    <row r="114" customFormat="false" ht="15" hidden="false" customHeight="true" outlineLevel="0" collapsed="false">
      <c r="A114" s="11" t="s">
        <v>450</v>
      </c>
      <c r="B114" s="11" t="s">
        <v>451</v>
      </c>
      <c r="C114" s="11" t="s">
        <v>452</v>
      </c>
      <c r="D114" s="11" t="s">
        <v>442</v>
      </c>
      <c r="E114" s="24" t="n">
        <v>145.207</v>
      </c>
      <c r="F114" s="11" t="s">
        <v>216</v>
      </c>
      <c r="G114" s="25" t="n">
        <v>4</v>
      </c>
      <c r="H114" s="25" t="n">
        <v>7</v>
      </c>
      <c r="I114" s="11" t="s">
        <v>443</v>
      </c>
      <c r="J114" s="25" t="n">
        <v>20</v>
      </c>
      <c r="K114" s="25" t="n">
        <v>20</v>
      </c>
      <c r="L114" s="11" t="s">
        <v>125</v>
      </c>
      <c r="M114" s="25" t="n">
        <v>200</v>
      </c>
      <c r="N114" s="11" t="s">
        <v>108</v>
      </c>
      <c r="O114" s="11" t="s">
        <v>319</v>
      </c>
      <c r="P114" s="24"/>
    </row>
    <row r="115" customFormat="false" ht="15" hidden="false" customHeight="true" outlineLevel="0" collapsed="false">
      <c r="A115" s="11" t="s">
        <v>453</v>
      </c>
      <c r="B115" s="11" t="s">
        <v>454</v>
      </c>
      <c r="C115" s="11" t="s">
        <v>455</v>
      </c>
      <c r="D115" s="11" t="s">
        <v>424</v>
      </c>
      <c r="E115" s="24" t="n">
        <v>32072.639</v>
      </c>
      <c r="F115" s="11" t="s">
        <v>216</v>
      </c>
      <c r="G115" s="25" t="n">
        <v>4</v>
      </c>
      <c r="H115" s="25" t="n">
        <v>7</v>
      </c>
      <c r="I115" s="11" t="s">
        <v>456</v>
      </c>
      <c r="J115" s="25" t="n">
        <v>50</v>
      </c>
      <c r="K115" s="25" t="n">
        <v>20</v>
      </c>
      <c r="L115" s="11" t="s">
        <v>120</v>
      </c>
      <c r="M115" s="25" t="n">
        <v>1500</v>
      </c>
      <c r="N115" s="11" t="s">
        <v>107</v>
      </c>
      <c r="O115" s="11" t="s">
        <v>319</v>
      </c>
      <c r="P115" s="24"/>
    </row>
    <row r="116" customFormat="false" ht="15" hidden="false" customHeight="true" outlineLevel="0" collapsed="false">
      <c r="A116" s="11" t="s">
        <v>457</v>
      </c>
      <c r="B116" s="11" t="s">
        <v>458</v>
      </c>
      <c r="C116" s="11" t="s">
        <v>459</v>
      </c>
      <c r="D116" s="11" t="s">
        <v>424</v>
      </c>
      <c r="E116" s="24" t="n">
        <v>7436.458</v>
      </c>
      <c r="F116" s="11" t="s">
        <v>216</v>
      </c>
      <c r="G116" s="25" t="n">
        <v>4</v>
      </c>
      <c r="H116" s="25" t="n">
        <v>7</v>
      </c>
      <c r="I116" s="11" t="s">
        <v>456</v>
      </c>
      <c r="J116" s="25" t="n">
        <v>50</v>
      </c>
      <c r="K116" s="25" t="n">
        <v>20</v>
      </c>
      <c r="L116" s="11" t="s">
        <v>120</v>
      </c>
      <c r="M116" s="25" t="n">
        <v>1500</v>
      </c>
      <c r="N116" s="11" t="s">
        <v>107</v>
      </c>
      <c r="O116" s="11" t="s">
        <v>319</v>
      </c>
      <c r="P116" s="24"/>
    </row>
    <row r="117" customFormat="false" ht="15" hidden="false" customHeight="true" outlineLevel="0" collapsed="false">
      <c r="A117" s="11" t="s">
        <v>460</v>
      </c>
      <c r="B117" s="11" t="s">
        <v>461</v>
      </c>
      <c r="C117" s="11" t="s">
        <v>462</v>
      </c>
      <c r="D117" s="11" t="s">
        <v>424</v>
      </c>
      <c r="E117" s="24" t="n">
        <v>30814.979</v>
      </c>
      <c r="F117" s="11" t="s">
        <v>216</v>
      </c>
      <c r="G117" s="25" t="n">
        <v>4</v>
      </c>
      <c r="H117" s="25" t="n">
        <v>7</v>
      </c>
      <c r="I117" s="11" t="s">
        <v>456</v>
      </c>
      <c r="J117" s="25" t="n">
        <v>50</v>
      </c>
      <c r="K117" s="25" t="n">
        <v>20</v>
      </c>
      <c r="L117" s="11" t="s">
        <v>120</v>
      </c>
      <c r="M117" s="25" t="n">
        <v>1500</v>
      </c>
      <c r="N117" s="11" t="s">
        <v>107</v>
      </c>
      <c r="O117" s="11" t="s">
        <v>319</v>
      </c>
      <c r="P117" s="24"/>
    </row>
    <row r="118" customFormat="false" ht="15" hidden="false" customHeight="true" outlineLevel="0" collapsed="false">
      <c r="A118" s="11" t="s">
        <v>463</v>
      </c>
      <c r="B118" s="11" t="s">
        <v>464</v>
      </c>
      <c r="C118" s="11" t="s">
        <v>465</v>
      </c>
      <c r="D118" s="11" t="s">
        <v>424</v>
      </c>
      <c r="E118" s="24" t="n">
        <v>1844.928</v>
      </c>
      <c r="F118" s="11" t="s">
        <v>216</v>
      </c>
      <c r="G118" s="25" t="n">
        <v>4</v>
      </c>
      <c r="H118" s="25" t="n">
        <v>7</v>
      </c>
      <c r="I118" s="11" t="s">
        <v>456</v>
      </c>
      <c r="J118" s="25" t="n">
        <v>50</v>
      </c>
      <c r="K118" s="25" t="n">
        <v>20</v>
      </c>
      <c r="L118" s="11" t="s">
        <v>120</v>
      </c>
      <c r="M118" s="25" t="n">
        <v>1500</v>
      </c>
      <c r="N118" s="11" t="s">
        <v>107</v>
      </c>
      <c r="O118" s="11" t="s">
        <v>319</v>
      </c>
      <c r="P118" s="24"/>
    </row>
    <row r="119" customFormat="false" ht="15" hidden="false" customHeight="true" outlineLevel="0" collapsed="false">
      <c r="A119" s="11" t="s">
        <v>466</v>
      </c>
      <c r="B119" s="11" t="s">
        <v>467</v>
      </c>
      <c r="C119" s="11" t="s">
        <v>468</v>
      </c>
      <c r="D119" s="11" t="s">
        <v>424</v>
      </c>
      <c r="E119" s="24" t="n">
        <v>453.671</v>
      </c>
      <c r="F119" s="11" t="s">
        <v>216</v>
      </c>
      <c r="G119" s="25" t="n">
        <v>4</v>
      </c>
      <c r="H119" s="25" t="n">
        <v>7</v>
      </c>
      <c r="I119" s="11" t="s">
        <v>318</v>
      </c>
      <c r="J119" s="25" t="n">
        <v>10</v>
      </c>
      <c r="K119" s="25" t="n">
        <v>20</v>
      </c>
      <c r="L119" s="11" t="s">
        <v>125</v>
      </c>
      <c r="M119" s="25" t="n">
        <v>120</v>
      </c>
      <c r="N119" s="11" t="s">
        <v>108</v>
      </c>
      <c r="O119" s="11" t="s">
        <v>319</v>
      </c>
      <c r="P119" s="24"/>
    </row>
    <row r="120" customFormat="false" ht="15" hidden="false" customHeight="true" outlineLevel="0" collapsed="false">
      <c r="A120" s="11" t="s">
        <v>469</v>
      </c>
      <c r="B120" s="11" t="s">
        <v>470</v>
      </c>
      <c r="C120" s="11" t="s">
        <v>471</v>
      </c>
      <c r="D120" s="11" t="s">
        <v>424</v>
      </c>
      <c r="E120" s="24" t="n">
        <v>997.995</v>
      </c>
      <c r="F120" s="11" t="s">
        <v>216</v>
      </c>
      <c r="G120" s="25" t="n">
        <v>4</v>
      </c>
      <c r="H120" s="25" t="n">
        <v>7</v>
      </c>
      <c r="I120" s="11" t="s">
        <v>318</v>
      </c>
      <c r="J120" s="25" t="n">
        <v>10</v>
      </c>
      <c r="K120" s="25" t="n">
        <v>20</v>
      </c>
      <c r="L120" s="11" t="s">
        <v>125</v>
      </c>
      <c r="M120" s="25" t="n">
        <v>120</v>
      </c>
      <c r="N120" s="11" t="s">
        <v>108</v>
      </c>
      <c r="O120" s="11" t="s">
        <v>319</v>
      </c>
      <c r="P120" s="24"/>
    </row>
    <row r="121" customFormat="false" ht="15" hidden="false" customHeight="true" outlineLevel="0" collapsed="false">
      <c r="A121" s="11" t="s">
        <v>472</v>
      </c>
      <c r="B121" s="11" t="s">
        <v>473</v>
      </c>
      <c r="C121" s="11" t="s">
        <v>474</v>
      </c>
      <c r="D121" s="11" t="s">
        <v>424</v>
      </c>
      <c r="E121" s="24" t="n">
        <v>217.81</v>
      </c>
      <c r="F121" s="11" t="s">
        <v>216</v>
      </c>
      <c r="G121" s="25" t="n">
        <v>4</v>
      </c>
      <c r="H121" s="25" t="n">
        <v>7</v>
      </c>
      <c r="I121" s="11" t="s">
        <v>318</v>
      </c>
      <c r="J121" s="25" t="n">
        <v>10</v>
      </c>
      <c r="K121" s="25" t="n">
        <v>20</v>
      </c>
      <c r="L121" s="11" t="s">
        <v>125</v>
      </c>
      <c r="M121" s="25" t="n">
        <v>120</v>
      </c>
      <c r="N121" s="11" t="s">
        <v>108</v>
      </c>
      <c r="O121" s="11" t="s">
        <v>319</v>
      </c>
      <c r="P121" s="24"/>
    </row>
    <row r="122" customFormat="false" ht="15" hidden="false" customHeight="true" outlineLevel="0" collapsed="false">
      <c r="A122" s="11" t="s">
        <v>475</v>
      </c>
      <c r="B122" s="11" t="s">
        <v>476</v>
      </c>
      <c r="C122" s="11" t="s">
        <v>477</v>
      </c>
      <c r="D122" s="11" t="s">
        <v>424</v>
      </c>
      <c r="E122" s="24" t="n">
        <v>145.207</v>
      </c>
      <c r="F122" s="11" t="s">
        <v>216</v>
      </c>
      <c r="G122" s="25" t="n">
        <v>4</v>
      </c>
      <c r="H122" s="25" t="n">
        <v>7</v>
      </c>
      <c r="I122" s="11" t="s">
        <v>318</v>
      </c>
      <c r="J122" s="25" t="n">
        <v>10</v>
      </c>
      <c r="K122" s="25" t="n">
        <v>20</v>
      </c>
      <c r="L122" s="11" t="s">
        <v>125</v>
      </c>
      <c r="M122" s="25" t="n">
        <v>120</v>
      </c>
      <c r="N122" s="11" t="s">
        <v>108</v>
      </c>
      <c r="O122" s="11" t="s">
        <v>319</v>
      </c>
      <c r="P122" s="24"/>
    </row>
    <row r="123" customFormat="false" ht="15" hidden="false" customHeight="true" outlineLevel="0" collapsed="false">
      <c r="A123" s="11" t="s">
        <v>478</v>
      </c>
      <c r="B123" s="11" t="s">
        <v>479</v>
      </c>
      <c r="C123" s="11" t="s">
        <v>480</v>
      </c>
      <c r="D123" s="11" t="s">
        <v>481</v>
      </c>
      <c r="E123" s="24" t="n">
        <v>32072.639</v>
      </c>
      <c r="F123" s="11" t="s">
        <v>216</v>
      </c>
      <c r="G123" s="25" t="n">
        <v>3</v>
      </c>
      <c r="H123" s="25" t="n">
        <v>5</v>
      </c>
      <c r="I123" s="11" t="s">
        <v>271</v>
      </c>
      <c r="J123" s="25" t="n">
        <v>1000</v>
      </c>
      <c r="K123" s="25" t="n">
        <v>20</v>
      </c>
      <c r="L123" s="11" t="s">
        <v>120</v>
      </c>
      <c r="M123" s="25" t="n">
        <v>20000</v>
      </c>
      <c r="N123" s="11" t="s">
        <v>107</v>
      </c>
      <c r="O123" s="11" t="s">
        <v>319</v>
      </c>
      <c r="P123" s="24"/>
    </row>
    <row r="124" customFormat="false" ht="15" hidden="false" customHeight="true" outlineLevel="0" collapsed="false">
      <c r="A124" s="11" t="s">
        <v>482</v>
      </c>
      <c r="B124" s="11" t="s">
        <v>483</v>
      </c>
      <c r="C124" s="11" t="s">
        <v>484</v>
      </c>
      <c r="D124" s="11" t="s">
        <v>481</v>
      </c>
      <c r="E124" s="24" t="n">
        <v>41548.031</v>
      </c>
      <c r="F124" s="11" t="s">
        <v>216</v>
      </c>
      <c r="G124" s="25" t="n">
        <v>3</v>
      </c>
      <c r="H124" s="25" t="n">
        <v>5</v>
      </c>
      <c r="I124" s="11" t="s">
        <v>271</v>
      </c>
      <c r="J124" s="25" t="n">
        <v>1000</v>
      </c>
      <c r="K124" s="25" t="n">
        <v>20</v>
      </c>
      <c r="L124" s="11" t="s">
        <v>120</v>
      </c>
      <c r="M124" s="25" t="n">
        <v>20000</v>
      </c>
      <c r="N124" s="11" t="s">
        <v>107</v>
      </c>
      <c r="O124" s="11" t="s">
        <v>319</v>
      </c>
      <c r="P124" s="24"/>
    </row>
    <row r="125" customFormat="false" ht="15" hidden="false" customHeight="true" outlineLevel="0" collapsed="false">
      <c r="A125" s="11" t="s">
        <v>485</v>
      </c>
      <c r="B125" s="11" t="s">
        <v>486</v>
      </c>
      <c r="C125" s="11" t="s">
        <v>487</v>
      </c>
      <c r="D125" s="11" t="s">
        <v>481</v>
      </c>
      <c r="E125" s="24" t="n">
        <v>363.016</v>
      </c>
      <c r="F125" s="11" t="s">
        <v>216</v>
      </c>
      <c r="G125" s="25" t="n">
        <v>3</v>
      </c>
      <c r="H125" s="25" t="n">
        <v>5</v>
      </c>
      <c r="I125" s="11" t="s">
        <v>488</v>
      </c>
      <c r="J125" s="25" t="n">
        <v>100</v>
      </c>
      <c r="K125" s="25" t="n">
        <v>60</v>
      </c>
      <c r="L125" s="11" t="s">
        <v>125</v>
      </c>
      <c r="M125" s="25" t="n">
        <v>20000</v>
      </c>
      <c r="N125" s="11" t="s">
        <v>108</v>
      </c>
      <c r="O125" s="11" t="s">
        <v>489</v>
      </c>
      <c r="P125" s="24"/>
    </row>
    <row r="126" customFormat="false" ht="15" hidden="false" customHeight="true" outlineLevel="0" collapsed="false">
      <c r="A126" s="11" t="s">
        <v>490</v>
      </c>
      <c r="B126" s="11" t="s">
        <v>491</v>
      </c>
      <c r="C126" s="11" t="s">
        <v>492</v>
      </c>
      <c r="D126" s="11" t="s">
        <v>270</v>
      </c>
      <c r="E126" s="24" t="n">
        <v>101887.567</v>
      </c>
      <c r="F126" s="11" t="s">
        <v>216</v>
      </c>
      <c r="G126" s="25" t="n">
        <v>3</v>
      </c>
      <c r="H126" s="25" t="n">
        <v>5</v>
      </c>
      <c r="I126" s="11" t="s">
        <v>493</v>
      </c>
      <c r="J126" s="25" t="n">
        <v>1000</v>
      </c>
      <c r="K126" s="25" t="n">
        <v>20</v>
      </c>
      <c r="L126" s="11" t="s">
        <v>121</v>
      </c>
      <c r="M126" s="25" t="n">
        <v>20000</v>
      </c>
      <c r="N126" s="11" t="s">
        <v>109</v>
      </c>
      <c r="O126" s="11" t="s">
        <v>319</v>
      </c>
      <c r="P126" s="24"/>
    </row>
    <row r="127" customFormat="false" ht="15" hidden="false" customHeight="true" outlineLevel="0" collapsed="false">
      <c r="A127" s="11" t="s">
        <v>494</v>
      </c>
      <c r="B127" s="11" t="s">
        <v>495</v>
      </c>
      <c r="C127" s="11" t="s">
        <v>496</v>
      </c>
      <c r="D127" s="11" t="s">
        <v>497</v>
      </c>
      <c r="E127" s="24" t="n">
        <v>7436.458</v>
      </c>
      <c r="F127" s="11" t="s">
        <v>216</v>
      </c>
      <c r="G127" s="25" t="n">
        <v>3</v>
      </c>
      <c r="H127" s="25" t="n">
        <v>7</v>
      </c>
      <c r="I127" s="11" t="s">
        <v>425</v>
      </c>
      <c r="J127" s="25" t="n">
        <v>100</v>
      </c>
      <c r="K127" s="25" t="n">
        <v>20</v>
      </c>
      <c r="L127" s="11" t="s">
        <v>120</v>
      </c>
      <c r="M127" s="25" t="n">
        <v>3000</v>
      </c>
      <c r="N127" s="11" t="s">
        <v>107</v>
      </c>
      <c r="O127" s="11" t="s">
        <v>319</v>
      </c>
      <c r="P127" s="24"/>
    </row>
    <row r="128" customFormat="false" ht="15" hidden="false" customHeight="true" outlineLevel="0" collapsed="false">
      <c r="A128" s="11" t="s">
        <v>498</v>
      </c>
      <c r="B128" s="11" t="s">
        <v>499</v>
      </c>
      <c r="C128" s="11" t="s">
        <v>500</v>
      </c>
      <c r="D128" s="11" t="s">
        <v>497</v>
      </c>
      <c r="E128" s="24" t="n">
        <v>30814.979</v>
      </c>
      <c r="F128" s="11" t="s">
        <v>216</v>
      </c>
      <c r="G128" s="25" t="n">
        <v>3</v>
      </c>
      <c r="H128" s="25" t="n">
        <v>7</v>
      </c>
      <c r="I128" s="11" t="s">
        <v>425</v>
      </c>
      <c r="J128" s="25" t="n">
        <v>100</v>
      </c>
      <c r="K128" s="25" t="n">
        <v>20</v>
      </c>
      <c r="L128" s="11" t="s">
        <v>120</v>
      </c>
      <c r="M128" s="25" t="n">
        <v>3000</v>
      </c>
      <c r="N128" s="11" t="s">
        <v>107</v>
      </c>
      <c r="O128" s="11" t="s">
        <v>319</v>
      </c>
      <c r="P128" s="24"/>
    </row>
    <row r="129" customFormat="false" ht="15" hidden="false" customHeight="true" outlineLevel="0" collapsed="false">
      <c r="A129" s="11" t="s">
        <v>501</v>
      </c>
      <c r="B129" s="11" t="s">
        <v>502</v>
      </c>
      <c r="C129" s="11" t="s">
        <v>503</v>
      </c>
      <c r="D129" s="11" t="s">
        <v>497</v>
      </c>
      <c r="E129" s="24" t="n">
        <v>1844.928</v>
      </c>
      <c r="F129" s="11" t="s">
        <v>216</v>
      </c>
      <c r="G129" s="25" t="n">
        <v>3</v>
      </c>
      <c r="H129" s="25" t="n">
        <v>7</v>
      </c>
      <c r="I129" s="11" t="s">
        <v>425</v>
      </c>
      <c r="J129" s="25" t="n">
        <v>100</v>
      </c>
      <c r="K129" s="25" t="n">
        <v>20</v>
      </c>
      <c r="L129" s="11" t="s">
        <v>120</v>
      </c>
      <c r="M129" s="25" t="n">
        <v>3000</v>
      </c>
      <c r="N129" s="11" t="s">
        <v>107</v>
      </c>
      <c r="O129" s="11" t="s">
        <v>319</v>
      </c>
      <c r="P129" s="24"/>
    </row>
    <row r="130" customFormat="false" ht="15" hidden="false" customHeight="true" outlineLevel="0" collapsed="false">
      <c r="A130" s="11" t="s">
        <v>504</v>
      </c>
      <c r="B130" s="11" t="s">
        <v>505</v>
      </c>
      <c r="C130" s="11" t="s">
        <v>506</v>
      </c>
      <c r="D130" s="11" t="s">
        <v>497</v>
      </c>
      <c r="E130" s="24" t="n">
        <v>32072.639</v>
      </c>
      <c r="F130" s="11" t="s">
        <v>216</v>
      </c>
      <c r="G130" s="25" t="n">
        <v>3</v>
      </c>
      <c r="H130" s="25" t="n">
        <v>7</v>
      </c>
      <c r="I130" s="11" t="s">
        <v>425</v>
      </c>
      <c r="J130" s="25" t="n">
        <v>100</v>
      </c>
      <c r="K130" s="25" t="n">
        <v>20</v>
      </c>
      <c r="L130" s="11" t="s">
        <v>120</v>
      </c>
      <c r="M130" s="25" t="n">
        <v>3000</v>
      </c>
      <c r="N130" s="11" t="s">
        <v>107</v>
      </c>
      <c r="O130" s="11" t="s">
        <v>319</v>
      </c>
      <c r="P130" s="24"/>
    </row>
    <row r="131" customFormat="false" ht="15" hidden="false" customHeight="true" outlineLevel="0" collapsed="false">
      <c r="A131" s="11" t="s">
        <v>507</v>
      </c>
      <c r="B131" s="11" t="s">
        <v>508</v>
      </c>
      <c r="C131" s="11" t="s">
        <v>509</v>
      </c>
      <c r="D131" s="11" t="s">
        <v>270</v>
      </c>
      <c r="E131" s="24" t="n">
        <v>80192.73</v>
      </c>
      <c r="F131" s="11" t="s">
        <v>216</v>
      </c>
      <c r="G131" s="25" t="n">
        <v>3</v>
      </c>
      <c r="H131" s="25" t="n">
        <v>5</v>
      </c>
      <c r="I131" s="11" t="s">
        <v>271</v>
      </c>
      <c r="J131" s="25" t="n">
        <v>1000</v>
      </c>
      <c r="K131" s="25" t="n">
        <v>20</v>
      </c>
      <c r="L131" s="11" t="s">
        <v>120</v>
      </c>
      <c r="M131" s="25" t="n">
        <v>20000</v>
      </c>
      <c r="N131" s="11" t="s">
        <v>107</v>
      </c>
      <c r="O131" s="11" t="s">
        <v>319</v>
      </c>
      <c r="P131" s="24"/>
    </row>
    <row r="132" customFormat="false" ht="15" hidden="false" customHeight="true" outlineLevel="0" collapsed="false">
      <c r="A132" s="11" t="s">
        <v>510</v>
      </c>
      <c r="B132" s="11" t="s">
        <v>511</v>
      </c>
      <c r="C132" s="11" t="s">
        <v>512</v>
      </c>
      <c r="D132" s="11" t="s">
        <v>513</v>
      </c>
      <c r="E132" s="24" t="n">
        <v>3121.786</v>
      </c>
      <c r="F132" s="11" t="s">
        <v>216</v>
      </c>
      <c r="G132" s="25" t="n">
        <v>4</v>
      </c>
      <c r="H132" s="25" t="n">
        <v>7</v>
      </c>
      <c r="I132" s="11" t="s">
        <v>488</v>
      </c>
      <c r="J132" s="25" t="n">
        <v>100</v>
      </c>
      <c r="K132" s="25" t="n">
        <v>20</v>
      </c>
      <c r="L132" s="11" t="s">
        <v>121</v>
      </c>
      <c r="M132" s="25" t="n">
        <v>2000</v>
      </c>
      <c r="N132" s="11" t="s">
        <v>109</v>
      </c>
      <c r="O132" s="11" t="s">
        <v>514</v>
      </c>
      <c r="P132" s="24"/>
    </row>
    <row r="133" customFormat="false" ht="15" hidden="false" customHeight="true" outlineLevel="0" collapsed="false">
      <c r="A133" s="11" t="s">
        <v>515</v>
      </c>
      <c r="B133" s="11" t="s">
        <v>516</v>
      </c>
      <c r="C133" s="11" t="s">
        <v>517</v>
      </c>
      <c r="D133" s="11" t="s">
        <v>518</v>
      </c>
      <c r="E133" s="24" t="n">
        <v>32072.639</v>
      </c>
      <c r="F133" s="11" t="s">
        <v>216</v>
      </c>
      <c r="G133" s="25" t="n">
        <v>3</v>
      </c>
      <c r="H133" s="25" t="n">
        <v>7</v>
      </c>
      <c r="I133" s="11" t="s">
        <v>519</v>
      </c>
      <c r="J133" s="25" t="n">
        <v>1000</v>
      </c>
      <c r="K133" s="25" t="n">
        <v>20</v>
      </c>
      <c r="L133" s="11" t="s">
        <v>119</v>
      </c>
      <c r="M133" s="25" t="n">
        <v>20000</v>
      </c>
      <c r="N133" s="11" t="s">
        <v>107</v>
      </c>
      <c r="O133" s="11" t="s">
        <v>319</v>
      </c>
      <c r="P133" s="24"/>
    </row>
    <row r="134" customFormat="false" ht="15" hidden="false" customHeight="true" outlineLevel="0" collapsed="false">
      <c r="A134" s="11" t="s">
        <v>520</v>
      </c>
      <c r="B134" s="11" t="s">
        <v>521</v>
      </c>
      <c r="C134" s="11" t="s">
        <v>522</v>
      </c>
      <c r="D134" s="11" t="s">
        <v>518</v>
      </c>
      <c r="E134" s="24" t="n">
        <v>7436.458</v>
      </c>
      <c r="F134" s="11" t="s">
        <v>216</v>
      </c>
      <c r="G134" s="25" t="n">
        <v>3</v>
      </c>
      <c r="H134" s="25" t="n">
        <v>7</v>
      </c>
      <c r="I134" s="11" t="s">
        <v>519</v>
      </c>
      <c r="J134" s="25" t="n">
        <v>1000</v>
      </c>
      <c r="K134" s="25" t="n">
        <v>20</v>
      </c>
      <c r="L134" s="11" t="s">
        <v>119</v>
      </c>
      <c r="M134" s="25" t="n">
        <v>20000</v>
      </c>
      <c r="N134" s="11" t="s">
        <v>107</v>
      </c>
      <c r="O134" s="11" t="s">
        <v>319</v>
      </c>
      <c r="P134" s="24"/>
    </row>
    <row r="135" customFormat="false" ht="15" hidden="false" customHeight="true" outlineLevel="0" collapsed="false">
      <c r="A135" s="11" t="s">
        <v>523</v>
      </c>
      <c r="B135" s="11" t="s">
        <v>524</v>
      </c>
      <c r="C135" s="11" t="s">
        <v>525</v>
      </c>
      <c r="D135" s="11" t="s">
        <v>518</v>
      </c>
      <c r="E135" s="24" t="n">
        <v>30814.979</v>
      </c>
      <c r="F135" s="11" t="s">
        <v>216</v>
      </c>
      <c r="G135" s="25" t="n">
        <v>3</v>
      </c>
      <c r="H135" s="25" t="n">
        <v>7</v>
      </c>
      <c r="I135" s="11" t="s">
        <v>519</v>
      </c>
      <c r="J135" s="25" t="n">
        <v>1000</v>
      </c>
      <c r="K135" s="25" t="n">
        <v>20</v>
      </c>
      <c r="L135" s="11" t="s">
        <v>119</v>
      </c>
      <c r="M135" s="25" t="n">
        <v>20000</v>
      </c>
      <c r="N135" s="11" t="s">
        <v>107</v>
      </c>
      <c r="O135" s="11" t="s">
        <v>319</v>
      </c>
      <c r="P135" s="24"/>
    </row>
    <row r="136" customFormat="false" ht="15" hidden="false" customHeight="true" outlineLevel="0" collapsed="false">
      <c r="A136" s="11" t="s">
        <v>526</v>
      </c>
      <c r="B136" s="11" t="s">
        <v>527</v>
      </c>
      <c r="C136" s="11" t="s">
        <v>528</v>
      </c>
      <c r="D136" s="11" t="s">
        <v>529</v>
      </c>
      <c r="E136" s="24" t="n">
        <v>1844.928</v>
      </c>
      <c r="F136" s="11" t="s">
        <v>216</v>
      </c>
      <c r="G136" s="25" t="n">
        <v>1</v>
      </c>
      <c r="H136" s="25" t="n">
        <v>2</v>
      </c>
      <c r="I136" s="11" t="s">
        <v>519</v>
      </c>
      <c r="J136" s="25" t="n">
        <v>1000</v>
      </c>
      <c r="K136" s="25" t="n">
        <v>60</v>
      </c>
      <c r="L136" s="11" t="s">
        <v>119</v>
      </c>
      <c r="M136" s="25" t="n">
        <v>20000</v>
      </c>
      <c r="N136" s="11" t="s">
        <v>107</v>
      </c>
      <c r="O136" s="11" t="s">
        <v>530</v>
      </c>
      <c r="P136" s="24"/>
    </row>
    <row r="137" customFormat="false" ht="15" hidden="false" customHeight="true" outlineLevel="0" collapsed="false">
      <c r="A137" s="11" t="s">
        <v>531</v>
      </c>
      <c r="B137" s="11" t="s">
        <v>532</v>
      </c>
      <c r="C137" s="11" t="s">
        <v>533</v>
      </c>
      <c r="D137" s="11" t="s">
        <v>529</v>
      </c>
      <c r="E137" s="24" t="n">
        <v>453.671</v>
      </c>
      <c r="F137" s="11" t="s">
        <v>216</v>
      </c>
      <c r="G137" s="25" t="n">
        <v>1</v>
      </c>
      <c r="H137" s="25" t="n">
        <v>2</v>
      </c>
      <c r="I137" s="11" t="s">
        <v>534</v>
      </c>
      <c r="J137" s="25" t="n">
        <v>500</v>
      </c>
      <c r="K137" s="25" t="n">
        <v>60</v>
      </c>
      <c r="L137" s="11" t="s">
        <v>119</v>
      </c>
      <c r="M137" s="25" t="n">
        <v>20000</v>
      </c>
      <c r="N137" s="11" t="s">
        <v>108</v>
      </c>
      <c r="O137" s="11" t="s">
        <v>535</v>
      </c>
      <c r="P137" s="24"/>
    </row>
    <row r="138" customFormat="false" ht="15" hidden="false" customHeight="true" outlineLevel="0" collapsed="false">
      <c r="A138" s="11" t="s">
        <v>536</v>
      </c>
      <c r="B138" s="11" t="s">
        <v>537</v>
      </c>
      <c r="C138" s="11" t="s">
        <v>538</v>
      </c>
      <c r="D138" s="11" t="s">
        <v>529</v>
      </c>
      <c r="E138" s="24" t="n">
        <v>997.995</v>
      </c>
      <c r="F138" s="11" t="s">
        <v>216</v>
      </c>
      <c r="G138" s="25" t="n">
        <v>1</v>
      </c>
      <c r="H138" s="25" t="n">
        <v>2</v>
      </c>
      <c r="I138" s="11" t="s">
        <v>519</v>
      </c>
      <c r="J138" s="25" t="n">
        <v>1000</v>
      </c>
      <c r="K138" s="25" t="n">
        <v>60</v>
      </c>
      <c r="L138" s="11" t="s">
        <v>119</v>
      </c>
      <c r="M138" s="25" t="n">
        <v>20000</v>
      </c>
      <c r="N138" s="11" t="s">
        <v>108</v>
      </c>
      <c r="O138" s="11" t="s">
        <v>539</v>
      </c>
      <c r="P138" s="24"/>
    </row>
    <row r="139" customFormat="false" ht="15" hidden="false" customHeight="true" outlineLevel="0" collapsed="false">
      <c r="A139" s="11" t="s">
        <v>540</v>
      </c>
      <c r="B139" s="11" t="s">
        <v>541</v>
      </c>
      <c r="C139" s="11" t="s">
        <v>542</v>
      </c>
      <c r="D139" s="11" t="s">
        <v>529</v>
      </c>
      <c r="E139" s="24" t="n">
        <v>217.81</v>
      </c>
      <c r="F139" s="11" t="s">
        <v>216</v>
      </c>
      <c r="G139" s="25" t="n">
        <v>1</v>
      </c>
      <c r="H139" s="25" t="n">
        <v>2</v>
      </c>
      <c r="I139" s="11" t="s">
        <v>543</v>
      </c>
      <c r="J139" s="25" t="n">
        <v>250</v>
      </c>
      <c r="K139" s="25" t="n">
        <v>60</v>
      </c>
      <c r="L139" s="11" t="s">
        <v>119</v>
      </c>
      <c r="M139" s="25" t="n">
        <v>20000</v>
      </c>
      <c r="N139" s="11" t="s">
        <v>108</v>
      </c>
      <c r="O139" s="11" t="s">
        <v>544</v>
      </c>
      <c r="P139" s="24"/>
    </row>
    <row r="140" customFormat="false" ht="15" hidden="false" customHeight="true" outlineLevel="0" collapsed="false">
      <c r="A140" s="11" t="s">
        <v>545</v>
      </c>
      <c r="B140" s="11" t="s">
        <v>546</v>
      </c>
      <c r="C140" s="11" t="s">
        <v>547</v>
      </c>
      <c r="D140" s="11" t="s">
        <v>529</v>
      </c>
      <c r="E140" s="24" t="n">
        <v>145.207</v>
      </c>
      <c r="F140" s="11" t="s">
        <v>216</v>
      </c>
      <c r="G140" s="25" t="n">
        <v>1</v>
      </c>
      <c r="H140" s="25" t="n">
        <v>2</v>
      </c>
      <c r="I140" s="11" t="s">
        <v>543</v>
      </c>
      <c r="J140" s="25" t="n">
        <v>250</v>
      </c>
      <c r="K140" s="25" t="n">
        <v>60</v>
      </c>
      <c r="L140" s="11" t="s">
        <v>119</v>
      </c>
      <c r="M140" s="25" t="n">
        <v>20000</v>
      </c>
      <c r="N140" s="11" t="s">
        <v>108</v>
      </c>
      <c r="O140" s="11" t="s">
        <v>548</v>
      </c>
      <c r="P140" s="24"/>
    </row>
    <row r="141" customFormat="false" ht="15" hidden="false" customHeight="true" outlineLevel="0" collapsed="false">
      <c r="A141" s="11" t="s">
        <v>549</v>
      </c>
      <c r="B141" s="11" t="s">
        <v>550</v>
      </c>
      <c r="C141" s="11" t="s">
        <v>551</v>
      </c>
      <c r="D141" s="11" t="s">
        <v>552</v>
      </c>
      <c r="E141" s="24" t="n">
        <v>56507.618</v>
      </c>
      <c r="F141" s="11" t="s">
        <v>216</v>
      </c>
      <c r="G141" s="25" t="n">
        <v>1</v>
      </c>
      <c r="H141" s="25" t="n">
        <v>1</v>
      </c>
      <c r="I141" s="11" t="s">
        <v>553</v>
      </c>
      <c r="J141" s="25" t="n">
        <v>500</v>
      </c>
      <c r="K141" s="25" t="n">
        <v>20</v>
      </c>
      <c r="L141" s="11" t="s">
        <v>119</v>
      </c>
      <c r="M141" s="25" t="n">
        <v>10000</v>
      </c>
      <c r="N141" s="11" t="s">
        <v>107</v>
      </c>
      <c r="O141" s="11" t="s">
        <v>554</v>
      </c>
      <c r="P141" s="24"/>
    </row>
    <row r="142" customFormat="false" ht="15" hidden="false" customHeight="true" outlineLevel="0" collapsed="false">
      <c r="A142" s="11" t="s">
        <v>555</v>
      </c>
      <c r="B142" s="11" t="s">
        <v>556</v>
      </c>
      <c r="C142" s="11" t="s">
        <v>557</v>
      </c>
      <c r="D142" s="11" t="s">
        <v>558</v>
      </c>
      <c r="E142" s="24" t="n">
        <v>73983.687</v>
      </c>
      <c r="F142" s="11" t="s">
        <v>216</v>
      </c>
      <c r="G142" s="25" t="n">
        <v>21</v>
      </c>
      <c r="H142" s="25" t="n">
        <v>21</v>
      </c>
      <c r="I142" s="11" t="s">
        <v>553</v>
      </c>
      <c r="J142" s="25" t="n">
        <v>500</v>
      </c>
      <c r="K142" s="25" t="n">
        <v>20</v>
      </c>
      <c r="L142" s="11" t="s">
        <v>119</v>
      </c>
      <c r="M142" s="25" t="n">
        <v>10000</v>
      </c>
      <c r="N142" s="11" t="s">
        <v>107</v>
      </c>
      <c r="O142" s="11" t="s">
        <v>559</v>
      </c>
      <c r="P142" s="24"/>
    </row>
    <row r="143" customFormat="false" ht="15" hidden="false" customHeight="true" outlineLevel="0" collapsed="false">
      <c r="A143" s="11" t="s">
        <v>560</v>
      </c>
      <c r="B143" s="11" t="s">
        <v>561</v>
      </c>
      <c r="C143" s="11" t="s">
        <v>562</v>
      </c>
      <c r="D143" s="11" t="s">
        <v>563</v>
      </c>
      <c r="E143" s="24" t="n">
        <v>36556.377</v>
      </c>
      <c r="F143" s="11" t="s">
        <v>216</v>
      </c>
      <c r="G143" s="25" t="n">
        <v>1</v>
      </c>
      <c r="H143" s="25" t="n">
        <v>1</v>
      </c>
      <c r="I143" s="11" t="s">
        <v>553</v>
      </c>
      <c r="J143" s="25" t="n">
        <v>500</v>
      </c>
      <c r="K143" s="25" t="n">
        <v>20</v>
      </c>
      <c r="L143" s="11" t="s">
        <v>119</v>
      </c>
      <c r="M143" s="25" t="n">
        <v>10000</v>
      </c>
      <c r="N143" s="11" t="s">
        <v>107</v>
      </c>
      <c r="O143" s="11" t="s">
        <v>554</v>
      </c>
      <c r="P143" s="24"/>
    </row>
    <row r="144" customFormat="false" ht="15" hidden="false" customHeight="true" outlineLevel="0" collapsed="false">
      <c r="A144" s="11" t="s">
        <v>564</v>
      </c>
      <c r="B144" s="11" t="s">
        <v>565</v>
      </c>
      <c r="C144" s="11" t="s">
        <v>566</v>
      </c>
      <c r="D144" s="11" t="s">
        <v>518</v>
      </c>
      <c r="E144" s="24" t="n">
        <v>73983.687</v>
      </c>
      <c r="F144" s="11" t="s">
        <v>216</v>
      </c>
      <c r="G144" s="25" t="n">
        <v>3</v>
      </c>
      <c r="H144" s="25" t="n">
        <v>7</v>
      </c>
      <c r="I144" s="11" t="s">
        <v>519</v>
      </c>
      <c r="J144" s="25" t="n">
        <v>1000</v>
      </c>
      <c r="K144" s="25" t="n">
        <v>20</v>
      </c>
      <c r="L144" s="11" t="s">
        <v>119</v>
      </c>
      <c r="M144" s="25" t="n">
        <v>20000</v>
      </c>
      <c r="N144" s="11" t="s">
        <v>107</v>
      </c>
      <c r="O144" s="11" t="s">
        <v>319</v>
      </c>
      <c r="P144" s="24"/>
    </row>
    <row r="145" customFormat="false" ht="15" hidden="false" customHeight="true" outlineLevel="0" collapsed="false">
      <c r="A145" s="11" t="s">
        <v>567</v>
      </c>
      <c r="B145" s="11" t="s">
        <v>568</v>
      </c>
      <c r="C145" s="11" t="s">
        <v>569</v>
      </c>
      <c r="D145" s="11" t="s">
        <v>518</v>
      </c>
      <c r="E145" s="24" t="n">
        <v>73983.687</v>
      </c>
      <c r="F145" s="11" t="s">
        <v>216</v>
      </c>
      <c r="G145" s="25" t="n">
        <v>3</v>
      </c>
      <c r="H145" s="25" t="n">
        <v>7</v>
      </c>
      <c r="I145" s="11" t="s">
        <v>519</v>
      </c>
      <c r="J145" s="25" t="n">
        <v>1000</v>
      </c>
      <c r="K145" s="25" t="n">
        <v>20</v>
      </c>
      <c r="L145" s="11" t="s">
        <v>119</v>
      </c>
      <c r="M145" s="25" t="n">
        <v>20000</v>
      </c>
      <c r="N145" s="11" t="s">
        <v>107</v>
      </c>
      <c r="O145" s="11" t="s">
        <v>319</v>
      </c>
      <c r="P145" s="24"/>
    </row>
    <row r="146" customFormat="false" ht="15" hidden="false" customHeight="true" outlineLevel="0" collapsed="false">
      <c r="A146" s="11" t="s">
        <v>570</v>
      </c>
      <c r="B146" s="11" t="s">
        <v>571</v>
      </c>
      <c r="C146" s="11" t="s">
        <v>572</v>
      </c>
      <c r="D146" s="11" t="s">
        <v>573</v>
      </c>
      <c r="E146" s="24" t="n">
        <v>73983.687</v>
      </c>
      <c r="F146" s="11" t="s">
        <v>216</v>
      </c>
      <c r="G146" s="25" t="n">
        <v>3</v>
      </c>
      <c r="H146" s="25" t="n">
        <v>5</v>
      </c>
      <c r="I146" s="11" t="s">
        <v>271</v>
      </c>
      <c r="J146" s="25" t="n">
        <v>1000</v>
      </c>
      <c r="K146" s="25" t="n">
        <v>20</v>
      </c>
      <c r="L146" s="11" t="s">
        <v>119</v>
      </c>
      <c r="M146" s="25" t="n">
        <v>20000</v>
      </c>
      <c r="N146" s="11" t="s">
        <v>107</v>
      </c>
      <c r="O146" s="11" t="s">
        <v>319</v>
      </c>
      <c r="P146" s="24"/>
    </row>
    <row r="147" customFormat="false" ht="15" hidden="false" customHeight="true" outlineLevel="0" collapsed="false">
      <c r="A147" s="11" t="s">
        <v>574</v>
      </c>
      <c r="B147" s="11" t="s">
        <v>575</v>
      </c>
      <c r="C147" s="11" t="s">
        <v>576</v>
      </c>
      <c r="D147" s="11" t="s">
        <v>518</v>
      </c>
      <c r="E147" s="24" t="n">
        <v>213586.2</v>
      </c>
      <c r="F147" s="11" t="s">
        <v>216</v>
      </c>
      <c r="G147" s="25" t="n">
        <v>3</v>
      </c>
      <c r="H147" s="25" t="n">
        <v>7</v>
      </c>
      <c r="I147" s="11" t="s">
        <v>519</v>
      </c>
      <c r="J147" s="25" t="n">
        <v>1000</v>
      </c>
      <c r="K147" s="25" t="n">
        <v>20</v>
      </c>
      <c r="L147" s="11" t="s">
        <v>119</v>
      </c>
      <c r="M147" s="25" t="n">
        <v>20000</v>
      </c>
      <c r="N147" s="11" t="s">
        <v>107</v>
      </c>
      <c r="O147" s="11" t="s">
        <v>319</v>
      </c>
      <c r="P147" s="24"/>
    </row>
    <row r="148" customFormat="false" ht="15" hidden="false" customHeight="true" outlineLevel="0" collapsed="false">
      <c r="A148" s="11" t="s">
        <v>577</v>
      </c>
      <c r="B148" s="11" t="s">
        <v>578</v>
      </c>
      <c r="C148" s="11" t="s">
        <v>579</v>
      </c>
      <c r="D148" s="11" t="s">
        <v>580</v>
      </c>
      <c r="E148" s="24" t="n">
        <v>170548</v>
      </c>
      <c r="F148" s="11" t="s">
        <v>216</v>
      </c>
      <c r="G148" s="25" t="n">
        <v>3</v>
      </c>
      <c r="H148" s="25" t="n">
        <v>10</v>
      </c>
      <c r="I148" s="11" t="s">
        <v>581</v>
      </c>
      <c r="J148" s="25" t="n">
        <v>5000</v>
      </c>
      <c r="K148" s="25" t="n">
        <v>20</v>
      </c>
      <c r="L148" s="11" t="s">
        <v>118</v>
      </c>
      <c r="M148" s="25" t="n">
        <v>40000</v>
      </c>
      <c r="N148" s="11" t="s">
        <v>107</v>
      </c>
      <c r="O148" s="11" t="s">
        <v>582</v>
      </c>
      <c r="P148" s="24"/>
    </row>
    <row r="149" customFormat="false" ht="15" hidden="false" customHeight="true" outlineLevel="0" collapsed="false">
      <c r="A149" s="11" t="s">
        <v>583</v>
      </c>
      <c r="B149" s="11" t="s">
        <v>584</v>
      </c>
      <c r="C149" s="11" t="s">
        <v>585</v>
      </c>
      <c r="D149" s="11" t="s">
        <v>580</v>
      </c>
      <c r="E149" s="24" t="n">
        <v>42779.64</v>
      </c>
      <c r="F149" s="11" t="s">
        <v>216</v>
      </c>
      <c r="G149" s="25" t="n">
        <v>3</v>
      </c>
      <c r="H149" s="25" t="n">
        <v>10</v>
      </c>
      <c r="I149" s="11" t="s">
        <v>581</v>
      </c>
      <c r="J149" s="25" t="n">
        <v>5000</v>
      </c>
      <c r="K149" s="25" t="n">
        <v>20</v>
      </c>
      <c r="L149" s="11" t="s">
        <v>118</v>
      </c>
      <c r="M149" s="25" t="n">
        <v>40000</v>
      </c>
      <c r="N149" s="11" t="s">
        <v>107</v>
      </c>
      <c r="O149" s="11" t="s">
        <v>586</v>
      </c>
      <c r="P149" s="24"/>
    </row>
    <row r="150" customFormat="false" ht="15" hidden="false" customHeight="true" outlineLevel="0" collapsed="false">
      <c r="A150" s="11" t="s">
        <v>587</v>
      </c>
      <c r="B150" s="11" t="s">
        <v>588</v>
      </c>
      <c r="C150" s="11" t="s">
        <v>589</v>
      </c>
      <c r="D150" s="11" t="s">
        <v>580</v>
      </c>
      <c r="E150" s="24" t="n">
        <v>258.56</v>
      </c>
      <c r="F150" s="11" t="s">
        <v>216</v>
      </c>
      <c r="G150" s="25" t="n">
        <v>3</v>
      </c>
      <c r="H150" s="25" t="n">
        <v>10</v>
      </c>
      <c r="I150" s="11" t="s">
        <v>590</v>
      </c>
      <c r="J150" s="25" t="n">
        <v>250</v>
      </c>
      <c r="K150" s="25" t="n">
        <v>60</v>
      </c>
      <c r="L150" s="11" t="s">
        <v>118</v>
      </c>
      <c r="M150" s="25" t="n">
        <v>40000</v>
      </c>
      <c r="N150" s="11" t="s">
        <v>108</v>
      </c>
      <c r="O150" s="11" t="s">
        <v>591</v>
      </c>
      <c r="P150" s="24"/>
    </row>
    <row r="151" customFormat="false" ht="15" hidden="false" customHeight="true" outlineLevel="0" collapsed="false">
      <c r="A151" s="11" t="s">
        <v>592</v>
      </c>
      <c r="B151" s="11" t="s">
        <v>593</v>
      </c>
      <c r="C151" s="11" t="s">
        <v>594</v>
      </c>
      <c r="D151" s="11" t="s">
        <v>595</v>
      </c>
      <c r="E151" s="24" t="n">
        <v>212433.026</v>
      </c>
      <c r="F151" s="11" t="s">
        <v>216</v>
      </c>
      <c r="G151" s="25" t="n">
        <v>1</v>
      </c>
      <c r="H151" s="25" t="n">
        <v>3</v>
      </c>
      <c r="I151" s="11" t="s">
        <v>553</v>
      </c>
      <c r="J151" s="25" t="n">
        <v>500</v>
      </c>
      <c r="K151" s="25" t="n">
        <v>20</v>
      </c>
      <c r="L151" s="11" t="s">
        <v>119</v>
      </c>
      <c r="M151" s="25" t="n">
        <v>10000</v>
      </c>
      <c r="N151" s="11" t="s">
        <v>360</v>
      </c>
      <c r="O151" s="11" t="s">
        <v>319</v>
      </c>
      <c r="P151" s="24"/>
    </row>
    <row r="152" customFormat="false" ht="15" hidden="false" customHeight="true" outlineLevel="0" collapsed="false">
      <c r="A152" s="11" t="s">
        <v>596</v>
      </c>
      <c r="B152" s="11" t="s">
        <v>597</v>
      </c>
      <c r="C152" s="11" t="s">
        <v>598</v>
      </c>
      <c r="D152" s="11" t="s">
        <v>518</v>
      </c>
      <c r="E152" s="24" t="n">
        <v>107927.373</v>
      </c>
      <c r="F152" s="11" t="s">
        <v>216</v>
      </c>
      <c r="G152" s="25" t="n">
        <v>3</v>
      </c>
      <c r="H152" s="25" t="n">
        <v>7</v>
      </c>
      <c r="I152" s="11" t="s">
        <v>599</v>
      </c>
      <c r="J152" s="25" t="n">
        <v>1000</v>
      </c>
      <c r="K152" s="25" t="n">
        <v>20</v>
      </c>
      <c r="L152" s="11" t="s">
        <v>121</v>
      </c>
      <c r="M152" s="25" t="n">
        <v>20000</v>
      </c>
      <c r="N152" s="11" t="s">
        <v>109</v>
      </c>
      <c r="O152" s="11" t="s">
        <v>600</v>
      </c>
      <c r="P152" s="24"/>
    </row>
    <row r="153" customFormat="false" ht="15" hidden="false" customHeight="true" outlineLevel="0" collapsed="false">
      <c r="A153" s="11" t="s">
        <v>601</v>
      </c>
      <c r="B153" s="11" t="s">
        <v>602</v>
      </c>
      <c r="C153" s="11" t="s">
        <v>603</v>
      </c>
      <c r="D153" s="11" t="s">
        <v>573</v>
      </c>
      <c r="E153" s="24" t="n">
        <v>107927.373</v>
      </c>
      <c r="F153" s="11" t="s">
        <v>216</v>
      </c>
      <c r="G153" s="25" t="n">
        <v>3</v>
      </c>
      <c r="H153" s="25" t="n">
        <v>5</v>
      </c>
      <c r="I153" s="11" t="s">
        <v>271</v>
      </c>
      <c r="J153" s="25" t="n">
        <v>1000</v>
      </c>
      <c r="K153" s="25" t="n">
        <v>20</v>
      </c>
      <c r="L153" s="11" t="s">
        <v>121</v>
      </c>
      <c r="M153" s="25" t="n">
        <v>20000</v>
      </c>
      <c r="N153" s="11" t="s">
        <v>109</v>
      </c>
      <c r="O153" s="11" t="s">
        <v>319</v>
      </c>
      <c r="P153" s="24"/>
    </row>
    <row r="154" customFormat="false" ht="15" hidden="false" customHeight="true" outlineLevel="0" collapsed="false">
      <c r="A154" s="11" t="s">
        <v>604</v>
      </c>
      <c r="B154" s="11" t="s">
        <v>605</v>
      </c>
      <c r="C154" s="11" t="s">
        <v>606</v>
      </c>
      <c r="D154" s="11" t="s">
        <v>518</v>
      </c>
      <c r="E154" s="24" t="n">
        <v>107927.373</v>
      </c>
      <c r="F154" s="11" t="s">
        <v>216</v>
      </c>
      <c r="G154" s="25" t="n">
        <v>3</v>
      </c>
      <c r="H154" s="25" t="n">
        <v>7</v>
      </c>
      <c r="I154" s="11" t="s">
        <v>519</v>
      </c>
      <c r="J154" s="25" t="n">
        <v>1000</v>
      </c>
      <c r="K154" s="25" t="n">
        <v>20</v>
      </c>
      <c r="L154" s="11" t="s">
        <v>121</v>
      </c>
      <c r="M154" s="25" t="n">
        <v>20000</v>
      </c>
      <c r="N154" s="11" t="s">
        <v>109</v>
      </c>
      <c r="O154" s="11" t="s">
        <v>319</v>
      </c>
      <c r="P154" s="24"/>
    </row>
    <row r="155" customFormat="false" ht="15" hidden="false" customHeight="true" outlineLevel="0" collapsed="false">
      <c r="A155" s="11" t="s">
        <v>607</v>
      </c>
      <c r="B155" s="11" t="s">
        <v>608</v>
      </c>
      <c r="C155" s="11" t="s">
        <v>609</v>
      </c>
      <c r="D155" s="11" t="s">
        <v>552</v>
      </c>
      <c r="E155" s="24" t="n">
        <v>85529.368</v>
      </c>
      <c r="F155" s="11" t="s">
        <v>216</v>
      </c>
      <c r="G155" s="25" t="n">
        <v>1</v>
      </c>
      <c r="H155" s="25" t="n">
        <v>1</v>
      </c>
      <c r="I155" s="11" t="s">
        <v>553</v>
      </c>
      <c r="J155" s="25" t="n">
        <v>500</v>
      </c>
      <c r="K155" s="25" t="n">
        <v>20</v>
      </c>
      <c r="L155" s="11" t="s">
        <v>121</v>
      </c>
      <c r="M155" s="25" t="n">
        <v>10000</v>
      </c>
      <c r="N155" s="11" t="s">
        <v>109</v>
      </c>
      <c r="O155" s="11" t="s">
        <v>554</v>
      </c>
      <c r="P155" s="24"/>
    </row>
    <row r="156" customFormat="false" ht="15" hidden="false" customHeight="true" outlineLevel="0" collapsed="false">
      <c r="A156" s="11" t="s">
        <v>610</v>
      </c>
      <c r="B156" s="11" t="s">
        <v>611</v>
      </c>
      <c r="C156" s="11" t="s">
        <v>612</v>
      </c>
      <c r="D156" s="11" t="s">
        <v>552</v>
      </c>
      <c r="E156" s="24" t="n">
        <v>85529.368</v>
      </c>
      <c r="F156" s="11" t="s">
        <v>216</v>
      </c>
      <c r="G156" s="25" t="n">
        <v>1</v>
      </c>
      <c r="H156" s="25" t="n">
        <v>1</v>
      </c>
      <c r="I156" s="11" t="s">
        <v>553</v>
      </c>
      <c r="J156" s="25" t="n">
        <v>500</v>
      </c>
      <c r="K156" s="25" t="n">
        <v>20</v>
      </c>
      <c r="L156" s="11" t="s">
        <v>121</v>
      </c>
      <c r="M156" s="25" t="n">
        <v>10000</v>
      </c>
      <c r="N156" s="11" t="s">
        <v>109</v>
      </c>
      <c r="O156" s="11" t="s">
        <v>554</v>
      </c>
      <c r="P156" s="24"/>
    </row>
    <row r="157" customFormat="false" ht="15" hidden="false" customHeight="true" outlineLevel="0" collapsed="false">
      <c r="A157" s="11" t="s">
        <v>613</v>
      </c>
      <c r="B157" s="11" t="s">
        <v>614</v>
      </c>
      <c r="C157" s="11" t="s">
        <v>615</v>
      </c>
      <c r="D157" s="11" t="s">
        <v>518</v>
      </c>
      <c r="E157" s="24" t="n">
        <v>139.466</v>
      </c>
      <c r="F157" s="11" t="s">
        <v>216</v>
      </c>
      <c r="G157" s="25" t="n">
        <v>3</v>
      </c>
      <c r="H157" s="25" t="n">
        <v>7</v>
      </c>
      <c r="I157" s="11" t="s">
        <v>616</v>
      </c>
      <c r="J157" s="25" t="n">
        <v>100</v>
      </c>
      <c r="K157" s="25" t="n">
        <v>60</v>
      </c>
      <c r="L157" s="11" t="s">
        <v>121</v>
      </c>
      <c r="M157" s="25" t="n">
        <v>20000</v>
      </c>
      <c r="N157" s="11" t="s">
        <v>109</v>
      </c>
      <c r="O157" s="11" t="s">
        <v>617</v>
      </c>
      <c r="P157" s="24"/>
    </row>
    <row r="158" customFormat="false" ht="15" hidden="false" customHeight="true" outlineLevel="0" collapsed="false">
      <c r="A158" s="11" t="s">
        <v>618</v>
      </c>
      <c r="B158" s="11" t="s">
        <v>619</v>
      </c>
      <c r="C158" s="11" t="s">
        <v>620</v>
      </c>
      <c r="D158" s="11" t="s">
        <v>552</v>
      </c>
      <c r="E158" s="24" t="n">
        <v>110.523</v>
      </c>
      <c r="F158" s="11" t="s">
        <v>216</v>
      </c>
      <c r="G158" s="25" t="n">
        <v>1</v>
      </c>
      <c r="H158" s="25" t="n">
        <v>1</v>
      </c>
      <c r="I158" s="11" t="s">
        <v>621</v>
      </c>
      <c r="J158" s="25" t="n">
        <v>100</v>
      </c>
      <c r="K158" s="25" t="n">
        <v>60</v>
      </c>
      <c r="L158" s="11" t="s">
        <v>121</v>
      </c>
      <c r="M158" s="25" t="n">
        <v>10000</v>
      </c>
      <c r="N158" s="11" t="s">
        <v>109</v>
      </c>
      <c r="O158" s="11" t="s">
        <v>622</v>
      </c>
      <c r="P158" s="24"/>
    </row>
    <row r="159" customFormat="false" ht="15" hidden="false" customHeight="true" outlineLevel="0" collapsed="false">
      <c r="A159" s="11" t="s">
        <v>623</v>
      </c>
      <c r="B159" s="11" t="s">
        <v>624</v>
      </c>
      <c r="C159" s="11" t="s">
        <v>625</v>
      </c>
      <c r="D159" s="11" t="s">
        <v>563</v>
      </c>
      <c r="E159" s="24" t="n">
        <v>28.943</v>
      </c>
      <c r="F159" s="11" t="s">
        <v>216</v>
      </c>
      <c r="G159" s="25" t="n">
        <v>1</v>
      </c>
      <c r="H159" s="25" t="n">
        <v>1</v>
      </c>
      <c r="I159" s="11" t="s">
        <v>626</v>
      </c>
      <c r="J159" s="25" t="n">
        <v>50</v>
      </c>
      <c r="K159" s="25" t="n">
        <v>60</v>
      </c>
      <c r="L159" s="11" t="s">
        <v>121</v>
      </c>
      <c r="M159" s="25" t="n">
        <v>10000</v>
      </c>
      <c r="N159" s="11" t="s">
        <v>109</v>
      </c>
      <c r="O159" s="11" t="s">
        <v>627</v>
      </c>
      <c r="P159" s="24"/>
    </row>
    <row r="160" customFormat="false" ht="15" hidden="false" customHeight="true" outlineLevel="0" collapsed="false">
      <c r="A160" s="11" t="s">
        <v>628</v>
      </c>
      <c r="B160" s="11" t="s">
        <v>629</v>
      </c>
      <c r="C160" s="11" t="s">
        <v>630</v>
      </c>
      <c r="D160" s="11" t="s">
        <v>352</v>
      </c>
      <c r="E160" s="24" t="n">
        <v>276.796</v>
      </c>
      <c r="F160" s="11" t="s">
        <v>396</v>
      </c>
      <c r="G160" s="25" t="n">
        <v>2</v>
      </c>
      <c r="H160" s="25" t="n">
        <v>10</v>
      </c>
      <c r="I160" s="11" t="s">
        <v>631</v>
      </c>
      <c r="J160" s="25" t="n">
        <v>4</v>
      </c>
      <c r="K160" s="25" t="n">
        <v>20</v>
      </c>
      <c r="L160" s="11" t="s">
        <v>121</v>
      </c>
      <c r="M160" s="25" t="n">
        <v>200</v>
      </c>
      <c r="N160" s="11" t="s">
        <v>109</v>
      </c>
      <c r="O160" s="11" t="s">
        <v>632</v>
      </c>
      <c r="P160" s="24"/>
    </row>
    <row r="161" customFormat="false" ht="15" hidden="false" customHeight="true" outlineLevel="0" collapsed="false">
      <c r="A161" s="11" t="s">
        <v>633</v>
      </c>
      <c r="B161" s="11" t="s">
        <v>634</v>
      </c>
      <c r="C161" s="11" t="s">
        <v>635</v>
      </c>
      <c r="D161" s="11" t="s">
        <v>636</v>
      </c>
      <c r="E161" s="24" t="n">
        <v>202620.639</v>
      </c>
      <c r="F161" s="11" t="s">
        <v>216</v>
      </c>
      <c r="G161" s="25" t="n">
        <v>10</v>
      </c>
      <c r="H161" s="25" t="n">
        <v>15</v>
      </c>
      <c r="I161" s="11" t="s">
        <v>637</v>
      </c>
      <c r="J161" s="25" t="n">
        <v>600</v>
      </c>
      <c r="K161" s="25" t="n">
        <v>5</v>
      </c>
      <c r="L161" s="11" t="s">
        <v>118</v>
      </c>
      <c r="M161" s="25" t="n">
        <v>600</v>
      </c>
      <c r="N161" s="11" t="s">
        <v>107</v>
      </c>
      <c r="O161" s="11" t="s">
        <v>638</v>
      </c>
      <c r="P161" s="24"/>
    </row>
    <row r="162" customFormat="false" ht="15" hidden="false" customHeight="true" outlineLevel="0" collapsed="false">
      <c r="A162" s="11" t="s">
        <v>639</v>
      </c>
      <c r="B162" s="11" t="s">
        <v>640</v>
      </c>
      <c r="C162" s="11" t="s">
        <v>641</v>
      </c>
      <c r="D162" s="11" t="s">
        <v>636</v>
      </c>
      <c r="E162" s="24" t="n">
        <v>14126.338</v>
      </c>
      <c r="F162" s="11" t="s">
        <v>216</v>
      </c>
      <c r="G162" s="25" t="n">
        <v>10</v>
      </c>
      <c r="H162" s="25" t="n">
        <v>15</v>
      </c>
      <c r="I162" s="11" t="s">
        <v>637</v>
      </c>
      <c r="J162" s="25" t="n">
        <v>600</v>
      </c>
      <c r="K162" s="25" t="n">
        <v>5</v>
      </c>
      <c r="L162" s="11" t="s">
        <v>118</v>
      </c>
      <c r="M162" s="25" t="n">
        <v>600</v>
      </c>
      <c r="N162" s="11" t="s">
        <v>107</v>
      </c>
      <c r="O162" s="11" t="s">
        <v>642</v>
      </c>
      <c r="P162" s="24"/>
    </row>
    <row r="163" customFormat="false" ht="15" hidden="false" customHeight="true" outlineLevel="0" collapsed="false">
      <c r="A163" s="11" t="s">
        <v>643</v>
      </c>
      <c r="B163" s="11" t="s">
        <v>644</v>
      </c>
      <c r="C163" s="11" t="s">
        <v>645</v>
      </c>
      <c r="D163" s="11" t="s">
        <v>636</v>
      </c>
      <c r="E163" s="24" t="n">
        <v>63852.659</v>
      </c>
      <c r="F163" s="11" t="s">
        <v>216</v>
      </c>
      <c r="G163" s="25" t="n">
        <v>10</v>
      </c>
      <c r="H163" s="25" t="n">
        <v>15</v>
      </c>
      <c r="I163" s="11" t="s">
        <v>637</v>
      </c>
      <c r="J163" s="25" t="n">
        <v>600</v>
      </c>
      <c r="K163" s="25" t="n">
        <v>5</v>
      </c>
      <c r="L163" s="11" t="s">
        <v>118</v>
      </c>
      <c r="M163" s="25" t="n">
        <v>600</v>
      </c>
      <c r="N163" s="11" t="s">
        <v>107</v>
      </c>
      <c r="O163" s="11" t="s">
        <v>646</v>
      </c>
      <c r="P163" s="24"/>
    </row>
    <row r="164" customFormat="false" ht="15" hidden="false" customHeight="true" outlineLevel="0" collapsed="false">
      <c r="A164" s="11" t="s">
        <v>647</v>
      </c>
      <c r="B164" s="11" t="s">
        <v>648</v>
      </c>
      <c r="C164" s="11" t="s">
        <v>649</v>
      </c>
      <c r="D164" s="11" t="s">
        <v>636</v>
      </c>
      <c r="E164" s="24" t="n">
        <v>3862.928</v>
      </c>
      <c r="F164" s="11" t="s">
        <v>216</v>
      </c>
      <c r="G164" s="25" t="n">
        <v>10</v>
      </c>
      <c r="H164" s="25" t="n">
        <v>15</v>
      </c>
      <c r="I164" s="11" t="s">
        <v>637</v>
      </c>
      <c r="J164" s="25" t="n">
        <v>600</v>
      </c>
      <c r="K164" s="25" t="n">
        <v>5</v>
      </c>
      <c r="L164" s="11" t="s">
        <v>118</v>
      </c>
      <c r="M164" s="25" t="n">
        <v>600</v>
      </c>
      <c r="N164" s="11" t="s">
        <v>107</v>
      </c>
      <c r="O164" s="11" t="s">
        <v>650</v>
      </c>
      <c r="P164" s="24"/>
    </row>
    <row r="165" customFormat="false" ht="15" hidden="false" customHeight="true" outlineLevel="0" collapsed="false">
      <c r="A165" s="11" t="s">
        <v>651</v>
      </c>
      <c r="B165" s="11" t="s">
        <v>652</v>
      </c>
      <c r="C165" s="11" t="s">
        <v>653</v>
      </c>
      <c r="D165" s="11" t="s">
        <v>518</v>
      </c>
      <c r="E165" s="24" t="n">
        <v>284462.564</v>
      </c>
      <c r="F165" s="11" t="s">
        <v>216</v>
      </c>
      <c r="G165" s="25" t="n">
        <v>3</v>
      </c>
      <c r="H165" s="25" t="n">
        <v>7</v>
      </c>
      <c r="I165" s="11" t="s">
        <v>519</v>
      </c>
      <c r="J165" s="25" t="n">
        <v>1000</v>
      </c>
      <c r="K165" s="25" t="n">
        <v>20</v>
      </c>
      <c r="L165" s="11" t="s">
        <v>118</v>
      </c>
      <c r="M165" s="25" t="n">
        <v>20000</v>
      </c>
      <c r="N165" s="11" t="s">
        <v>107</v>
      </c>
      <c r="O165" s="11" t="s">
        <v>319</v>
      </c>
      <c r="P165" s="24"/>
    </row>
    <row r="166" customFormat="false" ht="15" hidden="false" customHeight="true" outlineLevel="0" collapsed="false">
      <c r="A166" s="11" t="s">
        <v>654</v>
      </c>
      <c r="B166" s="11" t="s">
        <v>655</v>
      </c>
      <c r="C166" s="11" t="s">
        <v>656</v>
      </c>
      <c r="D166" s="11" t="s">
        <v>657</v>
      </c>
      <c r="E166" s="24" t="n">
        <v>1532.704</v>
      </c>
      <c r="F166" s="11" t="s">
        <v>216</v>
      </c>
      <c r="G166" s="25" t="n">
        <v>1</v>
      </c>
      <c r="H166" s="25" t="n">
        <v>3</v>
      </c>
      <c r="I166" s="11" t="s">
        <v>658</v>
      </c>
      <c r="J166" s="25" t="n">
        <v>15</v>
      </c>
      <c r="K166" s="25" t="n">
        <v>5</v>
      </c>
      <c r="L166" s="11" t="s">
        <v>118</v>
      </c>
      <c r="M166" s="25" t="n">
        <v>15</v>
      </c>
      <c r="N166" s="11" t="s">
        <v>107</v>
      </c>
      <c r="O166" s="11" t="s">
        <v>659</v>
      </c>
      <c r="P166" s="24"/>
    </row>
    <row r="167" customFormat="false" ht="15" hidden="false" customHeight="true" outlineLevel="0" collapsed="false">
      <c r="A167" s="11" t="s">
        <v>660</v>
      </c>
      <c r="B167" s="11" t="s">
        <v>661</v>
      </c>
      <c r="C167" s="11" t="s">
        <v>662</v>
      </c>
      <c r="D167" s="11" t="s">
        <v>518</v>
      </c>
      <c r="E167" s="24" t="n">
        <v>1532.704</v>
      </c>
      <c r="F167" s="11" t="s">
        <v>216</v>
      </c>
      <c r="G167" s="25" t="n">
        <v>3</v>
      </c>
      <c r="H167" s="25" t="n">
        <v>7</v>
      </c>
      <c r="I167" s="11" t="s">
        <v>519</v>
      </c>
      <c r="J167" s="25" t="n">
        <v>1000</v>
      </c>
      <c r="K167" s="25" t="n">
        <v>20</v>
      </c>
      <c r="L167" s="11" t="s">
        <v>118</v>
      </c>
      <c r="M167" s="25" t="n">
        <v>20000</v>
      </c>
      <c r="N167" s="11" t="s">
        <v>107</v>
      </c>
      <c r="O167" s="11" t="s">
        <v>319</v>
      </c>
      <c r="P167" s="24"/>
    </row>
    <row r="168" customFormat="false" ht="15" hidden="false" customHeight="true" outlineLevel="0" collapsed="false">
      <c r="A168" s="11" t="s">
        <v>663</v>
      </c>
      <c r="B168" s="11" t="s">
        <v>664</v>
      </c>
      <c r="C168" s="11" t="s">
        <v>665</v>
      </c>
      <c r="D168" s="11" t="s">
        <v>666</v>
      </c>
      <c r="E168" s="24" t="n">
        <v>2908.236</v>
      </c>
      <c r="F168" s="11" t="s">
        <v>216</v>
      </c>
      <c r="G168" s="25" t="n">
        <v>3</v>
      </c>
      <c r="H168" s="25" t="n">
        <v>7</v>
      </c>
      <c r="I168" s="11" t="s">
        <v>667</v>
      </c>
      <c r="J168" s="25" t="n">
        <v>1</v>
      </c>
      <c r="K168" s="25" t="n">
        <v>20</v>
      </c>
      <c r="L168" s="11" t="s">
        <v>668</v>
      </c>
      <c r="M168" s="25" t="n">
        <v>180</v>
      </c>
      <c r="N168" s="11" t="s">
        <v>669</v>
      </c>
      <c r="O168" s="11" t="s">
        <v>670</v>
      </c>
      <c r="P168" s="24" t="n">
        <v>15.995</v>
      </c>
    </row>
    <row r="169" customFormat="false" ht="15" hidden="false" customHeight="true" outlineLevel="0" collapsed="false">
      <c r="A169" s="11" t="s">
        <v>671</v>
      </c>
      <c r="B169" s="11" t="s">
        <v>672</v>
      </c>
      <c r="C169" s="11" t="s">
        <v>673</v>
      </c>
      <c r="D169" s="11" t="s">
        <v>666</v>
      </c>
      <c r="E169" s="24" t="n">
        <v>971.251</v>
      </c>
      <c r="F169" s="11" t="s">
        <v>216</v>
      </c>
      <c r="G169" s="25" t="n">
        <v>3</v>
      </c>
      <c r="H169" s="25" t="n">
        <v>7</v>
      </c>
      <c r="I169" s="11" t="s">
        <v>667</v>
      </c>
      <c r="J169" s="25" t="n">
        <v>1</v>
      </c>
      <c r="K169" s="25" t="n">
        <v>20</v>
      </c>
      <c r="L169" s="11" t="s">
        <v>668</v>
      </c>
      <c r="M169" s="25" t="n">
        <v>180</v>
      </c>
      <c r="N169" s="11" t="s">
        <v>669</v>
      </c>
      <c r="O169" s="11" t="s">
        <v>670</v>
      </c>
      <c r="P169" s="24" t="n">
        <v>5.342</v>
      </c>
    </row>
    <row r="170" customFormat="false" ht="15" hidden="false" customHeight="true" outlineLevel="0" collapsed="false">
      <c r="A170" s="11" t="s">
        <v>674</v>
      </c>
      <c r="B170" s="11" t="s">
        <v>675</v>
      </c>
      <c r="C170" s="11" t="s">
        <v>676</v>
      </c>
      <c r="D170" s="11" t="s">
        <v>666</v>
      </c>
      <c r="E170" s="24" t="n">
        <v>416.16</v>
      </c>
      <c r="F170" s="11" t="s">
        <v>216</v>
      </c>
      <c r="G170" s="25" t="n">
        <v>3</v>
      </c>
      <c r="H170" s="25" t="n">
        <v>7</v>
      </c>
      <c r="I170" s="11" t="s">
        <v>667</v>
      </c>
      <c r="J170" s="25" t="n">
        <v>1</v>
      </c>
      <c r="K170" s="25" t="n">
        <v>20</v>
      </c>
      <c r="L170" s="11" t="s">
        <v>668</v>
      </c>
      <c r="M170" s="25" t="n">
        <v>60</v>
      </c>
      <c r="N170" s="11" t="s">
        <v>669</v>
      </c>
      <c r="O170" s="11" t="s">
        <v>670</v>
      </c>
      <c r="P170" s="24" t="n">
        <v>1.873</v>
      </c>
    </row>
    <row r="171" customFormat="false" ht="15" hidden="false" customHeight="true" outlineLevel="0" collapsed="false">
      <c r="A171" s="11" t="s">
        <v>677</v>
      </c>
      <c r="B171" s="11" t="s">
        <v>678</v>
      </c>
      <c r="C171" s="11" t="s">
        <v>679</v>
      </c>
      <c r="D171" s="11" t="s">
        <v>666</v>
      </c>
      <c r="E171" s="24" t="n">
        <v>277.43</v>
      </c>
      <c r="F171" s="11" t="s">
        <v>216</v>
      </c>
      <c r="G171" s="25" t="n">
        <v>3</v>
      </c>
      <c r="H171" s="25" t="n">
        <v>7</v>
      </c>
      <c r="I171" s="11" t="s">
        <v>667</v>
      </c>
      <c r="J171" s="25" t="n">
        <v>1</v>
      </c>
      <c r="K171" s="25" t="n">
        <v>20</v>
      </c>
      <c r="L171" s="11" t="s">
        <v>668</v>
      </c>
      <c r="M171" s="25" t="n">
        <v>180</v>
      </c>
      <c r="N171" s="11" t="s">
        <v>669</v>
      </c>
      <c r="O171" s="11" t="s">
        <v>670</v>
      </c>
      <c r="P171" s="24" t="n">
        <v>1.526</v>
      </c>
    </row>
    <row r="172" customFormat="false" ht="15" hidden="false" customHeight="true" outlineLevel="0" collapsed="false">
      <c r="A172" s="11" t="s">
        <v>680</v>
      </c>
      <c r="B172" s="11" t="s">
        <v>681</v>
      </c>
      <c r="C172" s="11" t="s">
        <v>682</v>
      </c>
      <c r="D172" s="11" t="s">
        <v>683</v>
      </c>
      <c r="E172" s="24" t="n">
        <v>1650.661</v>
      </c>
      <c r="F172" s="11" t="s">
        <v>216</v>
      </c>
      <c r="G172" s="25" t="n">
        <v>1</v>
      </c>
      <c r="H172" s="25" t="n">
        <v>2</v>
      </c>
      <c r="I172" s="11" t="s">
        <v>667</v>
      </c>
      <c r="J172" s="25" t="n">
        <v>1</v>
      </c>
      <c r="K172" s="25" t="n">
        <v>20</v>
      </c>
      <c r="L172" s="11" t="s">
        <v>668</v>
      </c>
      <c r="M172" s="25" t="n">
        <v>180</v>
      </c>
      <c r="N172" s="11" t="s">
        <v>669</v>
      </c>
      <c r="O172" s="11" t="s">
        <v>670</v>
      </c>
      <c r="P172" s="24" t="n">
        <v>9.079</v>
      </c>
    </row>
    <row r="173" customFormat="false" ht="15" hidden="false" customHeight="true" outlineLevel="0" collapsed="false">
      <c r="A173" s="11" t="s">
        <v>684</v>
      </c>
      <c r="B173" s="11" t="s">
        <v>685</v>
      </c>
      <c r="C173" s="11" t="s">
        <v>686</v>
      </c>
      <c r="D173" s="11" t="s">
        <v>666</v>
      </c>
      <c r="E173" s="24" t="n">
        <v>7005.277</v>
      </c>
      <c r="F173" s="11" t="s">
        <v>216</v>
      </c>
      <c r="G173" s="25" t="n">
        <v>3</v>
      </c>
      <c r="H173" s="25" t="n">
        <v>7</v>
      </c>
      <c r="I173" s="11" t="s">
        <v>667</v>
      </c>
      <c r="J173" s="25" t="n">
        <v>1</v>
      </c>
      <c r="K173" s="25" t="n">
        <v>20</v>
      </c>
      <c r="L173" s="11" t="s">
        <v>668</v>
      </c>
      <c r="M173" s="25" t="n">
        <v>180</v>
      </c>
      <c r="N173" s="11" t="s">
        <v>669</v>
      </c>
      <c r="O173" s="11" t="s">
        <v>670</v>
      </c>
      <c r="P173" s="24" t="n">
        <v>38.529</v>
      </c>
    </row>
    <row r="174" customFormat="false" ht="15" hidden="false" customHeight="true" outlineLevel="0" collapsed="false">
      <c r="A174" s="11" t="s">
        <v>687</v>
      </c>
      <c r="B174" s="11" t="s">
        <v>688</v>
      </c>
      <c r="C174" s="11" t="s">
        <v>689</v>
      </c>
      <c r="D174" s="11" t="s">
        <v>683</v>
      </c>
      <c r="E174" s="24" t="n">
        <v>3776.555</v>
      </c>
      <c r="F174" s="11" t="s">
        <v>216</v>
      </c>
      <c r="G174" s="25" t="n">
        <v>1</v>
      </c>
      <c r="H174" s="25" t="n">
        <v>2</v>
      </c>
      <c r="I174" s="11" t="s">
        <v>667</v>
      </c>
      <c r="J174" s="25" t="n">
        <v>1</v>
      </c>
      <c r="K174" s="25" t="n">
        <v>20</v>
      </c>
      <c r="L174" s="11" t="s">
        <v>668</v>
      </c>
      <c r="M174" s="25" t="n">
        <v>180</v>
      </c>
      <c r="N174" s="11" t="s">
        <v>669</v>
      </c>
      <c r="O174" s="11" t="s">
        <v>670</v>
      </c>
      <c r="P174" s="24" t="n">
        <v>20.771</v>
      </c>
    </row>
    <row r="175" customFormat="false" ht="15" hidden="false" customHeight="true" outlineLevel="0" collapsed="false">
      <c r="A175" s="11" t="s">
        <v>690</v>
      </c>
      <c r="B175" s="11" t="s">
        <v>691</v>
      </c>
      <c r="C175" s="11" t="s">
        <v>692</v>
      </c>
      <c r="D175" s="11" t="s">
        <v>683</v>
      </c>
      <c r="E175" s="24" t="n">
        <v>744.135</v>
      </c>
      <c r="F175" s="11" t="s">
        <v>216</v>
      </c>
      <c r="G175" s="25" t="n">
        <v>1</v>
      </c>
      <c r="H175" s="25" t="n">
        <v>2</v>
      </c>
      <c r="I175" s="11" t="s">
        <v>667</v>
      </c>
      <c r="J175" s="25" t="n">
        <v>1</v>
      </c>
      <c r="K175" s="25" t="n">
        <v>20</v>
      </c>
      <c r="L175" s="11" t="s">
        <v>668</v>
      </c>
      <c r="M175" s="25" t="n">
        <v>180</v>
      </c>
      <c r="N175" s="11" t="s">
        <v>669</v>
      </c>
      <c r="O175" s="11" t="s">
        <v>670</v>
      </c>
      <c r="P175" s="24" t="n">
        <v>4.093</v>
      </c>
    </row>
    <row r="176" customFormat="false" ht="15" hidden="false" customHeight="true" outlineLevel="0" collapsed="false">
      <c r="A176" s="11" t="s">
        <v>693</v>
      </c>
      <c r="B176" s="11" t="s">
        <v>694</v>
      </c>
      <c r="C176" s="11" t="s">
        <v>695</v>
      </c>
      <c r="D176" s="11" t="s">
        <v>696</v>
      </c>
      <c r="E176" s="24" t="n">
        <v>277.704</v>
      </c>
      <c r="F176" s="11" t="s">
        <v>216</v>
      </c>
      <c r="G176" s="25" t="n">
        <v>3</v>
      </c>
      <c r="H176" s="25" t="n">
        <v>7</v>
      </c>
      <c r="I176" s="11" t="s">
        <v>667</v>
      </c>
      <c r="J176" s="25" t="n">
        <v>1</v>
      </c>
      <c r="K176" s="25" t="n">
        <v>20</v>
      </c>
      <c r="L176" s="11" t="s">
        <v>668</v>
      </c>
      <c r="M176" s="25" t="n">
        <v>180</v>
      </c>
      <c r="N176" s="11" t="s">
        <v>669</v>
      </c>
      <c r="O176" s="11" t="s">
        <v>670</v>
      </c>
      <c r="P176" s="24" t="n">
        <v>1.527</v>
      </c>
    </row>
    <row r="179" customFormat="false" ht="15" hidden="false" customHeight="true" outlineLevel="0" collapsed="false">
      <c r="A179" s="5" t="s">
        <v>697</v>
      </c>
      <c r="B179" s="6"/>
      <c r="C179" s="6"/>
      <c r="D179" s="6"/>
      <c r="E179" s="6"/>
      <c r="F179" s="6"/>
      <c r="G179" s="6"/>
      <c r="H179" s="6"/>
    </row>
    <row r="180" customFormat="false" ht="42" hidden="false" customHeight="true" outlineLevel="0" collapsed="false">
      <c r="A180" s="7" t="s">
        <v>698</v>
      </c>
      <c r="B180" s="7" t="s">
        <v>699</v>
      </c>
      <c r="C180" s="7" t="s">
        <v>700</v>
      </c>
      <c r="D180" s="7" t="s">
        <v>701</v>
      </c>
      <c r="E180" s="7" t="s">
        <v>702</v>
      </c>
    </row>
    <row r="181" customFormat="false" ht="15" hidden="false" customHeight="true" outlineLevel="0" collapsed="false">
      <c r="A181" s="11" t="s">
        <v>703</v>
      </c>
      <c r="B181" s="11" t="s">
        <v>704</v>
      </c>
      <c r="C181" s="26" t="n">
        <v>856540</v>
      </c>
      <c r="D181" s="11" t="s">
        <v>705</v>
      </c>
      <c r="E181" s="11" t="s">
        <v>706</v>
      </c>
    </row>
    <row r="182" customFormat="false" ht="15" hidden="false" customHeight="true" outlineLevel="0" collapsed="false">
      <c r="A182" s="11" t="s">
        <v>707</v>
      </c>
      <c r="B182" s="11" t="s">
        <v>708</v>
      </c>
      <c r="C182" s="26" t="n">
        <v>655590</v>
      </c>
      <c r="D182" s="11" t="s">
        <v>705</v>
      </c>
      <c r="E182" s="11" t="s">
        <v>709</v>
      </c>
    </row>
    <row r="183" customFormat="false" ht="15" hidden="false" customHeight="true" outlineLevel="0" collapsed="false">
      <c r="A183" s="11" t="s">
        <v>710</v>
      </c>
      <c r="B183" s="11" t="s">
        <v>711</v>
      </c>
      <c r="C183" s="26" t="n">
        <v>650040</v>
      </c>
      <c r="D183" s="11" t="s">
        <v>705</v>
      </c>
      <c r="E183" s="11" t="s">
        <v>712</v>
      </c>
    </row>
    <row r="184" customFormat="false" ht="15" hidden="false" customHeight="true" outlineLevel="0" collapsed="false">
      <c r="A184" s="11" t="s">
        <v>713</v>
      </c>
      <c r="B184" s="11" t="s">
        <v>714</v>
      </c>
      <c r="C184" s="26" t="n">
        <v>449090</v>
      </c>
      <c r="D184" s="11" t="s">
        <v>705</v>
      </c>
      <c r="E184" s="11" t="s">
        <v>715</v>
      </c>
    </row>
    <row r="185" customFormat="false" ht="15" hidden="false" customHeight="true" outlineLevel="0" collapsed="false">
      <c r="A185" s="11" t="s">
        <v>716</v>
      </c>
      <c r="B185" s="11" t="s">
        <v>717</v>
      </c>
      <c r="C185" s="26" t="n">
        <v>606940</v>
      </c>
      <c r="D185" s="11" t="s">
        <v>705</v>
      </c>
      <c r="E185" s="11" t="s">
        <v>718</v>
      </c>
    </row>
    <row r="186" customFormat="false" ht="15" hidden="false" customHeight="true" outlineLevel="0" collapsed="false">
      <c r="A186" s="11" t="s">
        <v>719</v>
      </c>
      <c r="B186" s="11" t="s">
        <v>720</v>
      </c>
      <c r="C186" s="26" t="n">
        <v>405990</v>
      </c>
      <c r="D186" s="11" t="s">
        <v>705</v>
      </c>
      <c r="E186" s="11" t="s">
        <v>721</v>
      </c>
    </row>
    <row r="187" customFormat="false" ht="15" hidden="false" customHeight="true" outlineLevel="0" collapsed="false">
      <c r="A187" s="11" t="s">
        <v>722</v>
      </c>
      <c r="B187" s="11" t="s">
        <v>723</v>
      </c>
      <c r="C187" s="26" t="n">
        <v>683968</v>
      </c>
      <c r="D187" s="11" t="s">
        <v>724</v>
      </c>
      <c r="E187" s="11" t="s">
        <v>725</v>
      </c>
    </row>
    <row r="188" customFormat="false" ht="15" hidden="false" customHeight="true" outlineLevel="0" collapsed="false">
      <c r="A188" s="11" t="s">
        <v>726</v>
      </c>
      <c r="B188" s="11" t="s">
        <v>727</v>
      </c>
      <c r="C188" s="26" t="n">
        <v>495713</v>
      </c>
      <c r="D188" s="11" t="s">
        <v>728</v>
      </c>
      <c r="E188" s="11" t="s">
        <v>729</v>
      </c>
    </row>
    <row r="189" customFormat="false" ht="15" hidden="false" customHeight="true" outlineLevel="0" collapsed="false">
      <c r="A189" s="11" t="s">
        <v>730</v>
      </c>
      <c r="B189" s="11" t="s">
        <v>731</v>
      </c>
      <c r="C189" s="26" t="n">
        <v>54250</v>
      </c>
      <c r="D189" s="11" t="s">
        <v>732</v>
      </c>
      <c r="E189" s="11" t="s">
        <v>733</v>
      </c>
    </row>
    <row r="190" customFormat="false" ht="15" hidden="false" customHeight="true" outlineLevel="0" collapsed="false">
      <c r="A190" s="11" t="s">
        <v>734</v>
      </c>
      <c r="B190" s="11" t="s">
        <v>735</v>
      </c>
      <c r="C190" s="26" t="n">
        <v>4882500</v>
      </c>
      <c r="D190" s="11" t="s">
        <v>732</v>
      </c>
      <c r="E190" s="11" t="s">
        <v>736</v>
      </c>
    </row>
    <row r="191" customFormat="false" ht="15" hidden="false" customHeight="true" outlineLevel="0" collapsed="false">
      <c r="A191" s="11" t="s">
        <v>737</v>
      </c>
      <c r="B191" s="11" t="s">
        <v>738</v>
      </c>
      <c r="C191" s="26" t="n">
        <v>98649</v>
      </c>
      <c r="D191" s="11" t="s">
        <v>739</v>
      </c>
      <c r="E191" s="11" t="s">
        <v>740</v>
      </c>
    </row>
    <row r="192" customFormat="false" ht="15" hidden="false" customHeight="true" outlineLevel="0" collapsed="false">
      <c r="A192" s="11" t="s">
        <v>741</v>
      </c>
      <c r="B192" s="11" t="s">
        <v>742</v>
      </c>
      <c r="C192" s="26" t="n">
        <v>384169</v>
      </c>
      <c r="D192" s="11" t="s">
        <v>743</v>
      </c>
      <c r="E192" s="11" t="s">
        <v>744</v>
      </c>
    </row>
    <row r="193" customFormat="false" ht="15" hidden="false" customHeight="true" outlineLevel="0" collapsed="false">
      <c r="A193" s="11" t="s">
        <v>745</v>
      </c>
      <c r="B193" s="11" t="s">
        <v>746</v>
      </c>
      <c r="C193" s="26" t="n">
        <v>117999</v>
      </c>
      <c r="D193" s="11" t="s">
        <v>747</v>
      </c>
      <c r="E193" s="11" t="s">
        <v>748</v>
      </c>
    </row>
    <row r="194" customFormat="false" ht="15" hidden="false" customHeight="true" outlineLevel="0" collapsed="false">
      <c r="A194" s="11" t="s">
        <v>749</v>
      </c>
      <c r="B194" s="11" t="s">
        <v>750</v>
      </c>
      <c r="C194" s="26" t="n">
        <v>13384</v>
      </c>
      <c r="D194" s="11" t="s">
        <v>739</v>
      </c>
      <c r="E194" s="11" t="s">
        <v>751</v>
      </c>
    </row>
    <row r="195" customFormat="false" ht="15" hidden="false" customHeight="true" outlineLevel="0" collapsed="false">
      <c r="A195" s="11" t="s">
        <v>752</v>
      </c>
      <c r="B195" s="11" t="s">
        <v>753</v>
      </c>
      <c r="C195" s="26" t="n">
        <v>95900</v>
      </c>
      <c r="D195" s="11" t="s">
        <v>754</v>
      </c>
      <c r="E195" s="11" t="s">
        <v>755</v>
      </c>
    </row>
    <row r="196" customFormat="false" ht="15" hidden="false" customHeight="true" outlineLevel="0" collapsed="false">
      <c r="A196" s="11" t="s">
        <v>756</v>
      </c>
      <c r="B196" s="11" t="s">
        <v>757</v>
      </c>
      <c r="C196" s="26"/>
      <c r="D196" s="11" t="s">
        <v>758</v>
      </c>
      <c r="E196" s="11" t="s">
        <v>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70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760</v>
      </c>
    </row>
    <row r="2" customFormat="false" ht="15" hidden="false" customHeight="true" outlineLevel="0" collapsed="false">
      <c r="A2" s="3" t="s">
        <v>761</v>
      </c>
    </row>
    <row r="3" customFormat="false" ht="15" hidden="false" customHeight="true" outlineLevel="0" collapsed="false">
      <c r="A3" s="4" t="s">
        <v>762</v>
      </c>
    </row>
    <row r="5" customFormat="false" ht="15" hidden="false" customHeight="true" outlineLevel="0" collapsed="false">
      <c r="A5" s="5" t="s">
        <v>763</v>
      </c>
      <c r="B5" s="6"/>
      <c r="C5" s="6"/>
      <c r="D5" s="6"/>
      <c r="E5" s="6"/>
    </row>
    <row r="6" customFormat="false" ht="42" hidden="false" customHeight="true" outlineLevel="0" collapsed="false">
      <c r="A6" s="7" t="s">
        <v>764</v>
      </c>
      <c r="B6" s="7" t="s">
        <v>36</v>
      </c>
      <c r="C6" s="7" t="s">
        <v>667</v>
      </c>
      <c r="D6" s="7" t="s">
        <v>765</v>
      </c>
      <c r="E6" s="7" t="s">
        <v>766</v>
      </c>
    </row>
    <row r="7" customFormat="false" ht="15" hidden="false" customHeight="true" outlineLevel="0" collapsed="false">
      <c r="A7" s="8" t="s">
        <v>767</v>
      </c>
      <c r="B7" s="21" t="n">
        <v>240</v>
      </c>
      <c r="C7" s="8" t="s">
        <v>768</v>
      </c>
      <c r="D7" s="27" t="s">
        <v>769</v>
      </c>
      <c r="E7" s="28" t="s">
        <v>770</v>
      </c>
    </row>
    <row r="8" customFormat="false" ht="15" hidden="false" customHeight="true" outlineLevel="0" collapsed="false">
      <c r="A8" s="8" t="s">
        <v>771</v>
      </c>
      <c r="B8" s="16" t="n">
        <f aca="false">MAX(Datos!B29:M29)/AVERAGE(Datos!B29:M29)</f>
        <v>1.08</v>
      </c>
      <c r="C8" s="8" t="s">
        <v>772</v>
      </c>
      <c r="D8" s="27" t="s">
        <v>773</v>
      </c>
      <c r="E8" s="28" t="s">
        <v>774</v>
      </c>
    </row>
    <row r="9" customFormat="false" ht="15" hidden="false" customHeight="true" outlineLevel="0" collapsed="false">
      <c r="A9" s="8" t="s">
        <v>775</v>
      </c>
      <c r="B9" s="16" t="n">
        <f aca="false">MAX(Datos!B30:M30)/AVERAGE(Datos!B30:M30)</f>
        <v>1.07999999999305</v>
      </c>
      <c r="C9" s="8" t="s">
        <v>772</v>
      </c>
      <c r="D9" s="27" t="s">
        <v>776</v>
      </c>
      <c r="E9" s="28" t="s">
        <v>777</v>
      </c>
    </row>
    <row r="10" customFormat="false" ht="15" hidden="false" customHeight="true" outlineLevel="0" collapsed="false">
      <c r="A10" s="8" t="s">
        <v>778</v>
      </c>
      <c r="B10" s="16" t="n">
        <f aca="false">MAX(Datos!B31:M31)/AVERAGE(Datos!B31:M31)</f>
        <v>1.22102953541148</v>
      </c>
      <c r="C10" s="8" t="s">
        <v>772</v>
      </c>
      <c r="D10" s="27" t="s">
        <v>779</v>
      </c>
      <c r="E10" s="28" t="s">
        <v>780</v>
      </c>
    </row>
    <row r="12" customFormat="false" ht="15" hidden="false" customHeight="true" outlineLevel="0" collapsed="false">
      <c r="A12" s="5" t="s">
        <v>781</v>
      </c>
      <c r="B12" s="6"/>
      <c r="C12" s="6"/>
      <c r="D12" s="6"/>
      <c r="E12" s="6"/>
    </row>
    <row r="13" customFormat="false" ht="42" hidden="false" customHeight="true" outlineLevel="0" collapsed="false">
      <c r="A13" s="7" t="s">
        <v>764</v>
      </c>
      <c r="B13" s="7" t="s">
        <v>36</v>
      </c>
      <c r="C13" s="7" t="s">
        <v>667</v>
      </c>
      <c r="D13" s="7" t="s">
        <v>765</v>
      </c>
      <c r="E13" s="7" t="s">
        <v>766</v>
      </c>
    </row>
    <row r="14" customFormat="false" ht="21.75" hidden="false" customHeight="true" outlineLevel="0" collapsed="false">
      <c r="A14" s="8" t="s">
        <v>782</v>
      </c>
      <c r="B14" s="29" t="n">
        <v>3000</v>
      </c>
      <c r="C14" s="8" t="s">
        <v>783</v>
      </c>
      <c r="D14" s="27" t="s">
        <v>784</v>
      </c>
      <c r="E14" s="28" t="s">
        <v>785</v>
      </c>
    </row>
    <row r="15" customFormat="false" ht="15" hidden="false" customHeight="true" outlineLevel="0" collapsed="false">
      <c r="A15" s="8" t="s">
        <v>786</v>
      </c>
      <c r="B15" s="21" t="n">
        <v>5000</v>
      </c>
      <c r="C15" s="8" t="s">
        <v>166</v>
      </c>
      <c r="D15" s="27" t="s">
        <v>787</v>
      </c>
      <c r="E15" s="28" t="s">
        <v>788</v>
      </c>
    </row>
    <row r="16" customFormat="false" ht="15" hidden="false" customHeight="true" outlineLevel="0" collapsed="false">
      <c r="A16" s="8" t="s">
        <v>789</v>
      </c>
      <c r="B16" s="21" t="n">
        <v>600</v>
      </c>
      <c r="C16" s="8" t="s">
        <v>783</v>
      </c>
      <c r="D16" s="27" t="s">
        <v>790</v>
      </c>
      <c r="E16" s="28" t="s">
        <v>791</v>
      </c>
    </row>
    <row r="17" customFormat="false" ht="15" hidden="false" customHeight="true" outlineLevel="0" collapsed="false">
      <c r="A17" s="8" t="s">
        <v>792</v>
      </c>
      <c r="B17" s="21" t="n">
        <v>3000</v>
      </c>
      <c r="C17" s="8" t="s">
        <v>166</v>
      </c>
      <c r="D17" s="27" t="s">
        <v>793</v>
      </c>
      <c r="E17" s="28" t="s">
        <v>794</v>
      </c>
    </row>
    <row r="18" customFormat="false" ht="21.75" hidden="false" customHeight="true" outlineLevel="0" collapsed="false">
      <c r="A18" s="8" t="s">
        <v>795</v>
      </c>
      <c r="B18" s="29" t="n">
        <v>5</v>
      </c>
      <c r="C18" s="8" t="s">
        <v>796</v>
      </c>
      <c r="D18" s="27" t="s">
        <v>797</v>
      </c>
      <c r="E18" s="28" t="s">
        <v>798</v>
      </c>
    </row>
    <row r="19" customFormat="false" ht="15" hidden="false" customHeight="true" outlineLevel="0" collapsed="false">
      <c r="A19" s="8" t="s">
        <v>799</v>
      </c>
      <c r="B19" s="29" t="n">
        <v>3</v>
      </c>
      <c r="C19" s="8" t="s">
        <v>772</v>
      </c>
      <c r="D19" s="27" t="s">
        <v>800</v>
      </c>
      <c r="E19" s="28" t="s">
        <v>801</v>
      </c>
    </row>
    <row r="21" customFormat="false" ht="15" hidden="false" customHeight="true" outlineLevel="0" collapsed="false">
      <c r="A21" s="5" t="s">
        <v>802</v>
      </c>
      <c r="B21" s="6"/>
      <c r="C21" s="6"/>
      <c r="D21" s="6"/>
      <c r="E21" s="6"/>
    </row>
    <row r="22" customFormat="false" ht="42" hidden="false" customHeight="true" outlineLevel="0" collapsed="false">
      <c r="A22" s="7" t="s">
        <v>764</v>
      </c>
      <c r="B22" s="7" t="s">
        <v>36</v>
      </c>
      <c r="C22" s="7" t="s">
        <v>667</v>
      </c>
      <c r="D22" s="7" t="s">
        <v>765</v>
      </c>
      <c r="E22" s="7" t="s">
        <v>766</v>
      </c>
    </row>
    <row r="23" customFormat="false" ht="15" hidden="false" customHeight="true" outlineLevel="0" collapsed="false">
      <c r="A23" s="8" t="s">
        <v>803</v>
      </c>
      <c r="B23" s="21" t="n">
        <v>7.85</v>
      </c>
      <c r="C23" s="8" t="s">
        <v>804</v>
      </c>
      <c r="D23" s="27" t="s">
        <v>805</v>
      </c>
      <c r="E23" s="28" t="s">
        <v>806</v>
      </c>
    </row>
    <row r="24" customFormat="false" ht="15" hidden="false" customHeight="true" outlineLevel="0" collapsed="false">
      <c r="A24" s="8" t="s">
        <v>807</v>
      </c>
      <c r="B24" s="29" t="n">
        <v>100</v>
      </c>
      <c r="C24" s="8" t="s">
        <v>783</v>
      </c>
      <c r="D24" s="27" t="s">
        <v>808</v>
      </c>
      <c r="E24" s="28" t="s">
        <v>809</v>
      </c>
    </row>
    <row r="25" customFormat="false" ht="15" hidden="false" customHeight="true" outlineLevel="0" collapsed="false">
      <c r="A25" s="8" t="s">
        <v>810</v>
      </c>
      <c r="B25" s="29" t="n">
        <v>3</v>
      </c>
      <c r="C25" s="8" t="s">
        <v>216</v>
      </c>
      <c r="D25" s="27" t="s">
        <v>811</v>
      </c>
      <c r="E25" s="28" t="s">
        <v>812</v>
      </c>
    </row>
    <row r="26" customFormat="false" ht="15" hidden="false" customHeight="true" outlineLevel="0" collapsed="false">
      <c r="A26" s="8" t="s">
        <v>813</v>
      </c>
      <c r="B26" s="29" t="n">
        <v>100</v>
      </c>
      <c r="C26" s="8" t="s">
        <v>783</v>
      </c>
      <c r="D26" s="27" t="s">
        <v>814</v>
      </c>
      <c r="E26" s="28" t="s">
        <v>815</v>
      </c>
    </row>
    <row r="27" customFormat="false" ht="15" hidden="false" customHeight="true" outlineLevel="0" collapsed="false">
      <c r="A27" s="8" t="s">
        <v>816</v>
      </c>
      <c r="B27" s="29" t="n">
        <v>2</v>
      </c>
      <c r="C27" s="8" t="s">
        <v>817</v>
      </c>
      <c r="D27" s="27" t="s">
        <v>818</v>
      </c>
      <c r="E27" s="28" t="s">
        <v>819</v>
      </c>
    </row>
    <row r="28" customFormat="false" ht="15" hidden="false" customHeight="true" outlineLevel="0" collapsed="false">
      <c r="A28" s="8" t="s">
        <v>820</v>
      </c>
      <c r="B28" s="29" t="n">
        <v>0.5</v>
      </c>
      <c r="C28" s="8" t="s">
        <v>821</v>
      </c>
      <c r="D28" s="27" t="s">
        <v>822</v>
      </c>
      <c r="E28" s="28" t="s">
        <v>823</v>
      </c>
    </row>
    <row r="29" customFormat="false" ht="15" hidden="false" customHeight="true" outlineLevel="0" collapsed="false">
      <c r="A29" s="8" t="s">
        <v>824</v>
      </c>
      <c r="B29" s="29" t="n">
        <v>5</v>
      </c>
      <c r="C29" s="8" t="s">
        <v>821</v>
      </c>
      <c r="D29" s="27" t="s">
        <v>825</v>
      </c>
      <c r="E29" s="28" t="s">
        <v>826</v>
      </c>
    </row>
    <row r="31" customFormat="false" ht="15" hidden="false" customHeight="true" outlineLevel="0" collapsed="false">
      <c r="A31" s="5" t="s">
        <v>827</v>
      </c>
      <c r="B31" s="6"/>
      <c r="C31" s="6"/>
      <c r="D31" s="6"/>
      <c r="E31" s="6"/>
    </row>
    <row r="32" customFormat="false" ht="42" hidden="false" customHeight="true" outlineLevel="0" collapsed="false">
      <c r="A32" s="7" t="s">
        <v>764</v>
      </c>
      <c r="B32" s="7" t="s">
        <v>36</v>
      </c>
      <c r="C32" s="7" t="s">
        <v>667</v>
      </c>
      <c r="D32" s="7" t="s">
        <v>765</v>
      </c>
      <c r="E32" s="7" t="s">
        <v>766</v>
      </c>
    </row>
    <row r="33" customFormat="false" ht="15" hidden="false" customHeight="true" outlineLevel="0" collapsed="false">
      <c r="A33" s="8" t="s">
        <v>828</v>
      </c>
      <c r="B33" s="21" t="n">
        <v>508</v>
      </c>
      <c r="C33" s="8" t="s">
        <v>783</v>
      </c>
      <c r="D33" s="27" t="s">
        <v>829</v>
      </c>
      <c r="E33" s="28" t="s">
        <v>830</v>
      </c>
    </row>
    <row r="34" customFormat="false" ht="15" hidden="false" customHeight="true" outlineLevel="0" collapsed="false">
      <c r="A34" s="8" t="s">
        <v>831</v>
      </c>
      <c r="B34" s="29" t="n">
        <v>1350</v>
      </c>
      <c r="C34" s="8" t="s">
        <v>166</v>
      </c>
      <c r="D34" s="27" t="s">
        <v>832</v>
      </c>
      <c r="E34" s="28" t="s">
        <v>833</v>
      </c>
    </row>
    <row r="35" customFormat="false" ht="15" hidden="false" customHeight="true" outlineLevel="0" collapsed="false">
      <c r="A35" s="8" t="s">
        <v>834</v>
      </c>
      <c r="B35" s="29" t="n">
        <v>1000</v>
      </c>
      <c r="C35" s="8" t="s">
        <v>166</v>
      </c>
      <c r="D35" s="27" t="s">
        <v>835</v>
      </c>
      <c r="E35" s="28" t="s">
        <v>836</v>
      </c>
    </row>
    <row r="36" customFormat="false" ht="15" hidden="false" customHeight="true" outlineLevel="0" collapsed="false">
      <c r="A36" s="8" t="s">
        <v>837</v>
      </c>
      <c r="B36" s="29" t="n">
        <v>700</v>
      </c>
      <c r="C36" s="8" t="s">
        <v>783</v>
      </c>
      <c r="D36" s="27" t="s">
        <v>838</v>
      </c>
      <c r="E36" s="28" t="s">
        <v>839</v>
      </c>
    </row>
    <row r="37" customFormat="false" ht="21.75" hidden="false" customHeight="true" outlineLevel="0" collapsed="false">
      <c r="A37" s="8" t="s">
        <v>840</v>
      </c>
      <c r="B37" s="29" t="n">
        <v>4</v>
      </c>
      <c r="C37" s="8" t="s">
        <v>216</v>
      </c>
      <c r="D37" s="27" t="s">
        <v>841</v>
      </c>
      <c r="E37" s="28" t="s">
        <v>842</v>
      </c>
    </row>
    <row r="38" customFormat="false" ht="21.75" hidden="false" customHeight="true" outlineLevel="0" collapsed="false">
      <c r="A38" s="8" t="s">
        <v>843</v>
      </c>
      <c r="B38" s="29" t="n">
        <v>25</v>
      </c>
      <c r="C38" s="8" t="s">
        <v>783</v>
      </c>
      <c r="D38" s="27" t="s">
        <v>844</v>
      </c>
      <c r="E38" s="28" t="s">
        <v>845</v>
      </c>
    </row>
    <row r="39" customFormat="false" ht="15" hidden="false" customHeight="true" outlineLevel="0" collapsed="false">
      <c r="A39" s="8" t="s">
        <v>846</v>
      </c>
      <c r="B39" s="29" t="n">
        <v>1</v>
      </c>
      <c r="C39" s="8" t="s">
        <v>772</v>
      </c>
      <c r="D39" s="27" t="s">
        <v>847</v>
      </c>
      <c r="E39" s="28" t="s">
        <v>848</v>
      </c>
    </row>
    <row r="40" customFormat="false" ht="15" hidden="false" customHeight="true" outlineLevel="0" collapsed="false">
      <c r="A40" s="8" t="s">
        <v>849</v>
      </c>
      <c r="B40" s="21" t="n">
        <v>2</v>
      </c>
      <c r="C40" s="8" t="s">
        <v>216</v>
      </c>
      <c r="D40" s="27" t="s">
        <v>850</v>
      </c>
      <c r="E40" s="28" t="s">
        <v>851</v>
      </c>
    </row>
    <row r="41" customFormat="false" ht="15" hidden="false" customHeight="true" outlineLevel="0" collapsed="false">
      <c r="A41" s="8" t="s">
        <v>852</v>
      </c>
      <c r="B41" s="21" t="n">
        <v>3</v>
      </c>
      <c r="C41" s="8" t="s">
        <v>216</v>
      </c>
      <c r="D41" s="27" t="s">
        <v>853</v>
      </c>
      <c r="E41" s="28" t="s">
        <v>854</v>
      </c>
    </row>
    <row r="42" customFormat="false" ht="15" hidden="false" customHeight="true" outlineLevel="0" collapsed="false">
      <c r="A42" s="8" t="s">
        <v>855</v>
      </c>
      <c r="B42" s="21" t="n">
        <v>2.3</v>
      </c>
      <c r="C42" s="8" t="s">
        <v>821</v>
      </c>
      <c r="D42" s="27" t="s">
        <v>856</v>
      </c>
      <c r="E42" s="28" t="s">
        <v>857</v>
      </c>
    </row>
    <row r="43" customFormat="false" ht="15" hidden="false" customHeight="true" outlineLevel="0" collapsed="false">
      <c r="A43" s="8" t="s">
        <v>858</v>
      </c>
      <c r="B43" s="29" t="n">
        <v>1.1</v>
      </c>
      <c r="C43" s="8" t="s">
        <v>821</v>
      </c>
      <c r="D43" s="27" t="s">
        <v>859</v>
      </c>
      <c r="E43" s="28" t="s">
        <v>860</v>
      </c>
    </row>
    <row r="44" customFormat="false" ht="15" hidden="false" customHeight="true" outlineLevel="0" collapsed="false">
      <c r="A44" s="8" t="s">
        <v>861</v>
      </c>
      <c r="B44" s="29" t="n">
        <v>9</v>
      </c>
      <c r="C44" s="8" t="s">
        <v>113</v>
      </c>
      <c r="D44" s="27" t="s">
        <v>862</v>
      </c>
      <c r="E44" s="28" t="s">
        <v>863</v>
      </c>
    </row>
    <row r="45" customFormat="false" ht="15" hidden="false" customHeight="true" outlineLevel="0" collapsed="false">
      <c r="A45" s="8" t="s">
        <v>864</v>
      </c>
      <c r="B45" s="29" t="n">
        <v>1000</v>
      </c>
      <c r="C45" s="8" t="s">
        <v>783</v>
      </c>
      <c r="D45" s="27" t="s">
        <v>865</v>
      </c>
      <c r="E45" s="28" t="s">
        <v>866</v>
      </c>
    </row>
    <row r="46" customFormat="false" ht="15" hidden="false" customHeight="true" outlineLevel="0" collapsed="false">
      <c r="A46" s="8" t="s">
        <v>867</v>
      </c>
      <c r="B46" s="29" t="n">
        <v>1200</v>
      </c>
      <c r="C46" s="8" t="s">
        <v>783</v>
      </c>
      <c r="D46" s="27" t="s">
        <v>868</v>
      </c>
      <c r="E46" s="28" t="s">
        <v>869</v>
      </c>
    </row>
    <row r="47" customFormat="false" ht="15" hidden="false" customHeight="true" outlineLevel="0" collapsed="false">
      <c r="A47" s="8" t="s">
        <v>870</v>
      </c>
      <c r="B47" s="29" t="n">
        <v>100</v>
      </c>
      <c r="C47" s="8" t="s">
        <v>783</v>
      </c>
      <c r="D47" s="27" t="s">
        <v>871</v>
      </c>
      <c r="E47" s="28" t="s">
        <v>872</v>
      </c>
    </row>
    <row r="48" customFormat="false" ht="15" hidden="false" customHeight="true" outlineLevel="0" collapsed="false">
      <c r="A48" s="8" t="s">
        <v>873</v>
      </c>
      <c r="B48" s="29" t="n">
        <v>80</v>
      </c>
      <c r="C48" s="8" t="s">
        <v>783</v>
      </c>
      <c r="D48" s="27" t="s">
        <v>874</v>
      </c>
      <c r="E48" s="28" t="s">
        <v>875</v>
      </c>
    </row>
    <row r="50" customFormat="false" ht="15" hidden="false" customHeight="true" outlineLevel="0" collapsed="false">
      <c r="A50" s="5" t="s">
        <v>876</v>
      </c>
      <c r="B50" s="6"/>
      <c r="C50" s="6"/>
      <c r="D50" s="6"/>
      <c r="E50" s="6"/>
    </row>
    <row r="51" customFormat="false" ht="42" hidden="false" customHeight="true" outlineLevel="0" collapsed="false">
      <c r="A51" s="7" t="s">
        <v>764</v>
      </c>
      <c r="B51" s="7" t="s">
        <v>36</v>
      </c>
      <c r="C51" s="7" t="s">
        <v>667</v>
      </c>
      <c r="D51" s="7" t="s">
        <v>765</v>
      </c>
      <c r="E51" s="7" t="s">
        <v>766</v>
      </c>
    </row>
    <row r="52" customFormat="false" ht="15" hidden="false" customHeight="true" outlineLevel="0" collapsed="false">
      <c r="A52" s="8" t="s">
        <v>877</v>
      </c>
      <c r="B52" s="8" t="n">
        <f aca="false">POS_NIV*NIV</f>
        <v>6</v>
      </c>
      <c r="C52" s="8" t="s">
        <v>216</v>
      </c>
      <c r="D52" s="27" t="s">
        <v>878</v>
      </c>
      <c r="E52" s="28" t="s">
        <v>879</v>
      </c>
    </row>
    <row r="54" customFormat="false" ht="15" hidden="false" customHeight="true" outlineLevel="0" collapsed="false">
      <c r="A54" s="5" t="s">
        <v>880</v>
      </c>
      <c r="B54" s="6"/>
      <c r="C54" s="6"/>
      <c r="D54" s="6"/>
      <c r="E54" s="6"/>
    </row>
    <row r="55" customFormat="false" ht="42" hidden="false" customHeight="true" outlineLevel="0" collapsed="false">
      <c r="A55" s="7" t="s">
        <v>881</v>
      </c>
      <c r="B55" s="7" t="s">
        <v>882</v>
      </c>
      <c r="C55" s="7" t="s">
        <v>883</v>
      </c>
      <c r="D55" s="7" t="s">
        <v>884</v>
      </c>
      <c r="E55" s="7" t="s">
        <v>885</v>
      </c>
    </row>
    <row r="56" customFormat="false" ht="15" hidden="false" customHeight="true" outlineLevel="0" collapsed="false">
      <c r="A56" s="8" t="s">
        <v>886</v>
      </c>
      <c r="B56" s="20" t="n">
        <v>1000</v>
      </c>
      <c r="C56" s="20"/>
      <c r="D56" s="8" t="str">
        <f aca="false">IF(B56&lt;Chapa_fleje!$L$50,"No: capacidad",IF(C56="","Falta el Ø",IF(C56&gt;=Chapa_fleje!$L$51,"Sí","No: Ø")))</f>
        <v>No: capacidad</v>
      </c>
      <c r="E56" s="11" t="s">
        <v>887</v>
      </c>
    </row>
    <row r="57" customFormat="false" ht="15" hidden="false" customHeight="true" outlineLevel="0" collapsed="false">
      <c r="A57" s="8" t="s">
        <v>888</v>
      </c>
      <c r="B57" s="20" t="n">
        <v>500</v>
      </c>
      <c r="C57" s="20" t="n">
        <v>1270</v>
      </c>
      <c r="D57" s="8" t="str">
        <f aca="false">IF(B57&lt;Chapa_fleje!$L$50,"No: capacidad",IF(C57="","Falta el Ø",IF(C57&gt;=Chapa_fleje!$L$51,"Sí","No: Ø")))</f>
        <v>No: capacidad</v>
      </c>
      <c r="E57" s="11" t="s">
        <v>889</v>
      </c>
    </row>
    <row r="58" customFormat="false" ht="15" hidden="false" customHeight="true" outlineLevel="0" collapsed="false">
      <c r="A58" s="8" t="s">
        <v>890</v>
      </c>
      <c r="B58" s="20" t="n">
        <v>1500</v>
      </c>
      <c r="C58" s="20"/>
      <c r="D58" s="8" t="str">
        <f aca="false">IF(B58&lt;Chapa_fleje!$L$50,"No: capacidad",IF(C58="","Falta el Ø",IF(C58&gt;=Chapa_fleje!$L$51,"Sí","No: Ø")))</f>
        <v>Falta el Ø</v>
      </c>
      <c r="E58" s="11" t="s">
        <v>891</v>
      </c>
    </row>
    <row r="59" customFormat="false" ht="15" hidden="false" customHeight="true" outlineLevel="0" collapsed="false">
      <c r="A59" s="8" t="s">
        <v>892</v>
      </c>
      <c r="B59" s="20" t="n">
        <v>1300</v>
      </c>
      <c r="C59" s="20" t="n">
        <v>1100</v>
      </c>
      <c r="D59" s="8" t="str">
        <f aca="false">IF(B59&lt;Chapa_fleje!$L$50,"No: capacidad",IF(C59="","Falta el Ø",IF(C59&gt;=Chapa_fleje!$L$51,"Sí","No: Ø")))</f>
        <v>Sí</v>
      </c>
      <c r="E59" s="11" t="s">
        <v>893</v>
      </c>
    </row>
    <row r="60" customFormat="false" ht="15" hidden="false" customHeight="true" outlineLevel="0" collapsed="false">
      <c r="A60" s="14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6" min="4" style="1" width="10"/>
    <col collapsed="false" customWidth="true" hidden="false" outlineLevel="0" max="23" min="7" style="1" width="11"/>
    <col collapsed="false" customWidth="true" hidden="false" outlineLevel="0" max="24" min="24" style="1" width="13"/>
  </cols>
  <sheetData>
    <row r="1" customFormat="false" ht="15" hidden="false" customHeight="true" outlineLevel="0" collapsed="false">
      <c r="A1" s="2" t="s">
        <v>895</v>
      </c>
    </row>
    <row r="2" customFormat="false" ht="15" hidden="false" customHeight="true" outlineLevel="0" collapsed="false">
      <c r="A2" s="3" t="s">
        <v>896</v>
      </c>
    </row>
    <row r="3" customFormat="false" ht="15" hidden="false" customHeight="true" outlineLevel="0" collapsed="false">
      <c r="A3" s="4" t="s">
        <v>897</v>
      </c>
    </row>
    <row r="5" customFormat="false" ht="15" hidden="false" customHeight="true" outlineLevel="0" collapsed="false">
      <c r="A5" s="5" t="s">
        <v>898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customFormat="false" ht="42" hidden="false" customHeight="true" outlineLevel="0" collapsed="false">
      <c r="A6" s="7" t="s">
        <v>130</v>
      </c>
      <c r="B6" s="7" t="s">
        <v>30</v>
      </c>
      <c r="C6" s="7" t="s">
        <v>131</v>
      </c>
      <c r="D6" s="7" t="s">
        <v>899</v>
      </c>
      <c r="E6" s="7" t="s">
        <v>900</v>
      </c>
      <c r="F6" s="7" t="s">
        <v>901</v>
      </c>
      <c r="G6" s="7" t="s">
        <v>902</v>
      </c>
      <c r="H6" s="7" t="s">
        <v>903</v>
      </c>
      <c r="I6" s="7" t="s">
        <v>66</v>
      </c>
      <c r="J6" s="7" t="s">
        <v>904</v>
      </c>
      <c r="K6" s="7" t="s">
        <v>905</v>
      </c>
      <c r="L6" s="7" t="s">
        <v>906</v>
      </c>
      <c r="M6" s="7" t="s">
        <v>907</v>
      </c>
      <c r="N6" s="7" t="s">
        <v>908</v>
      </c>
      <c r="O6" s="7" t="s">
        <v>909</v>
      </c>
      <c r="P6" s="7" t="s">
        <v>134</v>
      </c>
      <c r="Q6" s="7" t="s">
        <v>135</v>
      </c>
      <c r="R6" s="7" t="s">
        <v>910</v>
      </c>
      <c r="S6" s="7" t="s">
        <v>911</v>
      </c>
      <c r="T6" s="7" t="s">
        <v>912</v>
      </c>
      <c r="U6" s="7" t="s">
        <v>913</v>
      </c>
      <c r="V6" s="7" t="s">
        <v>914</v>
      </c>
      <c r="W6" s="7" t="s">
        <v>915</v>
      </c>
      <c r="X6" s="7" t="s">
        <v>916</v>
      </c>
    </row>
    <row r="7" customFormat="false" ht="15" hidden="false" customHeight="true" outlineLevel="0" collapsed="false">
      <c r="A7" s="17" t="s">
        <v>144</v>
      </c>
      <c r="B7" s="11" t="str">
        <f aca="false">Datos!B52</f>
        <v>Hoja LAF 0,9 × 1220 × 2440 mm (cuerpo 1 kg)</v>
      </c>
      <c r="C7" s="11" t="str">
        <f aca="false">Datos!D52</f>
        <v>Hierros Parrotta</v>
      </c>
      <c r="D7" s="30" t="n">
        <v>0.9</v>
      </c>
      <c r="E7" s="20" t="n">
        <v>1220</v>
      </c>
      <c r="F7" s="20" t="n">
        <v>2440</v>
      </c>
      <c r="G7" s="31" t="n">
        <f aca="false">DENS*D7*E7*F7/1000000</f>
        <v>21.031092</v>
      </c>
      <c r="H7" s="16" t="n">
        <f aca="false">Datos!D7/Datos!C7</f>
        <v>20.2620639133</v>
      </c>
      <c r="I7" s="32" t="n">
        <f aca="false">Datos!F7</f>
        <v>21</v>
      </c>
      <c r="J7" s="32" t="n">
        <f aca="false">Datos!E7</f>
        <v>1</v>
      </c>
      <c r="K7" s="29"/>
      <c r="L7" s="33" t="n">
        <f aca="false">IF(K7="",I7,K7)</f>
        <v>21</v>
      </c>
      <c r="M7" s="34" t="n">
        <f aca="false">L7*G7</f>
        <v>441.652932</v>
      </c>
      <c r="N7" s="32" t="n">
        <f aca="false">L7*D7+H_TACO</f>
        <v>118.9</v>
      </c>
      <c r="O7" s="31" t="n">
        <f aca="false">IF(H7=0,0,L7/H7)</f>
        <v>1.0364195913041</v>
      </c>
      <c r="P7" s="32" t="n">
        <f aca="false">Datos!G52</f>
        <v>10</v>
      </c>
      <c r="Q7" s="32" t="n">
        <f aca="false">Datos!H52</f>
        <v>10</v>
      </c>
      <c r="R7" s="16" t="n">
        <f aca="false">Datos!E52/DIAS_ANIO</f>
        <v>18.7611708333333</v>
      </c>
      <c r="S7" s="32" t="n">
        <f aca="false">MAX(1,ROUNDUP(MAX(0,H7*Q7-R7*(P7+Q7)/2)/L7,0))</f>
        <v>1</v>
      </c>
      <c r="T7" s="32" t="n">
        <f aca="false">VLOOKUP(C7,Pedidos!$A$7:$C$60,3,FALSE())</f>
        <v>20</v>
      </c>
      <c r="U7" s="32" t="n">
        <f aca="false">ROUNDUP(H7*T7/L7,0)</f>
        <v>20</v>
      </c>
      <c r="V7" s="33" t="n">
        <f aca="false">S7+U7</f>
        <v>21</v>
      </c>
      <c r="W7" s="31" t="n">
        <f aca="false">V7*M7/1000</f>
        <v>9.274711572</v>
      </c>
      <c r="X7" s="8" t="str">
        <f aca="false">IF(M7&lt;=MIN(CAP_MESA,CAP_AUTO),"OK","Pasa la mesa")</f>
        <v>OK</v>
      </c>
    </row>
    <row r="8" customFormat="false" ht="15" hidden="false" customHeight="true" outlineLevel="0" collapsed="false">
      <c r="A8" s="17" t="s">
        <v>151</v>
      </c>
      <c r="B8" s="11" t="str">
        <f aca="false">Datos!B53</f>
        <v>Hoja LAF 1,25 × 1220 × 2440 mm</v>
      </c>
      <c r="C8" s="11" t="str">
        <f aca="false">Datos!D53</f>
        <v>Pradecon</v>
      </c>
      <c r="D8" s="30" t="n">
        <v>1.25</v>
      </c>
      <c r="E8" s="20" t="n">
        <v>1220</v>
      </c>
      <c r="F8" s="20" t="n">
        <v>2440</v>
      </c>
      <c r="G8" s="31" t="n">
        <f aca="false">DENS*D8*E8*F8/1000000</f>
        <v>29.20985</v>
      </c>
      <c r="H8" s="16" t="n">
        <f aca="false">Datos!D8/Datos!C8</f>
        <v>2.35438974068333</v>
      </c>
      <c r="I8" s="32" t="n">
        <f aca="false">Datos!F8</f>
        <v>19</v>
      </c>
      <c r="J8" s="32" t="n">
        <f aca="false">Datos!E8</f>
        <v>8</v>
      </c>
      <c r="K8" s="29"/>
      <c r="L8" s="33" t="n">
        <f aca="false">IF(K8="",I8,K8)</f>
        <v>19</v>
      </c>
      <c r="M8" s="34" t="n">
        <f aca="false">L8*G8</f>
        <v>554.98715</v>
      </c>
      <c r="N8" s="32" t="n">
        <f aca="false">L8*D8+H_TACO</f>
        <v>123.75</v>
      </c>
      <c r="O8" s="31" t="n">
        <f aca="false">IF(H8=0,0,L8/H8)</f>
        <v>8.0700317673341</v>
      </c>
      <c r="P8" s="32" t="n">
        <f aca="false">Datos!G53</f>
        <v>7</v>
      </c>
      <c r="Q8" s="32" t="n">
        <f aca="false">Datos!H53</f>
        <v>10</v>
      </c>
      <c r="R8" s="16" t="n">
        <f aca="false">Datos!E53/DIAS_ANIO</f>
        <v>2.17999166666667</v>
      </c>
      <c r="S8" s="32" t="n">
        <f aca="false">MAX(1,ROUNDUP(MAX(0,H8*Q8-R8*(P8+Q8)/2)/L8,0))</f>
        <v>1</v>
      </c>
      <c r="T8" s="32" t="n">
        <f aca="false">VLOOKUP(C8,Pedidos!$A$7:$C$60,3,FALSE())</f>
        <v>20</v>
      </c>
      <c r="U8" s="32" t="n">
        <f aca="false">ROUNDUP(H8*T8/L8,0)</f>
        <v>3</v>
      </c>
      <c r="V8" s="33" t="n">
        <f aca="false">S8+U8</f>
        <v>4</v>
      </c>
      <c r="W8" s="31" t="n">
        <f aca="false">V8*M8/1000</f>
        <v>2.2199486</v>
      </c>
      <c r="X8" s="8" t="str">
        <f aca="false">IF(M8&lt;=MIN(CAP_MESA,CAP_AUTO),"OK","Pasa la mesa")</f>
        <v>OK</v>
      </c>
    </row>
    <row r="9" customFormat="false" ht="15" hidden="false" customHeight="true" outlineLevel="0" collapsed="false">
      <c r="A9" s="17" t="s">
        <v>156</v>
      </c>
      <c r="B9" s="11" t="str">
        <f aca="false">Datos!B54</f>
        <v>Hoja LAF 1,6 × 1000 × 2000 mm</v>
      </c>
      <c r="C9" s="11" t="str">
        <f aca="false">Datos!D54</f>
        <v>Pradecon</v>
      </c>
      <c r="D9" s="30" t="n">
        <v>1.6</v>
      </c>
      <c r="E9" s="20" t="n">
        <v>1000</v>
      </c>
      <c r="F9" s="20" t="n">
        <v>2000</v>
      </c>
      <c r="G9" s="31" t="n">
        <f aca="false">DENS*D9*E9*F9/1000000</f>
        <v>25.12</v>
      </c>
      <c r="H9" s="16" t="n">
        <f aca="false">Datos!D9/Datos!C9</f>
        <v>23.944747020375</v>
      </c>
      <c r="I9" s="32" t="n">
        <f aca="false">Datos!F9</f>
        <v>24</v>
      </c>
      <c r="J9" s="32" t="n">
        <f aca="false">Datos!E9</f>
        <v>1</v>
      </c>
      <c r="K9" s="29"/>
      <c r="L9" s="33" t="n">
        <f aca="false">IF(K9="",I9,K9)</f>
        <v>24</v>
      </c>
      <c r="M9" s="34" t="n">
        <f aca="false">L9*G9</f>
        <v>602.88</v>
      </c>
      <c r="N9" s="32" t="n">
        <f aca="false">L9*D9+H_TACO</f>
        <v>138.4</v>
      </c>
      <c r="O9" s="31" t="n">
        <f aca="false">IF(H9=0,0,L9/H9)</f>
        <v>1.0023075198739</v>
      </c>
      <c r="P9" s="32" t="n">
        <f aca="false">Datos!G54</f>
        <v>7</v>
      </c>
      <c r="Q9" s="32" t="n">
        <f aca="false">Datos!H54</f>
        <v>10</v>
      </c>
      <c r="R9" s="16" t="n">
        <f aca="false">Datos!E54/DIAS_ANIO</f>
        <v>22.1710625</v>
      </c>
      <c r="S9" s="32" t="n">
        <f aca="false">MAX(1,ROUNDUP(MAX(0,H9*Q9-R9*(P9+Q9)/2)/L9,0))</f>
        <v>3</v>
      </c>
      <c r="T9" s="32" t="n">
        <f aca="false">VLOOKUP(C9,Pedidos!$A$7:$C$60,3,FALSE())</f>
        <v>20</v>
      </c>
      <c r="U9" s="32" t="n">
        <f aca="false">ROUNDUP(H9*T9/L9,0)</f>
        <v>20</v>
      </c>
      <c r="V9" s="33" t="n">
        <f aca="false">S9+U9</f>
        <v>23</v>
      </c>
      <c r="W9" s="31" t="n">
        <f aca="false">V9*M9/1000</f>
        <v>13.86624</v>
      </c>
      <c r="X9" s="8" t="str">
        <f aca="false">IF(M9&lt;=MIN(CAP_MESA,CAP_AUTO),"OK","Pasa la mesa")</f>
        <v>OK</v>
      </c>
    </row>
    <row r="10" customFormat="false" ht="15" hidden="false" customHeight="true" outlineLevel="0" collapsed="false">
      <c r="A10" s="17" t="s">
        <v>161</v>
      </c>
      <c r="B10" s="11" t="str">
        <f aca="false">Datos!B55</f>
        <v>Hoja LAF 2,0 × 1500 × 3000 mm</v>
      </c>
      <c r="C10" s="11" t="str">
        <f aca="false">Datos!D55</f>
        <v>Pradecon</v>
      </c>
      <c r="D10" s="30" t="n">
        <v>2</v>
      </c>
      <c r="E10" s="20" t="n">
        <v>1500</v>
      </c>
      <c r="F10" s="20" t="n">
        <v>3000</v>
      </c>
      <c r="G10" s="31" t="n">
        <f aca="false">DENS*D10*E10*F10/1000000</f>
        <v>70.65</v>
      </c>
      <c r="H10" s="16" t="n">
        <f aca="false">Datos!D10/Datos!C10</f>
        <v>1.15887842361</v>
      </c>
      <c r="I10" s="32" t="n">
        <f aca="false">Datos!F10</f>
        <v>19</v>
      </c>
      <c r="J10" s="32" t="n">
        <f aca="false">Datos!E10</f>
        <v>16</v>
      </c>
      <c r="K10" s="29"/>
      <c r="L10" s="33" t="n">
        <f aca="false">IF(K10="",I10,K10)</f>
        <v>19</v>
      </c>
      <c r="M10" s="34" t="n">
        <f aca="false">L10*G10</f>
        <v>1342.35</v>
      </c>
      <c r="N10" s="32" t="n">
        <f aca="false">L10*D10+H_TACO</f>
        <v>138</v>
      </c>
      <c r="O10" s="31" t="n">
        <f aca="false">IF(H10=0,0,L10/H10)</f>
        <v>16.3951624371549</v>
      </c>
      <c r="P10" s="32" t="n">
        <f aca="false">Datos!G55</f>
        <v>7</v>
      </c>
      <c r="Q10" s="32" t="n">
        <f aca="false">Datos!H55</f>
        <v>10</v>
      </c>
      <c r="R10" s="16" t="n">
        <f aca="false">Datos!E55/DIAS_ANIO</f>
        <v>1.0730375</v>
      </c>
      <c r="S10" s="32" t="n">
        <f aca="false">MAX(1,ROUNDUP(MAX(0,H10*Q10-R10*(P10+Q10)/2)/L10,0))</f>
        <v>1</v>
      </c>
      <c r="T10" s="32" t="n">
        <f aca="false">VLOOKUP(C10,Pedidos!$A$7:$C$60,3,FALSE())</f>
        <v>20</v>
      </c>
      <c r="U10" s="32" t="n">
        <f aca="false">ROUNDUP(H10*T10/L10,0)</f>
        <v>2</v>
      </c>
      <c r="V10" s="33" t="n">
        <f aca="false">S10+U10</f>
        <v>3</v>
      </c>
      <c r="W10" s="31" t="n">
        <f aca="false">V10*M10/1000</f>
        <v>4.02705</v>
      </c>
      <c r="X10" s="8" t="str">
        <f aca="false">IF(M10&lt;=MIN(CAP_MESA,CAP_AUTO),"OK","Pasa la mesa")</f>
        <v>OK</v>
      </c>
    </row>
    <row r="11" customFormat="false" ht="15" hidden="false" customHeight="true" outlineLevel="0" collapsed="false">
      <c r="A11" s="17" t="s">
        <v>205</v>
      </c>
      <c r="B11" s="11" t="str">
        <f aca="false">Datos!B64</f>
        <v>Hoja LAC 3,2 × 1500 × 3000 mm</v>
      </c>
      <c r="C11" s="11" t="str">
        <f aca="false">Datos!D64</f>
        <v>Pradecon</v>
      </c>
      <c r="D11" s="30" t="n">
        <v>3.2</v>
      </c>
      <c r="E11" s="20" t="n">
        <v>1500</v>
      </c>
      <c r="F11" s="20" t="n">
        <v>3000</v>
      </c>
      <c r="G11" s="31" t="n">
        <f aca="false">DENS*D11*E11*F11/1000000</f>
        <v>113.04</v>
      </c>
      <c r="H11" s="16" t="n">
        <f aca="false">Datos!D11/Datos!C11+Datos!D12/Datos!C12</f>
        <v>1.57720488838889</v>
      </c>
      <c r="I11" s="32" t="n">
        <f aca="false">Datos!F11+Datos!F12</f>
        <v>7</v>
      </c>
      <c r="J11" s="32" t="n">
        <f aca="false">Datos!E11</f>
        <v>4</v>
      </c>
      <c r="K11" s="29"/>
      <c r="L11" s="33" t="n">
        <f aca="false">IF(K11="",I11,K11)</f>
        <v>7</v>
      </c>
      <c r="M11" s="34" t="n">
        <f aca="false">L11*G11</f>
        <v>791.28</v>
      </c>
      <c r="N11" s="32" t="n">
        <f aca="false">L11*D11+H_TACO</f>
        <v>122.4</v>
      </c>
      <c r="O11" s="31" t="n">
        <f aca="false">IF(H11=0,0,L11/H11)</f>
        <v>4.43823123522682</v>
      </c>
      <c r="P11" s="32" t="n">
        <f aca="false">Datos!G64</f>
        <v>7</v>
      </c>
      <c r="Q11" s="32" t="n">
        <f aca="false">Datos!H64</f>
        <v>10</v>
      </c>
      <c r="R11" s="16" t="n">
        <f aca="false">Datos!E64/DIAS_ANIO</f>
        <v>1.4563125</v>
      </c>
      <c r="S11" s="32" t="n">
        <f aca="false">MAX(1,ROUNDUP(MAX(0,H11*Q11-R11*(P11+Q11)/2)/L11,0))</f>
        <v>1</v>
      </c>
      <c r="T11" s="32" t="n">
        <f aca="false">VLOOKUP(C11,Pedidos!$A$7:$C$60,3,FALSE())</f>
        <v>20</v>
      </c>
      <c r="U11" s="32" t="n">
        <f aca="false">ROUNDUP(H11*T11/L11,0)</f>
        <v>5</v>
      </c>
      <c r="V11" s="33" t="n">
        <f aca="false">S11+U11</f>
        <v>6</v>
      </c>
      <c r="W11" s="31" t="n">
        <f aca="false">V11*M11/1000</f>
        <v>4.74768</v>
      </c>
      <c r="X11" s="8" t="str">
        <f aca="false">IF(M11&lt;=MIN(CAP_MESA,CAP_AUTO),"OK","Pasa la mesa")</f>
        <v>OK</v>
      </c>
    </row>
    <row r="12" customFormat="false" ht="15" hidden="false" customHeight="true" outlineLevel="0" collapsed="false">
      <c r="A12" s="17" t="s">
        <v>209</v>
      </c>
      <c r="B12" s="11" t="str">
        <f aca="false">Datos!B65</f>
        <v>Hoja LAC 4,75 × 1500 × 3000 mm</v>
      </c>
      <c r="C12" s="11" t="str">
        <f aca="false">Datos!D65</f>
        <v>Pradecon</v>
      </c>
      <c r="D12" s="30" t="n">
        <v>4.75</v>
      </c>
      <c r="E12" s="20" t="n">
        <v>1500</v>
      </c>
      <c r="F12" s="20" t="n">
        <v>3000</v>
      </c>
      <c r="G12" s="31" t="n">
        <f aca="false">DENS*D12*E12*F12/1000000</f>
        <v>167.79375</v>
      </c>
      <c r="H12" s="16" t="n">
        <f aca="false">Datos!D13/Datos!C13</f>
        <v>0.66042495325</v>
      </c>
      <c r="I12" s="32" t="n">
        <f aca="false">Datos!F13</f>
        <v>3</v>
      </c>
      <c r="J12" s="32" t="n">
        <f aca="false">Datos!E13</f>
        <v>4</v>
      </c>
      <c r="K12" s="29"/>
      <c r="L12" s="33" t="n">
        <f aca="false">IF(K12="",I12,K12)</f>
        <v>3</v>
      </c>
      <c r="M12" s="34" t="n">
        <f aca="false">L12*G12</f>
        <v>503.38125</v>
      </c>
      <c r="N12" s="32" t="n">
        <f aca="false">L12*D12+H_TACO</f>
        <v>114.25</v>
      </c>
      <c r="O12" s="31" t="n">
        <f aca="false">IF(H12=0,0,L12/H12)</f>
        <v>4.54252975336074</v>
      </c>
      <c r="P12" s="32" t="n">
        <f aca="false">Datos!G65</f>
        <v>7</v>
      </c>
      <c r="Q12" s="32" t="n">
        <f aca="false">Datos!H65</f>
        <v>10</v>
      </c>
      <c r="R12" s="16" t="n">
        <f aca="false">Datos!E65/DIAS_ANIO</f>
        <v>0.690091666666667</v>
      </c>
      <c r="S12" s="32" t="n">
        <f aca="false">MAX(1,ROUNDUP(MAX(0,H12*Q12-R12*(P12+Q12)/2)/L12,0))</f>
        <v>1</v>
      </c>
      <c r="T12" s="32" t="n">
        <f aca="false">VLOOKUP(C12,Pedidos!$A$7:$C$60,3,FALSE())</f>
        <v>20</v>
      </c>
      <c r="U12" s="32" t="n">
        <f aca="false">ROUNDUP(H12*T12/L12,0)</f>
        <v>5</v>
      </c>
      <c r="V12" s="33" t="n">
        <f aca="false">S12+U12</f>
        <v>6</v>
      </c>
      <c r="W12" s="31" t="n">
        <f aca="false">V12*M12/1000</f>
        <v>3.0202875</v>
      </c>
      <c r="X12" s="8" t="str">
        <f aca="false">IF(M12&lt;=MIN(CAP_MESA,CAP_AUTO),"OK","Pasa la mesa")</f>
        <v>OK</v>
      </c>
    </row>
    <row r="13" customFormat="false" ht="15" hidden="false" customHeight="true" outlineLevel="0" collapsed="false">
      <c r="B13" s="17" t="s">
        <v>917</v>
      </c>
      <c r="V13" s="35" t="n">
        <f aca="false">SUM(V7:V12)</f>
        <v>63</v>
      </c>
      <c r="W13" s="23" t="n">
        <f aca="false">SUM(W7:W12)</f>
        <v>37.155917672</v>
      </c>
    </row>
    <row r="14" customFormat="false" ht="15" hidden="false" customHeight="true" outlineLevel="0" collapsed="false">
      <c r="A14" s="14" t="s">
        <v>918</v>
      </c>
    </row>
    <row r="16" customFormat="false" ht="15" hidden="false" customHeight="true" outlineLevel="0" collapsed="false">
      <c r="A16" s="5" t="s">
        <v>919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customFormat="false" ht="42" hidden="false" customHeight="true" outlineLevel="0" collapsed="false">
      <c r="A17" s="7" t="s">
        <v>130</v>
      </c>
      <c r="B17" s="7" t="s">
        <v>920</v>
      </c>
      <c r="C17" s="7" t="s">
        <v>921</v>
      </c>
      <c r="D17" s="7" t="s">
        <v>908</v>
      </c>
      <c r="E17" s="7" t="s">
        <v>907</v>
      </c>
      <c r="F17" s="7" t="s">
        <v>922</v>
      </c>
      <c r="G17" s="7" t="s">
        <v>923</v>
      </c>
      <c r="H17" s="7" t="s">
        <v>924</v>
      </c>
      <c r="I17" s="7" t="s">
        <v>925</v>
      </c>
      <c r="J17" s="7" t="s">
        <v>926</v>
      </c>
      <c r="K17" s="7" t="s">
        <v>927</v>
      </c>
      <c r="L17" s="7" t="s">
        <v>928</v>
      </c>
      <c r="M17" s="7" t="s">
        <v>929</v>
      </c>
      <c r="N17" s="7" t="s">
        <v>930</v>
      </c>
      <c r="O17" s="7" t="s">
        <v>931</v>
      </c>
      <c r="P17" s="7" t="s">
        <v>932</v>
      </c>
      <c r="Q17" s="7" t="s">
        <v>933</v>
      </c>
      <c r="R17" s="7" t="s">
        <v>934</v>
      </c>
      <c r="S17" s="7" t="s">
        <v>935</v>
      </c>
      <c r="T17" s="7" t="s">
        <v>936</v>
      </c>
      <c r="U17" s="7" t="s">
        <v>937</v>
      </c>
      <c r="V17" s="7" t="s">
        <v>938</v>
      </c>
      <c r="W17" s="7" t="s">
        <v>939</v>
      </c>
      <c r="X17" s="7" t="s">
        <v>940</v>
      </c>
    </row>
    <row r="18" customFormat="false" ht="15" hidden="false" customHeight="true" outlineLevel="0" collapsed="false">
      <c r="A18" s="17" t="str">
        <f aca="false">A7</f>
        <v>MP-01</v>
      </c>
      <c r="B18" s="11" t="str">
        <f aca="false">TEXT(F7,"#,##0")&amp;" × "&amp;TEXT(E7,"#,##0")</f>
        <v>2,440 × 1,220</v>
      </c>
      <c r="C18" s="32" t="n">
        <f aca="false">V7</f>
        <v>21</v>
      </c>
      <c r="D18" s="32" t="n">
        <f aca="false">N7</f>
        <v>118.9</v>
      </c>
      <c r="E18" s="34" t="n">
        <f aca="false">M7</f>
        <v>441.652932</v>
      </c>
      <c r="F18" s="16" t="n">
        <f aca="false">E7*F7/1000000</f>
        <v>2.9768</v>
      </c>
      <c r="G18" s="32" t="n">
        <f aca="false">INT(H_ELEV/D18)</f>
        <v>25</v>
      </c>
      <c r="H18" s="32" t="n">
        <f aca="false">INT(REL_PILA*MIN(E7,F7)/D18)</f>
        <v>30</v>
      </c>
      <c r="I18" s="32" t="n">
        <f aca="false">INT(Q_PISO*F18*1000/E18)</f>
        <v>33</v>
      </c>
      <c r="J18" s="32" t="n">
        <f aca="false">MAX(1,MIN(G18,H18,I18))</f>
        <v>25</v>
      </c>
      <c r="K18" s="33" t="n">
        <f aca="false">MAX(1,ROUNDUP(C18/J18,0))</f>
        <v>1</v>
      </c>
      <c r="L18" s="32" t="n">
        <f aca="false">ROUNDUP(C18/K18,0)</f>
        <v>21</v>
      </c>
      <c r="M18" s="16" t="n">
        <f aca="false">L18*D18/1000</f>
        <v>2.4969</v>
      </c>
      <c r="N18" s="31" t="n">
        <f aca="false">L18*E18/1000</f>
        <v>9.274711572</v>
      </c>
      <c r="O18" s="16" t="n">
        <f aca="false">N18/F18</f>
        <v>3.115665</v>
      </c>
      <c r="P18" s="36" t="n">
        <f aca="false">L18*E18*9.81/(N_TACO*A_TACO/1000*E7/1000)/1000000</f>
        <v>0.24859267902</v>
      </c>
      <c r="Q18" s="8" t="str">
        <f aca="false">IF(P18&lt;=SIG_MAD,"OK","Revisar")</f>
        <v>OK</v>
      </c>
      <c r="R18" s="32" t="n">
        <f aca="false">E7/2</f>
        <v>610</v>
      </c>
      <c r="S18" s="34" t="n">
        <f aca="false">CAP_AUTO*CC_AUTO/MAX(CC_AUTO,R18)</f>
        <v>4918.03278688525</v>
      </c>
      <c r="T18" s="8" t="str">
        <f aca="false">IF(E18&lt;=S18,"OK","No levanta")</f>
        <v>OK</v>
      </c>
      <c r="U18" s="16" t="n">
        <f aca="false">F7/1000+SEP_PILA</f>
        <v>2.94</v>
      </c>
      <c r="V18" s="16" t="n">
        <f aca="false">E7/1000+SEP_PILA</f>
        <v>1.72</v>
      </c>
      <c r="W18" s="31" t="n">
        <f aca="false">K18*U18*(V18+CALLE/2)</f>
        <v>12.4068</v>
      </c>
      <c r="X18" s="11" t="str">
        <f aca="false">IF(C18&lt;=J18,"Entra en 1 pila",IF(J18=G18,"Altura del autoelevador",IF(J18=I18,"Carga del piso","Estabilidad")))</f>
        <v>Entra en 1 pila</v>
      </c>
    </row>
    <row r="19" customFormat="false" ht="15" hidden="false" customHeight="true" outlineLevel="0" collapsed="false">
      <c r="A19" s="17" t="str">
        <f aca="false">A8</f>
        <v>MP-02</v>
      </c>
      <c r="B19" s="11" t="str">
        <f aca="false">TEXT(F8,"#,##0")&amp;" × "&amp;TEXT(E8,"#,##0")</f>
        <v>2,440 × 1,220</v>
      </c>
      <c r="C19" s="32" t="n">
        <f aca="false">V8</f>
        <v>4</v>
      </c>
      <c r="D19" s="32" t="n">
        <f aca="false">N8</f>
        <v>123.75</v>
      </c>
      <c r="E19" s="34" t="n">
        <f aca="false">M8</f>
        <v>554.98715</v>
      </c>
      <c r="F19" s="16" t="n">
        <f aca="false">E8*F8/1000000</f>
        <v>2.9768</v>
      </c>
      <c r="G19" s="32" t="n">
        <f aca="false">INT(H_ELEV/D19)</f>
        <v>24</v>
      </c>
      <c r="H19" s="32" t="n">
        <f aca="false">INT(REL_PILA*MIN(E8,F8)/D19)</f>
        <v>29</v>
      </c>
      <c r="I19" s="32" t="n">
        <f aca="false">INT(Q_PISO*F19*1000/E19)</f>
        <v>26</v>
      </c>
      <c r="J19" s="32" t="n">
        <f aca="false">MAX(1,MIN(G19,H19,I19))</f>
        <v>24</v>
      </c>
      <c r="K19" s="33" t="n">
        <f aca="false">MAX(1,ROUNDUP(C19/J19,0))</f>
        <v>1</v>
      </c>
      <c r="L19" s="32" t="n">
        <f aca="false">ROUNDUP(C19/K19,0)</f>
        <v>4</v>
      </c>
      <c r="M19" s="16" t="n">
        <f aca="false">L19*D19/1000</f>
        <v>0.495</v>
      </c>
      <c r="N19" s="31" t="n">
        <f aca="false">L19*E19/1000</f>
        <v>2.2199486</v>
      </c>
      <c r="O19" s="16" t="n">
        <f aca="false">N19/F19</f>
        <v>0.74575</v>
      </c>
      <c r="P19" s="36" t="n">
        <f aca="false">L19*E19*9.81/(N_TACO*A_TACO/1000*E8/1000)/1000000</f>
        <v>0.059501901</v>
      </c>
      <c r="Q19" s="8" t="str">
        <f aca="false">IF(P19&lt;=SIG_MAD,"OK","Revisar")</f>
        <v>OK</v>
      </c>
      <c r="R19" s="32" t="n">
        <f aca="false">E8/2</f>
        <v>610</v>
      </c>
      <c r="S19" s="34" t="n">
        <f aca="false">CAP_AUTO*CC_AUTO/MAX(CC_AUTO,R19)</f>
        <v>4918.03278688525</v>
      </c>
      <c r="T19" s="8" t="str">
        <f aca="false">IF(E19&lt;=S19,"OK","No levanta")</f>
        <v>OK</v>
      </c>
      <c r="U19" s="16" t="n">
        <f aca="false">F8/1000+SEP_PILA</f>
        <v>2.94</v>
      </c>
      <c r="V19" s="16" t="n">
        <f aca="false">E8/1000+SEP_PILA</f>
        <v>1.72</v>
      </c>
      <c r="W19" s="31" t="n">
        <f aca="false">K19*U19*(V19+CALLE/2)</f>
        <v>12.4068</v>
      </c>
      <c r="X19" s="11" t="str">
        <f aca="false">IF(C19&lt;=J19,"Entra en 1 pila",IF(J19=G19,"Altura del autoelevador",IF(J19=I19,"Carga del piso","Estabilidad")))</f>
        <v>Entra en 1 pila</v>
      </c>
    </row>
    <row r="20" customFormat="false" ht="15" hidden="false" customHeight="true" outlineLevel="0" collapsed="false">
      <c r="A20" s="17" t="str">
        <f aca="false">A9</f>
        <v>MP-03</v>
      </c>
      <c r="B20" s="11" t="str">
        <f aca="false">TEXT(F9,"#,##0")&amp;" × "&amp;TEXT(E9,"#,##0")</f>
        <v>2,000 × 1,000</v>
      </c>
      <c r="C20" s="32" t="n">
        <f aca="false">V9</f>
        <v>23</v>
      </c>
      <c r="D20" s="32" t="n">
        <f aca="false">N9</f>
        <v>138.4</v>
      </c>
      <c r="E20" s="34" t="n">
        <f aca="false">M9</f>
        <v>602.88</v>
      </c>
      <c r="F20" s="16" t="n">
        <f aca="false">E9*F9/1000000</f>
        <v>2</v>
      </c>
      <c r="G20" s="32" t="n">
        <f aca="false">INT(H_ELEV/D20)</f>
        <v>21</v>
      </c>
      <c r="H20" s="32" t="n">
        <f aca="false">INT(REL_PILA*MIN(E9,F9)/D20)</f>
        <v>21</v>
      </c>
      <c r="I20" s="32" t="n">
        <f aca="false">INT(Q_PISO*F20*1000/E20)</f>
        <v>16</v>
      </c>
      <c r="J20" s="32" t="n">
        <f aca="false">MAX(1,MIN(G20,H20,I20))</f>
        <v>16</v>
      </c>
      <c r="K20" s="33" t="n">
        <f aca="false">MAX(1,ROUNDUP(C20/J20,0))</f>
        <v>2</v>
      </c>
      <c r="L20" s="32" t="n">
        <f aca="false">ROUNDUP(C20/K20,0)</f>
        <v>12</v>
      </c>
      <c r="M20" s="16" t="n">
        <f aca="false">L20*D20/1000</f>
        <v>1.6608</v>
      </c>
      <c r="N20" s="31" t="n">
        <f aca="false">L20*E20/1000</f>
        <v>7.23456</v>
      </c>
      <c r="O20" s="16" t="n">
        <f aca="false">N20/F20</f>
        <v>3.61728</v>
      </c>
      <c r="P20" s="36" t="n">
        <f aca="false">L20*E20*9.81/(N_TACO*A_TACO/1000*E9/1000)/1000000</f>
        <v>0.236570112</v>
      </c>
      <c r="Q20" s="8" t="str">
        <f aca="false">IF(P20&lt;=SIG_MAD,"OK","Revisar")</f>
        <v>OK</v>
      </c>
      <c r="R20" s="32" t="n">
        <f aca="false">E9/2</f>
        <v>500</v>
      </c>
      <c r="S20" s="34" t="n">
        <f aca="false">CAP_AUTO*CC_AUTO/MAX(CC_AUTO,R20)</f>
        <v>5000</v>
      </c>
      <c r="T20" s="8" t="str">
        <f aca="false">IF(E20&lt;=S20,"OK","No levanta")</f>
        <v>OK</v>
      </c>
      <c r="U20" s="16" t="n">
        <f aca="false">F9/1000+SEP_PILA</f>
        <v>2.5</v>
      </c>
      <c r="V20" s="16" t="n">
        <f aca="false">E9/1000+SEP_PILA</f>
        <v>1.5</v>
      </c>
      <c r="W20" s="31" t="n">
        <f aca="false">K20*U20*(V20+CALLE/2)</f>
        <v>20</v>
      </c>
      <c r="X20" s="11" t="str">
        <f aca="false">IF(C20&lt;=J20,"Entra en 1 pila",IF(J20=G20,"Altura del autoelevador",IF(J20=I20,"Carga del piso","Estabilidad")))</f>
        <v>Carga del piso</v>
      </c>
    </row>
    <row r="21" customFormat="false" ht="15" hidden="false" customHeight="true" outlineLevel="0" collapsed="false">
      <c r="A21" s="17" t="str">
        <f aca="false">A10</f>
        <v>MP-04</v>
      </c>
      <c r="B21" s="11" t="str">
        <f aca="false">TEXT(F10,"#,##0")&amp;" × "&amp;TEXT(E10,"#,##0")</f>
        <v>3,000 × 1,500</v>
      </c>
      <c r="C21" s="32" t="n">
        <f aca="false">V10</f>
        <v>3</v>
      </c>
      <c r="D21" s="32" t="n">
        <f aca="false">N10</f>
        <v>138</v>
      </c>
      <c r="E21" s="34" t="n">
        <f aca="false">M10</f>
        <v>1342.35</v>
      </c>
      <c r="F21" s="16" t="n">
        <f aca="false">E10*F10/1000000</f>
        <v>4.5</v>
      </c>
      <c r="G21" s="32" t="n">
        <f aca="false">INT(H_ELEV/D21)</f>
        <v>21</v>
      </c>
      <c r="H21" s="32" t="n">
        <f aca="false">INT(REL_PILA*MIN(E10,F10)/D21)</f>
        <v>32</v>
      </c>
      <c r="I21" s="32" t="n">
        <f aca="false">INT(Q_PISO*F21*1000/E21)</f>
        <v>16</v>
      </c>
      <c r="J21" s="32" t="n">
        <f aca="false">MAX(1,MIN(G21,H21,I21))</f>
        <v>16</v>
      </c>
      <c r="K21" s="33" t="n">
        <f aca="false">MAX(1,ROUNDUP(C21/J21,0))</f>
        <v>1</v>
      </c>
      <c r="L21" s="32" t="n">
        <f aca="false">ROUNDUP(C21/K21,0)</f>
        <v>3</v>
      </c>
      <c r="M21" s="16" t="n">
        <f aca="false">L21*D21/1000</f>
        <v>0.414</v>
      </c>
      <c r="N21" s="31" t="n">
        <f aca="false">L21*E21/1000</f>
        <v>4.02705</v>
      </c>
      <c r="O21" s="16" t="n">
        <f aca="false">N21/F21</f>
        <v>0.8949</v>
      </c>
      <c r="P21" s="36" t="n">
        <f aca="false">L21*E21*9.81/(N_TACO*A_TACO/1000*E10/1000)/1000000</f>
        <v>0.08778969</v>
      </c>
      <c r="Q21" s="8" t="str">
        <f aca="false">IF(P21&lt;=SIG_MAD,"OK","Revisar")</f>
        <v>OK</v>
      </c>
      <c r="R21" s="32" t="n">
        <f aca="false">E10/2</f>
        <v>750</v>
      </c>
      <c r="S21" s="34" t="n">
        <f aca="false">CAP_AUTO*CC_AUTO/MAX(CC_AUTO,R21)</f>
        <v>4000</v>
      </c>
      <c r="T21" s="8" t="str">
        <f aca="false">IF(E21&lt;=S21,"OK","No levanta")</f>
        <v>OK</v>
      </c>
      <c r="U21" s="16" t="n">
        <f aca="false">F10/1000+SEP_PILA</f>
        <v>3.5</v>
      </c>
      <c r="V21" s="16" t="n">
        <f aca="false">E10/1000+SEP_PILA</f>
        <v>2</v>
      </c>
      <c r="W21" s="31" t="n">
        <f aca="false">K21*U21*(V21+CALLE/2)</f>
        <v>15.75</v>
      </c>
      <c r="X21" s="11" t="str">
        <f aca="false">IF(C21&lt;=J21,"Entra en 1 pila",IF(J21=G21,"Altura del autoelevador",IF(J21=I21,"Carga del piso","Estabilidad")))</f>
        <v>Entra en 1 pila</v>
      </c>
    </row>
    <row r="22" customFormat="false" ht="15" hidden="false" customHeight="true" outlineLevel="0" collapsed="false">
      <c r="A22" s="17" t="str">
        <f aca="false">A11</f>
        <v>MP-11</v>
      </c>
      <c r="B22" s="11" t="str">
        <f aca="false">TEXT(F11,"#,##0")&amp;" × "&amp;TEXT(E11,"#,##0")</f>
        <v>3,000 × 1,500</v>
      </c>
      <c r="C22" s="32" t="n">
        <f aca="false">V11</f>
        <v>6</v>
      </c>
      <c r="D22" s="32" t="n">
        <f aca="false">N11</f>
        <v>122.4</v>
      </c>
      <c r="E22" s="34" t="n">
        <f aca="false">M11</f>
        <v>791.28</v>
      </c>
      <c r="F22" s="16" t="n">
        <f aca="false">E11*F11/1000000</f>
        <v>4.5</v>
      </c>
      <c r="G22" s="32" t="n">
        <f aca="false">INT(H_ELEV/D22)</f>
        <v>24</v>
      </c>
      <c r="H22" s="32" t="n">
        <f aca="false">INT(REL_PILA*MIN(E11,F11)/D22)</f>
        <v>36</v>
      </c>
      <c r="I22" s="32" t="n">
        <f aca="false">INT(Q_PISO*F22*1000/E22)</f>
        <v>28</v>
      </c>
      <c r="J22" s="32" t="n">
        <f aca="false">MAX(1,MIN(G22,H22,I22))</f>
        <v>24</v>
      </c>
      <c r="K22" s="33" t="n">
        <f aca="false">MAX(1,ROUNDUP(C22/J22,0))</f>
        <v>1</v>
      </c>
      <c r="L22" s="32" t="n">
        <f aca="false">ROUNDUP(C22/K22,0)</f>
        <v>6</v>
      </c>
      <c r="M22" s="16" t="n">
        <f aca="false">L22*D22/1000</f>
        <v>0.7344</v>
      </c>
      <c r="N22" s="31" t="n">
        <f aca="false">L22*E22/1000</f>
        <v>4.74768</v>
      </c>
      <c r="O22" s="16" t="n">
        <f aca="false">N22/F22</f>
        <v>1.05504</v>
      </c>
      <c r="P22" s="36" t="n">
        <f aca="false">L22*E22*9.81/(N_TACO*A_TACO/1000*E11/1000)/1000000</f>
        <v>0.103499424</v>
      </c>
      <c r="Q22" s="8" t="str">
        <f aca="false">IF(P22&lt;=SIG_MAD,"OK","Revisar")</f>
        <v>OK</v>
      </c>
      <c r="R22" s="32" t="n">
        <f aca="false">E11/2</f>
        <v>750</v>
      </c>
      <c r="S22" s="34" t="n">
        <f aca="false">CAP_AUTO*CC_AUTO/MAX(CC_AUTO,R22)</f>
        <v>4000</v>
      </c>
      <c r="T22" s="8" t="str">
        <f aca="false">IF(E22&lt;=S22,"OK","No levanta")</f>
        <v>OK</v>
      </c>
      <c r="U22" s="16" t="n">
        <f aca="false">F11/1000+SEP_PILA</f>
        <v>3.5</v>
      </c>
      <c r="V22" s="16" t="n">
        <f aca="false">E11/1000+SEP_PILA</f>
        <v>2</v>
      </c>
      <c r="W22" s="31" t="n">
        <f aca="false">K22*U22*(V22+CALLE/2)</f>
        <v>15.75</v>
      </c>
      <c r="X22" s="11" t="str">
        <f aca="false">IF(C22&lt;=J22,"Entra en 1 pila",IF(J22=G22,"Altura del autoelevador",IF(J22=I22,"Carga del piso","Estabilidad")))</f>
        <v>Entra en 1 pila</v>
      </c>
    </row>
    <row r="23" customFormat="false" ht="15" hidden="false" customHeight="true" outlineLevel="0" collapsed="false">
      <c r="A23" s="17" t="str">
        <f aca="false">A12</f>
        <v>MP-12</v>
      </c>
      <c r="B23" s="11" t="str">
        <f aca="false">TEXT(F12,"#,##0")&amp;" × "&amp;TEXT(E12,"#,##0")</f>
        <v>3,000 × 1,500</v>
      </c>
      <c r="C23" s="32" t="n">
        <f aca="false">V12</f>
        <v>6</v>
      </c>
      <c r="D23" s="32" t="n">
        <f aca="false">N12</f>
        <v>114.25</v>
      </c>
      <c r="E23" s="34" t="n">
        <f aca="false">M12</f>
        <v>503.38125</v>
      </c>
      <c r="F23" s="16" t="n">
        <f aca="false">E12*F12/1000000</f>
        <v>4.5</v>
      </c>
      <c r="G23" s="32" t="n">
        <f aca="false">INT(H_ELEV/D23)</f>
        <v>26</v>
      </c>
      <c r="H23" s="32" t="n">
        <f aca="false">INT(REL_PILA*MIN(E12,F12)/D23)</f>
        <v>39</v>
      </c>
      <c r="I23" s="32" t="n">
        <f aca="false">INT(Q_PISO*F23*1000/E23)</f>
        <v>44</v>
      </c>
      <c r="J23" s="32" t="n">
        <f aca="false">MAX(1,MIN(G23,H23,I23))</f>
        <v>26</v>
      </c>
      <c r="K23" s="33" t="n">
        <f aca="false">MAX(1,ROUNDUP(C23/J23,0))</f>
        <v>1</v>
      </c>
      <c r="L23" s="32" t="n">
        <f aca="false">ROUNDUP(C23/K23,0)</f>
        <v>6</v>
      </c>
      <c r="M23" s="16" t="n">
        <f aca="false">L23*D23/1000</f>
        <v>0.6855</v>
      </c>
      <c r="N23" s="31" t="n">
        <f aca="false">L23*E23/1000</f>
        <v>3.0202875</v>
      </c>
      <c r="O23" s="16" t="n">
        <f aca="false">N23/F23</f>
        <v>0.671175</v>
      </c>
      <c r="P23" s="36" t="n">
        <f aca="false">L23*E23*9.81/(N_TACO*A_TACO/1000*E12/1000)/1000000</f>
        <v>0.0658422675</v>
      </c>
      <c r="Q23" s="8" t="str">
        <f aca="false">IF(P23&lt;=SIG_MAD,"OK","Revisar")</f>
        <v>OK</v>
      </c>
      <c r="R23" s="32" t="n">
        <f aca="false">E12/2</f>
        <v>750</v>
      </c>
      <c r="S23" s="34" t="n">
        <f aca="false">CAP_AUTO*CC_AUTO/MAX(CC_AUTO,R23)</f>
        <v>4000</v>
      </c>
      <c r="T23" s="8" t="str">
        <f aca="false">IF(E23&lt;=S23,"OK","No levanta")</f>
        <v>OK</v>
      </c>
      <c r="U23" s="16" t="n">
        <f aca="false">F12/1000+SEP_PILA</f>
        <v>3.5</v>
      </c>
      <c r="V23" s="16" t="n">
        <f aca="false">E12/1000+SEP_PILA</f>
        <v>2</v>
      </c>
      <c r="W23" s="31" t="n">
        <f aca="false">K23*U23*(V23+CALLE/2)</f>
        <v>15.75</v>
      </c>
      <c r="X23" s="11" t="str">
        <f aca="false">IF(C23&lt;=J23,"Entra en 1 pila",IF(J23=G23,"Altura del autoelevador",IF(J23=I23,"Carga del piso","Estabilidad")))</f>
        <v>Entra en 1 pila</v>
      </c>
    </row>
    <row r="24" customFormat="false" ht="15" hidden="false" customHeight="true" outlineLevel="0" collapsed="false">
      <c r="A24" s="17" t="s">
        <v>917</v>
      </c>
      <c r="K24" s="35" t="n">
        <f aca="false">SUM(K18:K23)</f>
        <v>7</v>
      </c>
      <c r="W24" s="23" t="n">
        <f aca="false">SUM(W18:W23)</f>
        <v>92.0636</v>
      </c>
    </row>
    <row r="26" customFormat="false" ht="15" hidden="false" customHeight="true" outlineLevel="0" collapsed="false">
      <c r="B26" s="8" t="s">
        <v>941</v>
      </c>
      <c r="E26" s="31" t="n">
        <f aca="false">SUMPRODUCT(K18:K23,U18:U23)</f>
        <v>21.38</v>
      </c>
    </row>
    <row r="27" customFormat="false" ht="15" hidden="false" customHeight="true" outlineLevel="0" collapsed="false">
      <c r="B27" s="8" t="s">
        <v>942</v>
      </c>
      <c r="E27" s="31" t="n">
        <f aca="false">SUMPRODUCT(K18:K23,U18:U23,V18:V23)</f>
        <v>38.6136</v>
      </c>
    </row>
    <row r="28" customFormat="false" ht="15" hidden="false" customHeight="true" outlineLevel="0" collapsed="false">
      <c r="B28" s="8" t="s">
        <v>943</v>
      </c>
      <c r="E28" s="31" t="n">
        <f aca="false">E26*CALLE/2</f>
        <v>53.45</v>
      </c>
    </row>
    <row r="29" customFormat="false" ht="15" hidden="false" customHeight="true" outlineLevel="0" collapsed="false">
      <c r="B29" s="8" t="s">
        <v>944</v>
      </c>
      <c r="E29" s="37" t="n">
        <f aca="false">E27+E28</f>
        <v>92.0636</v>
      </c>
    </row>
    <row r="30" customFormat="false" ht="15" hidden="false" customHeight="true" outlineLevel="0" collapsed="false">
      <c r="A30" s="14" t="s">
        <v>945</v>
      </c>
    </row>
    <row r="32" customFormat="false" ht="15" hidden="false" customHeight="true" outlineLevel="0" collapsed="false">
      <c r="A32" s="5" t="s">
        <v>946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customFormat="false" ht="42" hidden="false" customHeight="true" outlineLevel="0" collapsed="false">
      <c r="A33" s="7" t="s">
        <v>130</v>
      </c>
      <c r="B33" s="7" t="s">
        <v>30</v>
      </c>
      <c r="C33" s="7" t="s">
        <v>131</v>
      </c>
      <c r="D33" s="7" t="s">
        <v>899</v>
      </c>
      <c r="E33" s="7" t="s">
        <v>900</v>
      </c>
      <c r="F33" s="7" t="s">
        <v>947</v>
      </c>
      <c r="G33" s="7" t="s">
        <v>948</v>
      </c>
      <c r="H33" s="7" t="s">
        <v>77</v>
      </c>
      <c r="I33" s="7" t="s">
        <v>949</v>
      </c>
      <c r="J33" s="7" t="s">
        <v>950</v>
      </c>
      <c r="K33" s="7" t="s">
        <v>951</v>
      </c>
      <c r="L33" s="7" t="s">
        <v>952</v>
      </c>
      <c r="M33" s="7" t="s">
        <v>953</v>
      </c>
      <c r="N33" s="7" t="s">
        <v>954</v>
      </c>
      <c r="O33" s="7" t="s">
        <v>909</v>
      </c>
      <c r="P33" s="7" t="s">
        <v>134</v>
      </c>
      <c r="Q33" s="7" t="s">
        <v>135</v>
      </c>
      <c r="R33" s="7" t="s">
        <v>955</v>
      </c>
      <c r="S33" s="7" t="s">
        <v>956</v>
      </c>
      <c r="T33" s="7" t="s">
        <v>912</v>
      </c>
      <c r="U33" s="7" t="s">
        <v>957</v>
      </c>
      <c r="V33" s="7" t="s">
        <v>958</v>
      </c>
      <c r="W33" s="7" t="s">
        <v>915</v>
      </c>
      <c r="X33" s="7" t="s">
        <v>959</v>
      </c>
    </row>
    <row r="34" customFormat="false" ht="15" hidden="false" customHeight="true" outlineLevel="0" collapsed="false">
      <c r="A34" s="17" t="s">
        <v>165</v>
      </c>
      <c r="B34" s="11" t="str">
        <f aca="false">Datos!B56</f>
        <v>Fleje LAF 0,9 × 93,05 mm (cúpula 1 kg)</v>
      </c>
      <c r="C34" s="11" t="str">
        <f aca="false">Datos!D56</f>
        <v>Pradecon</v>
      </c>
      <c r="D34" s="30" t="n">
        <v>0.9</v>
      </c>
      <c r="E34" s="22" t="n">
        <v>93.05</v>
      </c>
      <c r="F34" s="11" t="str">
        <f aca="false">Datos!B17</f>
        <v>C1</v>
      </c>
      <c r="G34" s="36" t="n">
        <f aca="false">Datos!E56/Datos!G17</f>
        <v>0.0596944026022936</v>
      </c>
      <c r="H34" s="9" t="n">
        <f aca="false">Datos!D17</f>
        <v>911.7928760985</v>
      </c>
      <c r="I34" s="31" t="n">
        <f aca="false">H34*G34</f>
        <v>54.4289310357271</v>
      </c>
      <c r="J34" s="34" t="n">
        <f aca="false">Datos!F17</f>
        <v>3647.171504394</v>
      </c>
      <c r="K34" s="32" t="n">
        <f aca="false">Datos!E17</f>
        <v>4</v>
      </c>
      <c r="L34" s="29" t="n">
        <v>1</v>
      </c>
      <c r="M34" s="38" t="n">
        <f aca="false">J34*G34*L34</f>
        <v>217.715724142908</v>
      </c>
      <c r="N34" s="34" t="n">
        <f aca="false">SQRT(DI_ROLLO^2+4*M34/(PI()*E34*DENS/1000000))</f>
        <v>798.477197868978</v>
      </c>
      <c r="O34" s="31" t="n">
        <f aca="false">M34/I34</f>
        <v>4</v>
      </c>
      <c r="P34" s="32" t="n">
        <f aca="false">Datos!G56</f>
        <v>7</v>
      </c>
      <c r="Q34" s="32" t="n">
        <f aca="false">Datos!H56</f>
        <v>10</v>
      </c>
      <c r="R34" s="31" t="n">
        <f aca="false">Datos!E56/DIAS_ANIO</f>
        <v>50.3971583333333</v>
      </c>
      <c r="S34" s="32" t="n">
        <f aca="false">MAX(1,ROUNDUP(MAX(0,I34*Q34-R34*(P34+Q34)/2)/M34,0))</f>
        <v>1</v>
      </c>
      <c r="T34" s="32" t="n">
        <f aca="false">VLOOKUP(C34,Pedidos!$A$7:$C$60,3,FALSE())</f>
        <v>20</v>
      </c>
      <c r="U34" s="32" t="n">
        <f aca="false">ROUNDUP(I34*T34/M34,0)</f>
        <v>5</v>
      </c>
      <c r="V34" s="33" t="n">
        <f aca="false">S34+U34</f>
        <v>6</v>
      </c>
      <c r="W34" s="31" t="n">
        <f aca="false">V34*M34/1000</f>
        <v>1.30629434485745</v>
      </c>
      <c r="X34" s="8" t="str">
        <f aca="false">IF(M34&lt;=CAP_DESB,"OK","Pasa el desbobinador")</f>
        <v>OK</v>
      </c>
    </row>
    <row r="35" customFormat="false" ht="15" hidden="false" customHeight="true" outlineLevel="0" collapsed="false">
      <c r="A35" s="17" t="s">
        <v>171</v>
      </c>
      <c r="B35" s="11" t="str">
        <f aca="false">Datos!B57</f>
        <v>Fleje LAF 0,9 × 100,6 mm (fondo 1 kg)</v>
      </c>
      <c r="C35" s="11" t="str">
        <f aca="false">Datos!D57</f>
        <v>Pradecon</v>
      </c>
      <c r="D35" s="30" t="n">
        <v>0.9</v>
      </c>
      <c r="E35" s="22" t="n">
        <v>100.6</v>
      </c>
      <c r="F35" s="11" t="str">
        <f aca="false">Datos!B18</f>
        <v>F1</v>
      </c>
      <c r="G35" s="36" t="n">
        <f aca="false">Datos!E57/Datos!G18</f>
        <v>0.0692160486178311</v>
      </c>
      <c r="H35" s="9" t="n">
        <f aca="false">Datos!D18</f>
        <v>911.7928760985</v>
      </c>
      <c r="I35" s="31" t="n">
        <f aca="false">H35*G35</f>
        <v>63.1107000414258</v>
      </c>
      <c r="J35" s="34" t="n">
        <f aca="false">Datos!F18</f>
        <v>3647.171504394</v>
      </c>
      <c r="K35" s="32" t="n">
        <f aca="false">Datos!E18</f>
        <v>4</v>
      </c>
      <c r="L35" s="29" t="n">
        <v>1</v>
      </c>
      <c r="M35" s="38" t="n">
        <f aca="false">J35*G35*L35</f>
        <v>252.442800165703</v>
      </c>
      <c r="N35" s="34" t="n">
        <f aca="false">SQRT(DI_ROLLO^2+4*M35/(PI()*E35*DENS/1000000))</f>
        <v>815.520916821309</v>
      </c>
      <c r="O35" s="31" t="n">
        <f aca="false">M35/I35</f>
        <v>4</v>
      </c>
      <c r="P35" s="32" t="n">
        <f aca="false">Datos!G57</f>
        <v>7</v>
      </c>
      <c r="Q35" s="32" t="n">
        <f aca="false">Datos!H57</f>
        <v>10</v>
      </c>
      <c r="R35" s="31" t="n">
        <f aca="false">Datos!E57/DIAS_ANIO</f>
        <v>58.4358333333333</v>
      </c>
      <c r="S35" s="32" t="n">
        <f aca="false">MAX(1,ROUNDUP(MAX(0,I35*Q35-R35*(P35+Q35)/2)/M35,0))</f>
        <v>1</v>
      </c>
      <c r="T35" s="32" t="n">
        <f aca="false">VLOOKUP(C35,Pedidos!$A$7:$C$60,3,FALSE())</f>
        <v>20</v>
      </c>
      <c r="U35" s="32" t="n">
        <f aca="false">ROUNDUP(I35*T35/M35,0)</f>
        <v>5</v>
      </c>
      <c r="V35" s="33" t="n">
        <f aca="false">S35+U35</f>
        <v>6</v>
      </c>
      <c r="W35" s="31" t="n">
        <f aca="false">V35*M35/1000</f>
        <v>1.51465680099422</v>
      </c>
      <c r="X35" s="8" t="str">
        <f aca="false">IF(M35&lt;=CAP_DESB,"OK","Pasa el desbobinador")</f>
        <v>OK</v>
      </c>
    </row>
    <row r="36" customFormat="false" ht="15" hidden="false" customHeight="true" outlineLevel="0" collapsed="false">
      <c r="A36" s="17" t="s">
        <v>176</v>
      </c>
      <c r="B36" s="11" t="str">
        <f aca="false">Datos!B58</f>
        <v>Fleje LAF 1,25 × 162,1 mm (cúpula 2,5 kg)</v>
      </c>
      <c r="C36" s="11" t="str">
        <f aca="false">Datos!D58</f>
        <v>Pacheco Chapas</v>
      </c>
      <c r="D36" s="30" t="n">
        <v>1.25</v>
      </c>
      <c r="E36" s="22" t="n">
        <v>162.1</v>
      </c>
      <c r="F36" s="11" t="str">
        <f aca="false">Datos!B19</f>
        <v>C2,5</v>
      </c>
      <c r="G36" s="36" t="n">
        <f aca="false">Datos!E58/Datos!G19</f>
        <v>0.253217217370843</v>
      </c>
      <c r="H36" s="9" t="n">
        <f aca="false">Datos!D19</f>
        <v>63.56852299845</v>
      </c>
      <c r="I36" s="31" t="n">
        <f aca="false">H36*G36</f>
        <v>16.096644506042</v>
      </c>
      <c r="J36" s="34" t="n">
        <f aca="false">Datos!F19</f>
        <v>1017.0963679752</v>
      </c>
      <c r="K36" s="32" t="n">
        <f aca="false">Datos!E19</f>
        <v>16</v>
      </c>
      <c r="L36" s="29" t="n">
        <v>1</v>
      </c>
      <c r="M36" s="38" t="n">
        <f aca="false">J36*G36*L36</f>
        <v>257.546312096671</v>
      </c>
      <c r="N36" s="34" t="n">
        <f aca="false">SQRT(DI_ROLLO^2+4*M36/(PI()*E36*DENS/1000000))</f>
        <v>718.166435579269</v>
      </c>
      <c r="O36" s="31" t="n">
        <f aca="false">M36/I36</f>
        <v>16</v>
      </c>
      <c r="P36" s="32" t="n">
        <f aca="false">Datos!G58</f>
        <v>7</v>
      </c>
      <c r="Q36" s="32" t="n">
        <f aca="false">Datos!H58</f>
        <v>10</v>
      </c>
      <c r="R36" s="31" t="n">
        <f aca="false">Datos!E58/DIAS_ANIO</f>
        <v>14.9043</v>
      </c>
      <c r="S36" s="32" t="n">
        <f aca="false">MAX(1,ROUNDUP(MAX(0,I36*Q36-R36*(P36+Q36)/2)/M36,0))</f>
        <v>1</v>
      </c>
      <c r="T36" s="32" t="n">
        <f aca="false">VLOOKUP(C36,Pedidos!$A$7:$C$60,3,FALSE())</f>
        <v>10</v>
      </c>
      <c r="U36" s="32" t="n">
        <f aca="false">ROUNDUP(I36*T36/M36,0)</f>
        <v>1</v>
      </c>
      <c r="V36" s="33" t="n">
        <f aca="false">S36+U36</f>
        <v>2</v>
      </c>
      <c r="W36" s="31" t="n">
        <f aca="false">V36*M36/1000</f>
        <v>0.515092624193343</v>
      </c>
      <c r="X36" s="8" t="str">
        <f aca="false">IF(M36&lt;=CAP_DESB,"OK","Pasa el desbobinador")</f>
        <v>OK</v>
      </c>
    </row>
    <row r="37" customFormat="false" ht="15" hidden="false" customHeight="true" outlineLevel="0" collapsed="false">
      <c r="A37" s="17" t="s">
        <v>182</v>
      </c>
      <c r="B37" s="11" t="str">
        <f aca="false">Datos!B59</f>
        <v>Fleje LAF 1,25 × 146,1 mm (fondo 2,5 kg)</v>
      </c>
      <c r="C37" s="11" t="str">
        <f aca="false">Datos!D59</f>
        <v>Pacheco Chapas</v>
      </c>
      <c r="D37" s="30" t="n">
        <v>1.25</v>
      </c>
      <c r="E37" s="22" t="n">
        <v>146.1</v>
      </c>
      <c r="F37" s="11" t="str">
        <f aca="false">Datos!B20</f>
        <v>F2,5</v>
      </c>
      <c r="G37" s="36" t="n">
        <f aca="false">Datos!E59/Datos!G20</f>
        <v>0.205170441199977</v>
      </c>
      <c r="H37" s="9" t="n">
        <f aca="false">Datos!D20</f>
        <v>63.56852299845</v>
      </c>
      <c r="I37" s="31" t="n">
        <f aca="false">H37*G37</f>
        <v>13.0423819100229</v>
      </c>
      <c r="J37" s="34" t="n">
        <f aca="false">Datos!F20</f>
        <v>1017.0963679752</v>
      </c>
      <c r="K37" s="32" t="n">
        <f aca="false">Datos!E20</f>
        <v>16</v>
      </c>
      <c r="L37" s="29" t="n">
        <v>1</v>
      </c>
      <c r="M37" s="38" t="n">
        <f aca="false">J37*G37*L37</f>
        <v>208.678110560366</v>
      </c>
      <c r="N37" s="34" t="n">
        <f aca="false">SQRT(DI_ROLLO^2+4*M37/(PI()*E37*DENS/1000000))</f>
        <v>699.808961584597</v>
      </c>
      <c r="O37" s="31" t="n">
        <f aca="false">M37/I37</f>
        <v>16</v>
      </c>
      <c r="P37" s="32" t="n">
        <f aca="false">Datos!G59</f>
        <v>7</v>
      </c>
      <c r="Q37" s="32" t="n">
        <f aca="false">Datos!H59</f>
        <v>10</v>
      </c>
      <c r="R37" s="31" t="n">
        <f aca="false">Datos!E59/DIAS_ANIO</f>
        <v>12.0762791666667</v>
      </c>
      <c r="S37" s="32" t="n">
        <f aca="false">MAX(1,ROUNDUP(MAX(0,I37*Q37-R37*(P37+Q37)/2)/M37,0))</f>
        <v>1</v>
      </c>
      <c r="T37" s="32" t="n">
        <f aca="false">VLOOKUP(C37,Pedidos!$A$7:$C$60,3,FALSE())</f>
        <v>10</v>
      </c>
      <c r="U37" s="32" t="n">
        <f aca="false">ROUNDUP(I37*T37/M37,0)</f>
        <v>1</v>
      </c>
      <c r="V37" s="33" t="n">
        <f aca="false">S37+U37</f>
        <v>2</v>
      </c>
      <c r="W37" s="31" t="n">
        <f aca="false">V37*M37/1000</f>
        <v>0.417356221120732</v>
      </c>
      <c r="X37" s="8" t="str">
        <f aca="false">IF(M37&lt;=CAP_DESB,"OK","Pasa el desbobinador")</f>
        <v>OK</v>
      </c>
    </row>
    <row r="38" customFormat="false" ht="15" hidden="false" customHeight="true" outlineLevel="0" collapsed="false">
      <c r="A38" s="17" t="s">
        <v>186</v>
      </c>
      <c r="B38" s="11" t="str">
        <f aca="false">Datos!B60</f>
        <v>Fleje LAF 1,6 × 204,2 mm (cúpula 5 kg)</v>
      </c>
      <c r="C38" s="11" t="str">
        <f aca="false">Datos!D60</f>
        <v>Pacheco Chapas</v>
      </c>
      <c r="D38" s="30" t="n">
        <v>1.6</v>
      </c>
      <c r="E38" s="22" t="n">
        <v>204.2</v>
      </c>
      <c r="F38" s="11" t="str">
        <f aca="false">Datos!B21</f>
        <v>C5</v>
      </c>
      <c r="G38" s="36" t="n">
        <f aca="false">Datos!E60/Datos!G21</f>
        <v>0.513981445941038</v>
      </c>
      <c r="H38" s="9" t="n">
        <f aca="false">Datos!D21</f>
        <v>287.3369642445</v>
      </c>
      <c r="I38" s="31" t="n">
        <f aca="false">H38*G38</f>
        <v>147.685868354696</v>
      </c>
      <c r="J38" s="34" t="n">
        <f aca="false">Datos!F21</f>
        <v>2298.695713956</v>
      </c>
      <c r="K38" s="32" t="n">
        <f aca="false">Datos!E21</f>
        <v>8</v>
      </c>
      <c r="L38" s="29" t="n">
        <v>1</v>
      </c>
      <c r="M38" s="38" t="n">
        <f aca="false">J38*G38*L38</f>
        <v>1181.48694683757</v>
      </c>
      <c r="N38" s="34" t="n">
        <f aca="false">SQRT(DI_ROLLO^2+4*M38/(PI()*E38*DENS/1000000))</f>
        <v>1093.85530626536</v>
      </c>
      <c r="O38" s="31" t="n">
        <f aca="false">M38/I38</f>
        <v>8</v>
      </c>
      <c r="P38" s="32" t="n">
        <f aca="false">Datos!G60</f>
        <v>7</v>
      </c>
      <c r="Q38" s="32" t="n">
        <f aca="false">Datos!H60</f>
        <v>10</v>
      </c>
      <c r="R38" s="31" t="n">
        <f aca="false">Datos!E60/DIAS_ANIO</f>
        <v>136.746175</v>
      </c>
      <c r="S38" s="32" t="n">
        <f aca="false">MAX(1,ROUNDUP(MAX(0,I38*Q38-R38*(P38+Q38)/2)/M38,0))</f>
        <v>1</v>
      </c>
      <c r="T38" s="32" t="n">
        <f aca="false">VLOOKUP(C38,Pedidos!$A$7:$C$60,3,FALSE())</f>
        <v>10</v>
      </c>
      <c r="U38" s="32" t="n">
        <f aca="false">ROUNDUP(I38*T38/M38,0)</f>
        <v>2</v>
      </c>
      <c r="V38" s="33" t="n">
        <f aca="false">S38+U38</f>
        <v>3</v>
      </c>
      <c r="W38" s="31" t="n">
        <f aca="false">V38*M38/1000</f>
        <v>3.54446084051271</v>
      </c>
      <c r="X38" s="8" t="str">
        <f aca="false">IF(M38&lt;=CAP_DESB,"OK","Pasa el desbobinador")</f>
        <v>OK</v>
      </c>
    </row>
    <row r="39" customFormat="false" ht="15" hidden="false" customHeight="true" outlineLevel="0" collapsed="false">
      <c r="A39" s="17" t="s">
        <v>191</v>
      </c>
      <c r="B39" s="11" t="str">
        <f aca="false">Datos!B61</f>
        <v>Fleje LAF 1,6 × 177,2 mm (fondo 5 kg)</v>
      </c>
      <c r="C39" s="11" t="str">
        <f aca="false">Datos!D61</f>
        <v>Pacheco Chapas</v>
      </c>
      <c r="D39" s="30" t="n">
        <v>1.6</v>
      </c>
      <c r="E39" s="22" t="n">
        <v>177.2</v>
      </c>
      <c r="F39" s="11" t="str">
        <f aca="false">Datos!B22</f>
        <v>F5</v>
      </c>
      <c r="G39" s="36" t="n">
        <f aca="false">Datos!E61/Datos!G22</f>
        <v>0.385627088763837</v>
      </c>
      <c r="H39" s="9" t="n">
        <f aca="false">Datos!D22</f>
        <v>287.3369642445</v>
      </c>
      <c r="I39" s="31" t="n">
        <f aca="false">H39*G39</f>
        <v>110.804917015845</v>
      </c>
      <c r="J39" s="34" t="n">
        <f aca="false">Datos!F22</f>
        <v>2298.695713956</v>
      </c>
      <c r="K39" s="32" t="n">
        <f aca="false">Datos!E22</f>
        <v>8</v>
      </c>
      <c r="L39" s="29" t="n">
        <v>1</v>
      </c>
      <c r="M39" s="38" t="n">
        <f aca="false">J39*G39*L39</f>
        <v>886.439336126761</v>
      </c>
      <c r="N39" s="34" t="n">
        <f aca="false">SQRT(DI_ROLLO^2+4*M39/(PI()*E39*DENS/1000000))</f>
        <v>1034.14057961056</v>
      </c>
      <c r="O39" s="31" t="n">
        <f aca="false">M39/I39</f>
        <v>8</v>
      </c>
      <c r="P39" s="32" t="n">
        <f aca="false">Datos!G61</f>
        <v>7</v>
      </c>
      <c r="Q39" s="32" t="n">
        <f aca="false">Datos!H61</f>
        <v>10</v>
      </c>
      <c r="R39" s="31" t="n">
        <f aca="false">Datos!E61/DIAS_ANIO</f>
        <v>102.597145833333</v>
      </c>
      <c r="S39" s="32" t="n">
        <f aca="false">MAX(1,ROUNDUP(MAX(0,I39*Q39-R39*(P39+Q39)/2)/M39,0))</f>
        <v>1</v>
      </c>
      <c r="T39" s="32" t="n">
        <f aca="false">VLOOKUP(C39,Pedidos!$A$7:$C$60,3,FALSE())</f>
        <v>10</v>
      </c>
      <c r="U39" s="32" t="n">
        <f aca="false">ROUNDUP(I39*T39/M39,0)</f>
        <v>2</v>
      </c>
      <c r="V39" s="33" t="n">
        <f aca="false">S39+U39</f>
        <v>3</v>
      </c>
      <c r="W39" s="31" t="n">
        <f aca="false">V39*M39/1000</f>
        <v>2.65931800838028</v>
      </c>
      <c r="X39" s="8" t="str">
        <f aca="false">IF(M39&lt;=CAP_DESB,"OK","Pasa el desbobinador")</f>
        <v>OK</v>
      </c>
    </row>
    <row r="40" customFormat="false" ht="15" hidden="false" customHeight="true" outlineLevel="0" collapsed="false">
      <c r="A40" s="17" t="s">
        <v>195</v>
      </c>
      <c r="B40" s="11" t="str">
        <f aca="false">Datos!B62</f>
        <v>Fleje LAF 2,0 × 238,7 mm (cúpula 10 kg)</v>
      </c>
      <c r="C40" s="11" t="str">
        <f aca="false">Datos!D62</f>
        <v>Pacheco Chapas</v>
      </c>
      <c r="D40" s="30" t="n">
        <v>2</v>
      </c>
      <c r="E40" s="22" t="n">
        <v>238.7</v>
      </c>
      <c r="F40" s="11" t="str">
        <f aca="false">Datos!B23</f>
        <v>C10</v>
      </c>
      <c r="G40" s="36" t="n">
        <f aca="false">Datos!E62/Datos!G23</f>
        <v>0.880966458603422</v>
      </c>
      <c r="H40" s="9" t="n">
        <f aca="false">Datos!D23</f>
        <v>17.38317635415</v>
      </c>
      <c r="I40" s="31" t="n">
        <f aca="false">H40*G40</f>
        <v>15.3139953119943</v>
      </c>
      <c r="J40" s="34" t="n">
        <f aca="false">Datos!F23</f>
        <v>278.1308216664</v>
      </c>
      <c r="K40" s="32" t="n">
        <f aca="false">Datos!E23</f>
        <v>16</v>
      </c>
      <c r="L40" s="29" t="n">
        <v>1</v>
      </c>
      <c r="M40" s="38" t="n">
        <f aca="false">J40*G40*L40</f>
        <v>245.023924991908</v>
      </c>
      <c r="N40" s="34" t="n">
        <f aca="false">SQRT(DI_ROLLO^2+4*M40/(PI()*E40*DENS/1000000))</f>
        <v>651.580550161121</v>
      </c>
      <c r="O40" s="31" t="n">
        <f aca="false">M40/I40</f>
        <v>16</v>
      </c>
      <c r="P40" s="32" t="n">
        <f aca="false">Datos!G62</f>
        <v>7</v>
      </c>
      <c r="Q40" s="32" t="n">
        <f aca="false">Datos!H62</f>
        <v>10</v>
      </c>
      <c r="R40" s="31" t="n">
        <f aca="false">Datos!E62/DIAS_ANIO</f>
        <v>14.179625</v>
      </c>
      <c r="S40" s="32" t="n">
        <f aca="false">MAX(1,ROUNDUP(MAX(0,I40*Q40-R40*(P40+Q40)/2)/M40,0))</f>
        <v>1</v>
      </c>
      <c r="T40" s="32" t="n">
        <f aca="false">VLOOKUP(C40,Pedidos!$A$7:$C$60,3,FALSE())</f>
        <v>10</v>
      </c>
      <c r="U40" s="32" t="n">
        <f aca="false">ROUNDUP(I40*T40/M40,0)</f>
        <v>1</v>
      </c>
      <c r="V40" s="33" t="n">
        <f aca="false">S40+U40</f>
        <v>2</v>
      </c>
      <c r="W40" s="31" t="n">
        <f aca="false">V40*M40/1000</f>
        <v>0.490047849983817</v>
      </c>
      <c r="X40" s="8" t="str">
        <f aca="false">IF(M40&lt;=CAP_DESB,"OK","Pasa el desbobinador")</f>
        <v>OK</v>
      </c>
    </row>
    <row r="41" customFormat="false" ht="15" hidden="false" customHeight="true" outlineLevel="0" collapsed="false">
      <c r="A41" s="17" t="s">
        <v>200</v>
      </c>
      <c r="B41" s="11" t="str">
        <f aca="false">Datos!B63</f>
        <v>Fleje LAF 2,0 × 205 mm (fondo 10 kg)</v>
      </c>
      <c r="C41" s="11" t="str">
        <f aca="false">Datos!D63</f>
        <v>Pacheco Chapas</v>
      </c>
      <c r="D41" s="30" t="n">
        <v>2</v>
      </c>
      <c r="E41" s="22" t="n">
        <v>205</v>
      </c>
      <c r="F41" s="11" t="str">
        <f aca="false">Datos!B24</f>
        <v>F10</v>
      </c>
      <c r="G41" s="36" t="n">
        <f aca="false">Datos!E63/Datos!G24</f>
        <v>0.643700063785812</v>
      </c>
      <c r="H41" s="9" t="n">
        <f aca="false">Datos!D24</f>
        <v>17.38317635415</v>
      </c>
      <c r="I41" s="31" t="n">
        <f aca="false">H41*G41</f>
        <v>11.1895517279664</v>
      </c>
      <c r="J41" s="34" t="n">
        <f aca="false">Datos!F24</f>
        <v>278.1308216664</v>
      </c>
      <c r="K41" s="32" t="n">
        <f aca="false">Datos!E24</f>
        <v>16</v>
      </c>
      <c r="L41" s="29" t="n">
        <v>1</v>
      </c>
      <c r="M41" s="38" t="n">
        <f aca="false">J41*G41*L41</f>
        <v>179.032827647462</v>
      </c>
      <c r="N41" s="34" t="n">
        <f aca="false">SQRT(DI_ROLLO^2+4*M41/(PI()*E41*DENS/1000000))</f>
        <v>632.230083386317</v>
      </c>
      <c r="O41" s="31" t="n">
        <f aca="false">M41/I41</f>
        <v>16</v>
      </c>
      <c r="P41" s="32" t="n">
        <f aca="false">Datos!G63</f>
        <v>7</v>
      </c>
      <c r="Q41" s="32" t="n">
        <f aca="false">Datos!H63</f>
        <v>10</v>
      </c>
      <c r="R41" s="31" t="n">
        <f aca="false">Datos!E63/DIAS_ANIO</f>
        <v>10.3606958333333</v>
      </c>
      <c r="S41" s="32" t="n">
        <f aca="false">MAX(1,ROUNDUP(MAX(0,I41*Q41-R41*(P41+Q41)/2)/M41,0))</f>
        <v>1</v>
      </c>
      <c r="T41" s="32" t="n">
        <f aca="false">VLOOKUP(C41,Pedidos!$A$7:$C$60,3,FALSE())</f>
        <v>10</v>
      </c>
      <c r="U41" s="32" t="n">
        <f aca="false">ROUNDUP(I41*T41/M41,0)</f>
        <v>1</v>
      </c>
      <c r="V41" s="33" t="n">
        <f aca="false">S41+U41</f>
        <v>2</v>
      </c>
      <c r="W41" s="31" t="n">
        <f aca="false">V41*M41/1000</f>
        <v>0.358065655294924</v>
      </c>
      <c r="X41" s="8" t="str">
        <f aca="false">IF(M41&lt;=CAP_DESB,"OK","Pasa el desbobinador")</f>
        <v>OK</v>
      </c>
    </row>
    <row r="42" customFormat="false" ht="15" hidden="false" customHeight="true" outlineLevel="0" collapsed="false">
      <c r="B42" s="17" t="s">
        <v>917</v>
      </c>
      <c r="V42" s="35" t="n">
        <f aca="false">SUM(V34:V41)</f>
        <v>26</v>
      </c>
      <c r="W42" s="23" t="n">
        <f aca="false">SUM(W34:W41)</f>
        <v>10.8052923453375</v>
      </c>
    </row>
    <row r="43" customFormat="false" ht="15" hidden="false" customHeight="true" outlineLevel="0" collapsed="false">
      <c r="A43" s="14" t="s">
        <v>960</v>
      </c>
    </row>
    <row r="45" customFormat="false" ht="15" hidden="false" customHeight="true" outlineLevel="0" collapsed="false">
      <c r="A45" s="5" t="s">
        <v>961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customFormat="false" ht="15" hidden="false" customHeight="true" outlineLevel="0" collapsed="false">
      <c r="B46" s="3" t="s">
        <v>962</v>
      </c>
    </row>
    <row r="47" customFormat="false" ht="15" hidden="false" customHeight="true" outlineLevel="0" collapsed="false">
      <c r="B47" s="3" t="s">
        <v>963</v>
      </c>
    </row>
    <row r="48" customFormat="false" ht="15" hidden="false" customHeight="true" outlineLevel="0" collapsed="false">
      <c r="B48" s="3" t="s">
        <v>964</v>
      </c>
    </row>
    <row r="50" customFormat="false" ht="15" hidden="false" customHeight="true" outlineLevel="0" collapsed="false">
      <c r="B50" s="8" t="s">
        <v>965</v>
      </c>
      <c r="L50" s="34" t="n">
        <f aca="false">MAX(M34:M41)</f>
        <v>1181.48694683757</v>
      </c>
    </row>
    <row r="51" customFormat="false" ht="15" hidden="false" customHeight="true" outlineLevel="0" collapsed="false">
      <c r="B51" s="8" t="s">
        <v>966</v>
      </c>
      <c r="L51" s="34" t="n">
        <f aca="false">MAX(N34:N41)</f>
        <v>1093.85530626536</v>
      </c>
    </row>
    <row r="52" customFormat="false" ht="15" hidden="false" customHeight="true" outlineLevel="0" collapsed="false">
      <c r="B52" s="8" t="s">
        <v>967</v>
      </c>
      <c r="L52" s="39" t="str">
        <f aca="false">IFERROR(INDEX(Parametros!$A$56:$A$59,MATCH("Sí",Parametros!$D$56:$D$59,0)),"Ninguno: pedir a medida")</f>
        <v>Tymbia M103070075 en apilador eléctrico de 2,5 t</v>
      </c>
    </row>
    <row r="53" customFormat="false" ht="15" hidden="false" customHeight="true" outlineLevel="0" collapsed="false">
      <c r="B53" s="8" t="s">
        <v>968</v>
      </c>
      <c r="L53" s="8" t="str">
        <f aca="false">IFERROR(TEXT(INDEX(Parametros!$B$56:$B$59,MATCH("Sí",Parametros!$D$56:$D$59,0)),"#,##0")&amp;" kg · Ø hasta "&amp;TEXT(INDEX(Parametros!$C$56:$C$59,MATCH("Sí",Parametros!$D$56:$D$59,0)),"#,##0")&amp;" mm","—")</f>
        <v>1,300 kg · Ø hasta 1,100 mm</v>
      </c>
    </row>
    <row r="54" customFormat="false" ht="15" hidden="false" customHeight="true" outlineLevel="0" collapsed="false">
      <c r="B54" s="8" t="s">
        <v>969</v>
      </c>
      <c r="L54" s="34" t="n">
        <f aca="false">L51+2*PINZA_BRAZO</f>
        <v>1253.85530626536</v>
      </c>
    </row>
    <row r="55" customFormat="false" ht="15" hidden="false" customHeight="true" outlineLevel="0" collapsed="false">
      <c r="A55" s="5" t="s">
        <v>970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customFormat="false" ht="42" hidden="false" customHeight="true" outlineLevel="0" collapsed="false">
      <c r="A56" s="7" t="s">
        <v>130</v>
      </c>
      <c r="B56" s="7" t="s">
        <v>953</v>
      </c>
      <c r="C56" s="7" t="s">
        <v>971</v>
      </c>
      <c r="D56" s="7" t="s">
        <v>954</v>
      </c>
      <c r="E56" s="7" t="s">
        <v>972</v>
      </c>
      <c r="F56" s="7" t="s">
        <v>973</v>
      </c>
      <c r="G56" s="7" t="s">
        <v>974</v>
      </c>
      <c r="H56" s="7" t="s">
        <v>975</v>
      </c>
      <c r="I56" s="7" t="s">
        <v>976</v>
      </c>
      <c r="J56" s="7" t="s">
        <v>977</v>
      </c>
      <c r="K56" s="7" t="s">
        <v>978</v>
      </c>
      <c r="L56" s="7" t="s">
        <v>979</v>
      </c>
      <c r="M56" s="7" t="s">
        <v>980</v>
      </c>
      <c r="N56" s="7" t="s">
        <v>981</v>
      </c>
      <c r="O56" s="7" t="s">
        <v>982</v>
      </c>
      <c r="P56" s="7" t="s">
        <v>983</v>
      </c>
      <c r="Q56" s="7" t="s">
        <v>984</v>
      </c>
      <c r="R56" s="7" t="s">
        <v>985</v>
      </c>
    </row>
    <row r="57" customFormat="false" ht="15" hidden="false" customHeight="true" outlineLevel="0" collapsed="false">
      <c r="A57" s="17" t="str">
        <f aca="false">A34</f>
        <v>MP-05</v>
      </c>
      <c r="B57" s="34" t="n">
        <f aca="false">M34</f>
        <v>217.715724142908</v>
      </c>
      <c r="C57" s="32" t="n">
        <f aca="false">E34</f>
        <v>93.05</v>
      </c>
      <c r="D57" s="34" t="n">
        <f aca="false">N34</f>
        <v>798.477197868978</v>
      </c>
      <c r="E57" s="32" t="n">
        <f aca="false">V34</f>
        <v>6</v>
      </c>
      <c r="F57" s="32" t="n">
        <f aca="false">INT(KG_POS/B57)</f>
        <v>4</v>
      </c>
      <c r="G57" s="32" t="n">
        <f aca="false">INT(H_NIV/(C57+SEP_ROLLO))</f>
        <v>5</v>
      </c>
      <c r="H57" s="32" t="n">
        <f aca="false">INT(REL_ROLLO*D57/(C57+SEP_ROLLO))</f>
        <v>6</v>
      </c>
      <c r="I57" s="33" t="n">
        <f aca="false">MAX(1,MIN(F57,G57,H57))</f>
        <v>4</v>
      </c>
      <c r="J57" s="8" t="str">
        <f aca="false">IF(B57&lt;=KG_POS,"Niveles altos","Solo en el piso")</f>
        <v>Niveles altos</v>
      </c>
      <c r="K57" s="32" t="n">
        <f aca="false">ROUNDUP(E57/I57,0)</f>
        <v>2</v>
      </c>
      <c r="L57" s="34" t="n">
        <f aca="false">MIN(E57,I57)*B57</f>
        <v>870.862896571634</v>
      </c>
      <c r="M57" s="31" t="n">
        <f aca="false">(MIN(E57,I57)-1)*B57*9.81/(PI()/4*(D57^2-DI_ROLLO^2)/1000000)/1000</f>
        <v>21.496922775</v>
      </c>
      <c r="N57" s="32" t="n">
        <f aca="false">MIN(E57,I57)*(C57+SEP_ROLLO)</f>
        <v>472.2</v>
      </c>
      <c r="O57" s="32" t="n">
        <f aca="false">MAX(0,(D57-PAL_FRENTE)/2)</f>
        <v>0</v>
      </c>
      <c r="P57" s="40" t="n">
        <f aca="false">PI()/4*D57^2/(PAL_FRENTE*PAL_FONDO)</f>
        <v>0.417285863549809</v>
      </c>
      <c r="Q57" s="11" t="str">
        <f aca="false">IF(D57&lt;=PAL_FRENTE,"Entra en el pallet",IF(O57&lt;=HUECO/2,"Vuela "&amp;TEXT(O57,"0")&amp;" mm por lado, dentro del hueco","No entra: pallet de 1.200 de frente"))</f>
        <v>Entra en el pallet</v>
      </c>
      <c r="R57" s="34" t="n">
        <f aca="false">D57+2*PINZA_BRAZO</f>
        <v>958.477197868978</v>
      </c>
    </row>
    <row r="58" customFormat="false" ht="15" hidden="false" customHeight="true" outlineLevel="0" collapsed="false">
      <c r="A58" s="17" t="str">
        <f aca="false">A35</f>
        <v>MP-13</v>
      </c>
      <c r="B58" s="34" t="n">
        <f aca="false">M35</f>
        <v>252.442800165703</v>
      </c>
      <c r="C58" s="32" t="n">
        <f aca="false">E35</f>
        <v>100.6</v>
      </c>
      <c r="D58" s="34" t="n">
        <f aca="false">N35</f>
        <v>815.520916821309</v>
      </c>
      <c r="E58" s="32" t="n">
        <f aca="false">V35</f>
        <v>6</v>
      </c>
      <c r="F58" s="32" t="n">
        <f aca="false">INT(KG_POS/B58)</f>
        <v>3</v>
      </c>
      <c r="G58" s="32" t="n">
        <f aca="false">INT(H_NIV/(C58+SEP_ROLLO))</f>
        <v>5</v>
      </c>
      <c r="H58" s="32" t="n">
        <f aca="false">INT(REL_ROLLO*D58/(C58+SEP_ROLLO))</f>
        <v>6</v>
      </c>
      <c r="I58" s="33" t="n">
        <f aca="false">MAX(1,MIN(F58,G58,H58))</f>
        <v>3</v>
      </c>
      <c r="J58" s="8" t="str">
        <f aca="false">IF(B58&lt;=KG_POS,"Niveles altos","Solo en el piso")</f>
        <v>Niveles altos</v>
      </c>
      <c r="K58" s="32" t="n">
        <f aca="false">ROUNDUP(E58/I58,0)</f>
        <v>2</v>
      </c>
      <c r="L58" s="34" t="n">
        <f aca="false">MIN(E58,I58)*B58</f>
        <v>757.32840049711</v>
      </c>
      <c r="M58" s="31" t="n">
        <f aca="false">(MIN(E58,I58)-1)*B58*9.81/(PI()/4*(D58^2-DI_ROLLO^2)/1000000)/1000</f>
        <v>15.4941102</v>
      </c>
      <c r="N58" s="32" t="n">
        <f aca="false">MIN(E58,I58)*(C58+SEP_ROLLO)</f>
        <v>376.8</v>
      </c>
      <c r="O58" s="32" t="n">
        <f aca="false">MAX(0,(D58-PAL_FRENTE)/2)</f>
        <v>0</v>
      </c>
      <c r="P58" s="40" t="n">
        <f aca="false">PI()/4*D58^2/(PAL_FRENTE*PAL_FONDO)</f>
        <v>0.435290154500742</v>
      </c>
      <c r="Q58" s="11" t="str">
        <f aca="false">IF(D58&lt;=PAL_FRENTE,"Entra en el pallet",IF(O58&lt;=HUECO/2,"Vuela "&amp;TEXT(O58,"0")&amp;" mm por lado, dentro del hueco","No entra: pallet de 1.200 de frente"))</f>
        <v>Entra en el pallet</v>
      </c>
      <c r="R58" s="34" t="n">
        <f aca="false">D58+2*PINZA_BRAZO</f>
        <v>975.520916821309</v>
      </c>
    </row>
    <row r="59" customFormat="false" ht="15" hidden="false" customHeight="true" outlineLevel="0" collapsed="false">
      <c r="A59" s="17" t="str">
        <f aca="false">A36</f>
        <v>MP-06</v>
      </c>
      <c r="B59" s="34" t="n">
        <f aca="false">M36</f>
        <v>257.546312096671</v>
      </c>
      <c r="C59" s="32" t="n">
        <f aca="false">E36</f>
        <v>162.1</v>
      </c>
      <c r="D59" s="34" t="n">
        <f aca="false">N36</f>
        <v>718.166435579269</v>
      </c>
      <c r="E59" s="32" t="n">
        <f aca="false">V36</f>
        <v>2</v>
      </c>
      <c r="F59" s="32" t="n">
        <f aca="false">INT(KG_POS/B59)</f>
        <v>3</v>
      </c>
      <c r="G59" s="32" t="n">
        <f aca="false">INT(H_NIV/(C59+SEP_ROLLO))</f>
        <v>3</v>
      </c>
      <c r="H59" s="32" t="n">
        <f aca="false">INT(REL_ROLLO*D59/(C59+SEP_ROLLO))</f>
        <v>3</v>
      </c>
      <c r="I59" s="33" t="n">
        <f aca="false">MAX(1,MIN(F59,G59,H59))</f>
        <v>3</v>
      </c>
      <c r="J59" s="8" t="str">
        <f aca="false">IF(B59&lt;=KG_POS,"Niveles altos","Solo en el piso")</f>
        <v>Niveles altos</v>
      </c>
      <c r="K59" s="32" t="n">
        <f aca="false">ROUNDUP(E59/I59,0)</f>
        <v>1</v>
      </c>
      <c r="L59" s="34" t="n">
        <f aca="false">MIN(E59,I59)*B59</f>
        <v>515.092624193342</v>
      </c>
      <c r="M59" s="31" t="n">
        <f aca="false">(MIN(E59,I59)-1)*B59*9.81/(PI()/4*(D59^2-DI_ROLLO^2)/1000000)/1000</f>
        <v>12.48307785</v>
      </c>
      <c r="N59" s="32" t="n">
        <f aca="false">MIN(E59,I59)*(C59+SEP_ROLLO)</f>
        <v>374.2</v>
      </c>
      <c r="O59" s="32" t="n">
        <f aca="false">MAX(0,(D59-PAL_FRENTE)/2)</f>
        <v>0</v>
      </c>
      <c r="P59" s="40" t="n">
        <f aca="false">PI()/4*D59^2/(PAL_FRENTE*PAL_FONDO)</f>
        <v>0.337566113230165</v>
      </c>
      <c r="Q59" s="11" t="str">
        <f aca="false">IF(D59&lt;=PAL_FRENTE,"Entra en el pallet",IF(O59&lt;=HUECO/2,"Vuela "&amp;TEXT(O59,"0")&amp;" mm por lado, dentro del hueco","No entra: pallet de 1.200 de frente"))</f>
        <v>Entra en el pallet</v>
      </c>
      <c r="R59" s="34" t="n">
        <f aca="false">D59+2*PINZA_BRAZO</f>
        <v>878.166435579269</v>
      </c>
    </row>
    <row r="60" customFormat="false" ht="15" hidden="false" customHeight="true" outlineLevel="0" collapsed="false">
      <c r="A60" s="17" t="str">
        <f aca="false">A37</f>
        <v>MP-14</v>
      </c>
      <c r="B60" s="34" t="n">
        <f aca="false">M37</f>
        <v>208.678110560366</v>
      </c>
      <c r="C60" s="32" t="n">
        <f aca="false">E37</f>
        <v>146.1</v>
      </c>
      <c r="D60" s="34" t="n">
        <f aca="false">N37</f>
        <v>699.808961584597</v>
      </c>
      <c r="E60" s="32" t="n">
        <f aca="false">V37</f>
        <v>2</v>
      </c>
      <c r="F60" s="32" t="n">
        <f aca="false">INT(KG_POS/B60)</f>
        <v>4</v>
      </c>
      <c r="G60" s="32" t="n">
        <f aca="false">INT(H_NIV/(C60+SEP_ROLLO))</f>
        <v>4</v>
      </c>
      <c r="H60" s="32" t="n">
        <f aca="false">INT(REL_ROLLO*D60/(C60+SEP_ROLLO))</f>
        <v>4</v>
      </c>
      <c r="I60" s="33" t="n">
        <f aca="false">MAX(1,MIN(F60,G60,H60))</f>
        <v>4</v>
      </c>
      <c r="J60" s="8" t="str">
        <f aca="false">IF(B60&lt;=KG_POS,"Niveles altos","Solo en el piso")</f>
        <v>Niveles altos</v>
      </c>
      <c r="K60" s="32" t="n">
        <f aca="false">ROUNDUP(E60/I60,0)</f>
        <v>1</v>
      </c>
      <c r="L60" s="34" t="n">
        <f aca="false">MIN(E60,I60)*B60</f>
        <v>417.356221120732</v>
      </c>
      <c r="M60" s="31" t="n">
        <f aca="false">(MIN(E60,I60)-1)*B60*9.81/(PI()/4*(D60^2-DI_ROLLO^2)/1000000)/1000</f>
        <v>11.25094185</v>
      </c>
      <c r="N60" s="32" t="n">
        <f aca="false">MIN(E60,I60)*(C60+SEP_ROLLO)</f>
        <v>342.2</v>
      </c>
      <c r="O60" s="32" t="n">
        <f aca="false">MAX(0,(D60-PAL_FRENTE)/2)</f>
        <v>0</v>
      </c>
      <c r="P60" s="40" t="n">
        <f aca="false">PI()/4*D60^2/(PAL_FRENTE*PAL_FONDO)</f>
        <v>0.320529225849627</v>
      </c>
      <c r="Q60" s="11" t="str">
        <f aca="false">IF(D60&lt;=PAL_FRENTE,"Entra en el pallet",IF(O60&lt;=HUECO/2,"Vuela "&amp;TEXT(O60,"0")&amp;" mm por lado, dentro del hueco","No entra: pallet de 1.200 de frente"))</f>
        <v>Entra en el pallet</v>
      </c>
      <c r="R60" s="34" t="n">
        <f aca="false">D60+2*PINZA_BRAZO</f>
        <v>859.808961584597</v>
      </c>
    </row>
    <row r="61" customFormat="false" ht="15" hidden="false" customHeight="true" outlineLevel="0" collapsed="false">
      <c r="A61" s="17" t="str">
        <f aca="false">A38</f>
        <v>MP-07</v>
      </c>
      <c r="B61" s="34" t="n">
        <f aca="false">M38</f>
        <v>1181.48694683757</v>
      </c>
      <c r="C61" s="32" t="n">
        <f aca="false">E38</f>
        <v>204.2</v>
      </c>
      <c r="D61" s="34" t="n">
        <f aca="false">N38</f>
        <v>1093.85530626536</v>
      </c>
      <c r="E61" s="32" t="n">
        <f aca="false">V38</f>
        <v>3</v>
      </c>
      <c r="F61" s="32" t="n">
        <f aca="false">INT(KG_POS/B61)</f>
        <v>0</v>
      </c>
      <c r="G61" s="32" t="n">
        <f aca="false">INT(H_NIV/(C61+SEP_ROLLO))</f>
        <v>3</v>
      </c>
      <c r="H61" s="32" t="n">
        <f aca="false">INT(REL_ROLLO*D61/(C61+SEP_ROLLO))</f>
        <v>4</v>
      </c>
      <c r="I61" s="33" t="n">
        <f aca="false">MAX(1,MIN(F61,G61,H61))</f>
        <v>1</v>
      </c>
      <c r="J61" s="8" t="str">
        <f aca="false">IF(B61&lt;=KG_POS,"Niveles altos","Solo en el piso")</f>
        <v>Solo en el piso</v>
      </c>
      <c r="K61" s="32" t="n">
        <f aca="false">ROUNDUP(E61/I61,0)</f>
        <v>3</v>
      </c>
      <c r="L61" s="34" t="n">
        <f aca="false">MIN(E61,I61)*B61</f>
        <v>1181.48694683757</v>
      </c>
      <c r="M61" s="31" t="n">
        <f aca="false">(MIN(E61,I61)-1)*B61*9.81/(PI()/4*(D61^2-DI_ROLLO^2)/1000000)/1000</f>
        <v>0</v>
      </c>
      <c r="N61" s="32" t="n">
        <f aca="false">MIN(E61,I61)*(C61+SEP_ROLLO)</f>
        <v>229.2</v>
      </c>
      <c r="O61" s="32" t="n">
        <f aca="false">MAX(0,(D61-PAL_FRENTE)/2)</f>
        <v>46.9276531326782</v>
      </c>
      <c r="P61" s="40" t="n">
        <f aca="false">PI()/4*D61^2/(PAL_FRENTE*PAL_FONDO)</f>
        <v>0.783120136343338</v>
      </c>
      <c r="Q61" s="11" t="str">
        <f aca="false">IF(D61&lt;=PAL_FRENTE,"Entra en el pallet",IF(O61&lt;=HUECO/2,"Vuela "&amp;TEXT(O61,"0")&amp;" mm por lado, dentro del hueco","No entra: pallet de 1.200 de frente"))</f>
        <v>Vuela 47 mm por lado, dentro del hueco</v>
      </c>
      <c r="R61" s="34" t="n">
        <f aca="false">D61+2*PINZA_BRAZO</f>
        <v>1253.85530626536</v>
      </c>
    </row>
    <row r="62" customFormat="false" ht="15" hidden="false" customHeight="true" outlineLevel="0" collapsed="false">
      <c r="A62" s="17" t="str">
        <f aca="false">A39</f>
        <v>MP-08</v>
      </c>
      <c r="B62" s="34" t="n">
        <f aca="false">M39</f>
        <v>886.439336126761</v>
      </c>
      <c r="C62" s="32" t="n">
        <f aca="false">E39</f>
        <v>177.2</v>
      </c>
      <c r="D62" s="34" t="n">
        <f aca="false">N39</f>
        <v>1034.14057961056</v>
      </c>
      <c r="E62" s="32" t="n">
        <f aca="false">V39</f>
        <v>3</v>
      </c>
      <c r="F62" s="32" t="n">
        <f aca="false">INT(KG_POS/B62)</f>
        <v>1</v>
      </c>
      <c r="G62" s="32" t="n">
        <f aca="false">INT(H_NIV/(C62+SEP_ROLLO))</f>
        <v>3</v>
      </c>
      <c r="H62" s="32" t="n">
        <f aca="false">INT(REL_ROLLO*D62/(C62+SEP_ROLLO))</f>
        <v>5</v>
      </c>
      <c r="I62" s="33" t="n">
        <f aca="false">MAX(1,MIN(F62,G62,H62))</f>
        <v>1</v>
      </c>
      <c r="J62" s="8" t="str">
        <f aca="false">IF(B62&lt;=KG_POS,"Niveles altos","Solo en el piso")</f>
        <v>Niveles altos</v>
      </c>
      <c r="K62" s="32" t="n">
        <f aca="false">ROUNDUP(E62/I62,0)</f>
        <v>3</v>
      </c>
      <c r="L62" s="34" t="n">
        <f aca="false">MIN(E62,I62)*B62</f>
        <v>886.439336126761</v>
      </c>
      <c r="M62" s="31" t="n">
        <f aca="false">(MIN(E62,I62)-1)*B62*9.81/(PI()/4*(D62^2-DI_ROLLO^2)/1000000)/1000</f>
        <v>0</v>
      </c>
      <c r="N62" s="32" t="n">
        <f aca="false">MIN(E62,I62)*(C62+SEP_ROLLO)</f>
        <v>202.2</v>
      </c>
      <c r="O62" s="32" t="n">
        <f aca="false">MAX(0,(D62-PAL_FRENTE)/2)</f>
        <v>17.0702898052824</v>
      </c>
      <c r="P62" s="40" t="n">
        <f aca="false">PI()/4*D62^2/(PAL_FRENTE*PAL_FONDO)</f>
        <v>0.699951253490509</v>
      </c>
      <c r="Q62" s="11" t="str">
        <f aca="false">IF(D62&lt;=PAL_FRENTE,"Entra en el pallet",IF(O62&lt;=HUECO/2,"Vuela "&amp;TEXT(O62,"0")&amp;" mm por lado, dentro del hueco","No entra: pallet de 1.200 de frente"))</f>
        <v>Vuela 17 mm por lado, dentro del hueco</v>
      </c>
      <c r="R62" s="34" t="n">
        <f aca="false">D62+2*PINZA_BRAZO</f>
        <v>1194.14057961056</v>
      </c>
    </row>
    <row r="63" customFormat="false" ht="15" hidden="false" customHeight="true" outlineLevel="0" collapsed="false">
      <c r="A63" s="17" t="str">
        <f aca="false">A40</f>
        <v>MP-09</v>
      </c>
      <c r="B63" s="34" t="n">
        <f aca="false">M40</f>
        <v>245.023924991908</v>
      </c>
      <c r="C63" s="32" t="n">
        <f aca="false">E40</f>
        <v>238.7</v>
      </c>
      <c r="D63" s="34" t="n">
        <f aca="false">N40</f>
        <v>651.580550161121</v>
      </c>
      <c r="E63" s="32" t="n">
        <f aca="false">V40</f>
        <v>2</v>
      </c>
      <c r="F63" s="32" t="n">
        <f aca="false">INT(KG_POS/B63)</f>
        <v>4</v>
      </c>
      <c r="G63" s="32" t="n">
        <f aca="false">INT(H_NIV/(C63+SEP_ROLLO))</f>
        <v>2</v>
      </c>
      <c r="H63" s="32" t="n">
        <f aca="false">INT(REL_ROLLO*D63/(C63+SEP_ROLLO))</f>
        <v>2</v>
      </c>
      <c r="I63" s="33" t="n">
        <f aca="false">MAX(1,MIN(F63,G63,H63))</f>
        <v>2</v>
      </c>
      <c r="J63" s="8" t="str">
        <f aca="false">IF(B63&lt;=KG_POS,"Niveles altos","Solo en el piso")</f>
        <v>Niveles altos</v>
      </c>
      <c r="K63" s="32" t="n">
        <f aca="false">ROUNDUP(E63/I63,0)</f>
        <v>1</v>
      </c>
      <c r="L63" s="34" t="n">
        <f aca="false">MIN(E63,I63)*B63</f>
        <v>490.047849983817</v>
      </c>
      <c r="M63" s="31" t="n">
        <f aca="false">(MIN(E63,I63)-1)*B63*9.81/(PI()/4*(D63^2-DI_ROLLO^2)/1000000)/1000</f>
        <v>18.38192895</v>
      </c>
      <c r="N63" s="32" t="n">
        <f aca="false">MIN(E63,I63)*(C63+SEP_ROLLO)</f>
        <v>527.4</v>
      </c>
      <c r="O63" s="32" t="n">
        <f aca="false">MAX(0,(D63-PAL_FRENTE)/2)</f>
        <v>0</v>
      </c>
      <c r="P63" s="40" t="n">
        <f aca="false">PI()/4*D63^2/(PAL_FRENTE*PAL_FONDO)</f>
        <v>0.277872046350724</v>
      </c>
      <c r="Q63" s="11" t="str">
        <f aca="false">IF(D63&lt;=PAL_FRENTE,"Entra en el pallet",IF(O63&lt;=HUECO/2,"Vuela "&amp;TEXT(O63,"0")&amp;" mm por lado, dentro del hueco","No entra: pallet de 1.200 de frente"))</f>
        <v>Entra en el pallet</v>
      </c>
      <c r="R63" s="34" t="n">
        <f aca="false">D63+2*PINZA_BRAZO</f>
        <v>811.580550161121</v>
      </c>
    </row>
    <row r="64" customFormat="false" ht="15" hidden="false" customHeight="true" outlineLevel="0" collapsed="false">
      <c r="A64" s="17" t="str">
        <f aca="false">A41</f>
        <v>MP-10</v>
      </c>
      <c r="B64" s="34" t="n">
        <f aca="false">M41</f>
        <v>179.032827647462</v>
      </c>
      <c r="C64" s="32" t="n">
        <f aca="false">E41</f>
        <v>205</v>
      </c>
      <c r="D64" s="34" t="n">
        <f aca="false">N41</f>
        <v>632.230083386317</v>
      </c>
      <c r="E64" s="32" t="n">
        <f aca="false">V41</f>
        <v>2</v>
      </c>
      <c r="F64" s="32" t="n">
        <f aca="false">INT(KG_POS/B64)</f>
        <v>5</v>
      </c>
      <c r="G64" s="32" t="n">
        <f aca="false">INT(H_NIV/(C64+SEP_ROLLO))</f>
        <v>3</v>
      </c>
      <c r="H64" s="32" t="n">
        <f aca="false">INT(REL_ROLLO*D64/(C64+SEP_ROLLO))</f>
        <v>2</v>
      </c>
      <c r="I64" s="33" t="n">
        <f aca="false">MAX(1,MIN(F64,G64,H64))</f>
        <v>2</v>
      </c>
      <c r="J64" s="8" t="str">
        <f aca="false">IF(B64&lt;=KG_POS,"Niveles altos","Solo en el piso")</f>
        <v>Niveles altos</v>
      </c>
      <c r="K64" s="32" t="n">
        <f aca="false">ROUNDUP(E64/I64,0)</f>
        <v>1</v>
      </c>
      <c r="L64" s="34" t="n">
        <f aca="false">MIN(E64,I64)*B64</f>
        <v>358.065655294924</v>
      </c>
      <c r="M64" s="31" t="n">
        <f aca="false">(MIN(E64,I64)-1)*B64*9.81/(PI()/4*(D64^2-DI_ROLLO^2)/1000000)/1000</f>
        <v>15.7867425</v>
      </c>
      <c r="N64" s="32" t="n">
        <f aca="false">MIN(E64,I64)*(C64+SEP_ROLLO)</f>
        <v>460</v>
      </c>
      <c r="O64" s="32" t="n">
        <f aca="false">MAX(0,(D64-PAL_FRENTE)/2)</f>
        <v>0</v>
      </c>
      <c r="P64" s="40" t="n">
        <f aca="false">PI()/4*D64^2/(PAL_FRENTE*PAL_FONDO)</f>
        <v>0.261612776108188</v>
      </c>
      <c r="Q64" s="11" t="str">
        <f aca="false">IF(D64&lt;=PAL_FRENTE,"Entra en el pallet",IF(O64&lt;=HUECO/2,"Vuela "&amp;TEXT(O64,"0")&amp;" mm por lado, dentro del hueco","No entra: pallet de 1.200 de frente"))</f>
        <v>Entra en el pallet</v>
      </c>
      <c r="R64" s="34" t="n">
        <f aca="false">D64+2*PINZA_BRAZO</f>
        <v>792.230083386317</v>
      </c>
    </row>
    <row r="65" customFormat="false" ht="15" hidden="false" customHeight="true" outlineLevel="0" collapsed="false">
      <c r="A65" s="17" t="s">
        <v>917</v>
      </c>
      <c r="K65" s="35" t="n">
        <f aca="false">SUM(K57:K64)</f>
        <v>14</v>
      </c>
    </row>
    <row r="67" customFormat="false" ht="15" hidden="false" customHeight="true" outlineLevel="0" collapsed="false">
      <c r="B67" s="8" t="s">
        <v>986</v>
      </c>
      <c r="G67" s="32" t="n">
        <f aca="false">SUMIF(J57:J64,"Solo en el piso",K57:K64)</f>
        <v>3</v>
      </c>
    </row>
    <row r="68" customFormat="false" ht="15" hidden="false" customHeight="true" outlineLevel="0" collapsed="false">
      <c r="B68" s="8" t="s">
        <v>987</v>
      </c>
      <c r="G68" s="33" t="n">
        <f aca="false">MAX(ROUNDUP(K65/(POS_NIV*NIV_FLEJE),0),ROUNDUP(G67/POS_NIV,0))</f>
        <v>2</v>
      </c>
    </row>
    <row r="69" customFormat="false" ht="15" hidden="false" customHeight="true" outlineLevel="0" collapsed="false">
      <c r="B69" s="8" t="s">
        <v>988</v>
      </c>
      <c r="G69" s="32" t="n">
        <f aca="false">G68*POS_NIV*NIV_FLEJE</f>
        <v>16</v>
      </c>
    </row>
    <row r="70" customFormat="false" ht="15" hidden="false" customHeight="true" outlineLevel="0" collapsed="false">
      <c r="B70" s="8" t="s">
        <v>989</v>
      </c>
      <c r="G70" s="31" t="n">
        <f aca="false">G68*MOD_FRENTE*(MOD_FONDO+CALLE/2)</f>
        <v>16.56</v>
      </c>
    </row>
    <row r="71" customFormat="false" ht="15" hidden="false" customHeight="true" outlineLevel="0" collapsed="false">
      <c r="B71" s="8" t="s">
        <v>990</v>
      </c>
      <c r="G71" s="31" t="n">
        <f aca="false">M2_VOLTEO</f>
        <v>9</v>
      </c>
    </row>
    <row r="72" customFormat="false" ht="15" hidden="false" customHeight="true" outlineLevel="0" collapsed="false">
      <c r="B72" s="8" t="s">
        <v>991</v>
      </c>
      <c r="G72" s="37" t="n">
        <f aca="false">G70+G71</f>
        <v>25.56</v>
      </c>
    </row>
    <row r="73" customFormat="false" ht="15" hidden="false" customHeight="true" outlineLevel="0" collapsed="false">
      <c r="A73" s="14" t="s">
        <v>992</v>
      </c>
    </row>
    <row r="74" customFormat="false" ht="15" hidden="false" customHeight="true" outlineLevel="0" collapsed="false">
      <c r="A74" s="14" t="s">
        <v>993</v>
      </c>
    </row>
    <row r="75" customFormat="false" ht="15" hidden="false" customHeight="true" outlineLevel="0" collapsed="false">
      <c r="A75" s="5" t="s">
        <v>994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customFormat="false" ht="42" hidden="false" customHeight="true" outlineLevel="0" collapsed="false">
      <c r="A76" s="7" t="s">
        <v>995</v>
      </c>
      <c r="B76" s="7" t="s">
        <v>996</v>
      </c>
      <c r="C76" s="7"/>
      <c r="D76" s="7"/>
      <c r="E76" s="7"/>
      <c r="F76" s="7"/>
      <c r="G76" s="7"/>
      <c r="H76" s="7"/>
      <c r="I76" s="7" t="s">
        <v>113</v>
      </c>
      <c r="J76" s="7" t="s">
        <v>997</v>
      </c>
    </row>
    <row r="77" customFormat="false" ht="36" hidden="false" customHeight="true" outlineLevel="0" collapsed="false">
      <c r="A77" s="41" t="s">
        <v>998</v>
      </c>
      <c r="B77" s="27" t="s">
        <v>999</v>
      </c>
      <c r="C77" s="27"/>
      <c r="D77" s="27"/>
      <c r="E77" s="27"/>
      <c r="F77" s="27"/>
      <c r="G77" s="27"/>
      <c r="H77" s="27"/>
      <c r="I77" s="31" t="n">
        <f aca="false">3*2.5*(1.2+CALLE/2)</f>
        <v>27.75</v>
      </c>
      <c r="J77" s="8" t="s">
        <v>1000</v>
      </c>
    </row>
    <row r="78" customFormat="false" ht="36" hidden="false" customHeight="true" outlineLevel="0" collapsed="false">
      <c r="A78" s="41" t="s">
        <v>1001</v>
      </c>
      <c r="B78" s="27" t="s">
        <v>1002</v>
      </c>
      <c r="C78" s="27"/>
      <c r="D78" s="27"/>
      <c r="E78" s="27"/>
      <c r="F78" s="27"/>
      <c r="G78" s="27"/>
      <c r="H78" s="27"/>
      <c r="I78" s="31" t="n">
        <f aca="false">K65*(1.2+SEP_PILA)*(1+SEP_PILA)+K65*(1.2+SEP_PILA)*CALLE/2</f>
        <v>95.2</v>
      </c>
      <c r="J78" s="8" t="s">
        <v>1000</v>
      </c>
    </row>
    <row r="79" customFormat="false" ht="36" hidden="false" customHeight="true" outlineLevel="0" collapsed="false">
      <c r="A79" s="41" t="s">
        <v>1003</v>
      </c>
      <c r="B79" s="27" t="s">
        <v>1004</v>
      </c>
      <c r="C79" s="27"/>
      <c r="D79" s="27"/>
      <c r="E79" s="27"/>
      <c r="F79" s="27"/>
      <c r="G79" s="27"/>
      <c r="H79" s="27"/>
      <c r="I79" s="31" t="n">
        <f aca="false">G72</f>
        <v>25.56</v>
      </c>
      <c r="J79" s="39" t="s">
        <v>1005</v>
      </c>
    </row>
    <row r="80" customFormat="false" ht="36" hidden="false" customHeight="true" outlineLevel="0" collapsed="false">
      <c r="A80" s="41" t="s">
        <v>1006</v>
      </c>
      <c r="B80" s="27" t="s">
        <v>1007</v>
      </c>
      <c r="C80" s="27"/>
      <c r="D80" s="27"/>
      <c r="E80" s="27"/>
      <c r="F80" s="27"/>
      <c r="G80" s="27"/>
      <c r="H80" s="27"/>
      <c r="I80" s="31" t="str">
        <f aca="false">"Más que el selectivo"</f>
        <v>Más que el selectivo</v>
      </c>
      <c r="J80" s="8" t="s">
        <v>1000</v>
      </c>
    </row>
  </sheetData>
  <mergeCells count="4">
    <mergeCell ref="B77:H77"/>
    <mergeCell ref="B78:H78"/>
    <mergeCell ref="B79:H79"/>
    <mergeCell ref="B80:H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9" min="7" style="1" width="10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3" min="12" style="1" width="9"/>
    <col collapsed="false" customWidth="true" hidden="false" outlineLevel="0" max="14" min="14" style="1" width="11"/>
    <col collapsed="false" customWidth="true" hidden="false" outlineLevel="0" max="17" min="15" style="1" width="9"/>
    <col collapsed="false" customWidth="true" hidden="false" outlineLevel="0" max="18" min="18" style="1" width="11"/>
    <col collapsed="false" customWidth="true" hidden="false" outlineLevel="0" max="21" min="19" style="1" width="10"/>
    <col collapsed="false" customWidth="true" hidden="false" outlineLevel="0" max="23" min="22" style="1" width="11"/>
  </cols>
  <sheetData>
    <row r="1" customFormat="false" ht="15" hidden="false" customHeight="true" outlineLevel="0" collapsed="false">
      <c r="A1" s="2" t="s">
        <v>1008</v>
      </c>
    </row>
    <row r="2" customFormat="false" ht="15" hidden="false" customHeight="true" outlineLevel="0" collapsed="false">
      <c r="A2" s="3" t="s">
        <v>1009</v>
      </c>
    </row>
    <row r="3" customFormat="false" ht="15" hidden="false" customHeight="true" outlineLevel="0" collapsed="false">
      <c r="A3" s="4" t="s">
        <v>1010</v>
      </c>
    </row>
    <row r="5" customFormat="false" ht="15" hidden="false" customHeight="true" outlineLevel="0" collapsed="false">
      <c r="A5" s="5" t="s">
        <v>1011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3" t="s">
        <v>1012</v>
      </c>
    </row>
    <row r="7" customFormat="false" ht="15" hidden="false" customHeight="true" outlineLevel="0" collapsed="false">
      <c r="A7" s="3" t="s">
        <v>1013</v>
      </c>
    </row>
    <row r="8" customFormat="false" ht="15" hidden="false" customHeight="true" outlineLevel="0" collapsed="false">
      <c r="A8" s="3" t="s">
        <v>1014</v>
      </c>
    </row>
    <row r="10" customFormat="false" ht="15" hidden="false" customHeight="true" outlineLevel="0" collapsed="false">
      <c r="A10" s="5" t="s">
        <v>1015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42" hidden="false" customHeight="true" outlineLevel="0" collapsed="false">
      <c r="A11" s="7" t="s">
        <v>764</v>
      </c>
      <c r="B11" s="7" t="s">
        <v>36</v>
      </c>
      <c r="C11" s="7" t="s">
        <v>667</v>
      </c>
      <c r="D11" s="7" t="s">
        <v>766</v>
      </c>
      <c r="E11" s="7" t="s">
        <v>765</v>
      </c>
    </row>
    <row r="12" customFormat="false" ht="15" hidden="false" customHeight="true" outlineLevel="0" collapsed="false">
      <c r="A12" s="8" t="s">
        <v>1016</v>
      </c>
      <c r="B12" s="29" t="n">
        <v>40</v>
      </c>
      <c r="C12" s="11" t="s">
        <v>1017</v>
      </c>
      <c r="D12" s="28" t="s">
        <v>1018</v>
      </c>
      <c r="E12" s="3" t="s">
        <v>1019</v>
      </c>
    </row>
    <row r="13" customFormat="false" ht="15" hidden="false" customHeight="true" outlineLevel="0" collapsed="false">
      <c r="A13" s="8" t="s">
        <v>1020</v>
      </c>
      <c r="B13" s="29" t="n">
        <v>5</v>
      </c>
      <c r="C13" s="11" t="s">
        <v>1017</v>
      </c>
      <c r="D13" s="28" t="s">
        <v>1021</v>
      </c>
      <c r="E13" s="3" t="s">
        <v>1022</v>
      </c>
    </row>
    <row r="14" customFormat="false" ht="15" hidden="false" customHeight="true" outlineLevel="0" collapsed="false">
      <c r="A14" s="8" t="s">
        <v>1023</v>
      </c>
      <c r="B14" s="8" t="n">
        <f aca="false">ROUND((CQ_PLAZO-CQ_VAR)*5/7,0)</f>
        <v>25</v>
      </c>
      <c r="C14" s="11" t="s">
        <v>1024</v>
      </c>
      <c r="D14" s="28" t="s">
        <v>1025</v>
      </c>
      <c r="E14" s="3" t="s">
        <v>1026</v>
      </c>
    </row>
    <row r="15" customFormat="false" ht="15" hidden="false" customHeight="true" outlineLevel="0" collapsed="false">
      <c r="A15" s="8" t="s">
        <v>1027</v>
      </c>
      <c r="B15" s="8" t="n">
        <f aca="false">ROUND((CQ_PLAZO+CQ_VAR)*5/7,0)</f>
        <v>32</v>
      </c>
      <c r="C15" s="11" t="s">
        <v>1024</v>
      </c>
      <c r="D15" s="28" t="s">
        <v>1028</v>
      </c>
      <c r="E15" s="3" t="s">
        <v>1029</v>
      </c>
    </row>
    <row r="16" customFormat="false" ht="15" hidden="false" customHeight="true" outlineLevel="0" collapsed="false">
      <c r="A16" s="8" t="s">
        <v>912</v>
      </c>
      <c r="B16" s="29" t="n">
        <v>20</v>
      </c>
      <c r="C16" s="11" t="s">
        <v>1024</v>
      </c>
      <c r="D16" s="28" t="s">
        <v>1030</v>
      </c>
      <c r="E16" s="3" t="s">
        <v>1031</v>
      </c>
    </row>
    <row r="17" customFormat="false" ht="15" hidden="false" customHeight="true" outlineLevel="0" collapsed="false">
      <c r="A17" s="8" t="s">
        <v>1032</v>
      </c>
      <c r="B17" s="29" t="n">
        <v>1160</v>
      </c>
      <c r="C17" s="11" t="s">
        <v>783</v>
      </c>
      <c r="D17" s="28" t="s">
        <v>1033</v>
      </c>
      <c r="E17" s="3" t="s">
        <v>1034</v>
      </c>
    </row>
    <row r="18" customFormat="false" ht="15" hidden="false" customHeight="true" outlineLevel="0" collapsed="false">
      <c r="A18" s="8" t="s">
        <v>1035</v>
      </c>
      <c r="B18" s="29" t="n">
        <v>960</v>
      </c>
      <c r="C18" s="11" t="s">
        <v>783</v>
      </c>
      <c r="D18" s="28" t="s">
        <v>1036</v>
      </c>
      <c r="E18" s="3" t="s">
        <v>1029</v>
      </c>
    </row>
    <row r="19" customFormat="false" ht="15" hidden="false" customHeight="true" outlineLevel="0" collapsed="false">
      <c r="A19" s="8" t="s">
        <v>1037</v>
      </c>
      <c r="B19" s="29" t="n">
        <v>800</v>
      </c>
      <c r="C19" s="11" t="s">
        <v>783</v>
      </c>
      <c r="D19" s="28" t="s">
        <v>1038</v>
      </c>
      <c r="E19" s="3" t="s">
        <v>1039</v>
      </c>
    </row>
    <row r="20" customFormat="false" ht="15" hidden="false" customHeight="true" outlineLevel="0" collapsed="false">
      <c r="A20" s="8" t="s">
        <v>1040</v>
      </c>
      <c r="B20" s="29" t="n">
        <v>150</v>
      </c>
      <c r="C20" s="11" t="s">
        <v>783</v>
      </c>
      <c r="D20" s="28" t="s">
        <v>1041</v>
      </c>
      <c r="E20" s="3" t="s">
        <v>1022</v>
      </c>
    </row>
    <row r="21" customFormat="false" ht="15" hidden="false" customHeight="true" outlineLevel="0" collapsed="false">
      <c r="A21" s="8" t="s">
        <v>1042</v>
      </c>
      <c r="B21" s="29" t="n">
        <v>1000</v>
      </c>
      <c r="C21" s="11" t="s">
        <v>166</v>
      </c>
      <c r="D21" s="28" t="s">
        <v>1043</v>
      </c>
      <c r="E21" s="3" t="s">
        <v>1044</v>
      </c>
    </row>
    <row r="22" customFormat="false" ht="15" hidden="false" customHeight="true" outlineLevel="0" collapsed="false">
      <c r="A22" s="8" t="s">
        <v>1045</v>
      </c>
      <c r="B22" s="29" t="n">
        <v>120</v>
      </c>
      <c r="C22" s="11" t="s">
        <v>166</v>
      </c>
      <c r="D22" s="28" t="s">
        <v>1046</v>
      </c>
      <c r="E22" s="3" t="s">
        <v>1047</v>
      </c>
    </row>
    <row r="23" customFormat="false" ht="15" hidden="false" customHeight="true" outlineLevel="0" collapsed="false">
      <c r="A23" s="8" t="s">
        <v>1048</v>
      </c>
      <c r="B23" s="29" t="n">
        <v>20</v>
      </c>
      <c r="C23" s="11" t="s">
        <v>783</v>
      </c>
      <c r="D23" s="28" t="s">
        <v>1049</v>
      </c>
      <c r="E23" s="3" t="s">
        <v>1050</v>
      </c>
    </row>
    <row r="25" customFormat="false" ht="15" hidden="false" customHeight="true" outlineLevel="0" collapsed="false">
      <c r="A25" s="5" t="s">
        <v>1051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customFormat="false" ht="42" hidden="false" customHeight="true" outlineLevel="0" collapsed="false">
      <c r="A26" s="7" t="s">
        <v>130</v>
      </c>
      <c r="B26" s="7" t="s">
        <v>1052</v>
      </c>
      <c r="C26" s="7" t="s">
        <v>1053</v>
      </c>
      <c r="D26" s="7" t="s">
        <v>1054</v>
      </c>
      <c r="E26" s="7" t="s">
        <v>899</v>
      </c>
      <c r="F26" s="7" t="s">
        <v>1055</v>
      </c>
      <c r="G26" s="7" t="s">
        <v>1056</v>
      </c>
      <c r="H26" s="7" t="s">
        <v>1057</v>
      </c>
      <c r="I26" s="7" t="s">
        <v>1058</v>
      </c>
      <c r="J26" s="7" t="s">
        <v>1059</v>
      </c>
      <c r="K26" s="7" t="s">
        <v>1060</v>
      </c>
      <c r="L26" s="7" t="s">
        <v>1061</v>
      </c>
      <c r="M26" s="7" t="s">
        <v>1062</v>
      </c>
      <c r="N26" s="7" t="s">
        <v>1063</v>
      </c>
      <c r="O26" s="7" t="s">
        <v>1064</v>
      </c>
      <c r="P26" s="7" t="s">
        <v>1065</v>
      </c>
      <c r="Q26" s="7" t="s">
        <v>1066</v>
      </c>
      <c r="R26" s="7" t="s">
        <v>1067</v>
      </c>
      <c r="S26" s="7" t="s">
        <v>1068</v>
      </c>
      <c r="T26" s="7" t="s">
        <v>1069</v>
      </c>
      <c r="U26" s="7" t="s">
        <v>1070</v>
      </c>
      <c r="V26" s="7" t="s">
        <v>1071</v>
      </c>
      <c r="W26" s="7" t="s">
        <v>1072</v>
      </c>
    </row>
    <row r="27" customFormat="false" ht="15" hidden="false" customHeight="true" outlineLevel="0" collapsed="false">
      <c r="A27" s="11" t="s">
        <v>214</v>
      </c>
      <c r="B27" s="11" t="s">
        <v>1073</v>
      </c>
      <c r="C27" s="42" t="n">
        <v>276.5</v>
      </c>
      <c r="D27" s="25" t="n">
        <v>87</v>
      </c>
      <c r="E27" s="42" t="n">
        <v>3.2</v>
      </c>
      <c r="F27" s="42" t="n">
        <v>2.44</v>
      </c>
      <c r="G27" s="43" t="n">
        <f aca="false">CQ_POLL+E27</f>
        <v>23.2</v>
      </c>
      <c r="H27" s="11" t="n">
        <f aca="false">INT(CQ_LARGO/C27)</f>
        <v>4</v>
      </c>
      <c r="I27" s="11" t="n">
        <f aca="false">INT(CQ_ANCHO/C27)</f>
        <v>3</v>
      </c>
      <c r="J27" s="11" t="n">
        <f aca="false">H27*I27</f>
        <v>12</v>
      </c>
      <c r="K27" s="11" t="n">
        <f aca="false">1+INT((CQ_ALTO-D27)/G27)</f>
        <v>31</v>
      </c>
      <c r="L27" s="11" t="n">
        <f aca="false">J27*K27</f>
        <v>372</v>
      </c>
      <c r="M27" s="11" t="n">
        <f aca="false">INT((CQ_KG-CQ_TARA)/F27)</f>
        <v>360</v>
      </c>
      <c r="N27" s="44" t="n">
        <f aca="false">2*INT(MIN(L27,M27)/2)</f>
        <v>360</v>
      </c>
      <c r="O27" s="11" t="n">
        <f aca="false">N27/2</f>
        <v>180</v>
      </c>
      <c r="P27" s="11" t="n">
        <f aca="false">N27/2</f>
        <v>180</v>
      </c>
      <c r="Q27" s="11" t="str">
        <f aca="false">IF(L27&lt;=M27,"El alto","El peso")</f>
        <v>El peso</v>
      </c>
      <c r="R27" s="15" t="n">
        <f aca="false">D27+(ROUNDUP(N27/J27,0)-1)*G27</f>
        <v>759.8</v>
      </c>
      <c r="S27" s="45" t="n">
        <f aca="false">N27*F27+CQ_TARA</f>
        <v>998.4</v>
      </c>
      <c r="T27" s="43" t="n">
        <f aca="false">INDEX(Stock_MP!$H:$H,MATCH($A27,Stock_MP!$B:$B,0))</f>
        <v>6.99579449995497</v>
      </c>
      <c r="U27" s="15" t="n">
        <f aca="false">N27/T27</f>
        <v>51.4594875538893</v>
      </c>
      <c r="V27" s="46" t="n">
        <f aca="false">INDEX(Stock_MP!$P:$P,MATCH($A27,Stock_MP!$B:$B,0))</f>
        <v>1</v>
      </c>
      <c r="W27" s="43" t="n">
        <f aca="false">INDEX(Stock_MP!$S:$S,MATCH($A27,Stock_MP!$B:$B,0))/N27</f>
        <v>1.10903938957933</v>
      </c>
    </row>
    <row r="28" customFormat="false" ht="15" hidden="false" customHeight="true" outlineLevel="0" collapsed="false">
      <c r="A28" s="11" t="s">
        <v>220</v>
      </c>
      <c r="B28" s="11" t="s">
        <v>1074</v>
      </c>
      <c r="C28" s="42" t="n">
        <v>320</v>
      </c>
      <c r="D28" s="25" t="n">
        <v>105</v>
      </c>
      <c r="E28" s="42" t="n">
        <v>3.2</v>
      </c>
      <c r="F28" s="42" t="n">
        <v>3.36</v>
      </c>
      <c r="G28" s="43" t="n">
        <f aca="false">CQ_POLL+E28</f>
        <v>23.2</v>
      </c>
      <c r="H28" s="11" t="n">
        <f aca="false">INT(CQ_LARGO/C28)</f>
        <v>3</v>
      </c>
      <c r="I28" s="11" t="n">
        <f aca="false">INT(CQ_ANCHO/C28)</f>
        <v>3</v>
      </c>
      <c r="J28" s="11" t="n">
        <f aca="false">H28*I28</f>
        <v>9</v>
      </c>
      <c r="K28" s="11" t="n">
        <f aca="false">1+INT((CQ_ALTO-D28)/G28)</f>
        <v>30</v>
      </c>
      <c r="L28" s="11" t="n">
        <f aca="false">J28*K28</f>
        <v>270</v>
      </c>
      <c r="M28" s="11" t="n">
        <f aca="false">INT((CQ_KG-CQ_TARA)/F28)</f>
        <v>261</v>
      </c>
      <c r="N28" s="44" t="n">
        <f aca="false">2*INT(MIN(L28,M28)/2)</f>
        <v>260</v>
      </c>
      <c r="O28" s="11" t="n">
        <f aca="false">N28/2</f>
        <v>130</v>
      </c>
      <c r="P28" s="11" t="n">
        <f aca="false">N28/2</f>
        <v>130</v>
      </c>
      <c r="Q28" s="11" t="str">
        <f aca="false">IF(L28&lt;=M28,"El alto","El peso")</f>
        <v>El peso</v>
      </c>
      <c r="R28" s="15" t="n">
        <f aca="false">D28+(ROUNDUP(N28/J28,0)-1)*G28</f>
        <v>754.6</v>
      </c>
      <c r="S28" s="45" t="n">
        <f aca="false">N28*F28+CQ_TARA</f>
        <v>993.6</v>
      </c>
      <c r="T28" s="43" t="n">
        <f aca="false">INDEX(Stock_MP!$H:$H,MATCH($A28,Stock_MP!$B:$B,0))</f>
        <v>15.375914999901</v>
      </c>
      <c r="U28" s="15" t="n">
        <f aca="false">N28/T28</f>
        <v>16.9095627806003</v>
      </c>
      <c r="V28" s="46" t="n">
        <f aca="false">INDEX(Stock_MP!$P:$P,MATCH($A28,Stock_MP!$B:$B,0))</f>
        <v>2</v>
      </c>
      <c r="W28" s="43" t="n">
        <f aca="false">INDEX(Stock_MP!$S:$S,MATCH($A28,Stock_MP!$B:$B,0))/N28</f>
        <v>2.33183064421859</v>
      </c>
    </row>
    <row r="29" customFormat="false" ht="15" hidden="false" customHeight="true" outlineLevel="0" collapsed="false">
      <c r="A29" s="11" t="s">
        <v>223</v>
      </c>
      <c r="B29" s="11" t="s">
        <v>1075</v>
      </c>
      <c r="C29" s="42" t="n">
        <v>390</v>
      </c>
      <c r="D29" s="25" t="n">
        <v>105</v>
      </c>
      <c r="E29" s="42" t="n">
        <v>4.75</v>
      </c>
      <c r="F29" s="42" t="n">
        <v>6.64</v>
      </c>
      <c r="G29" s="43" t="n">
        <f aca="false">CQ_POLL+E29</f>
        <v>24.75</v>
      </c>
      <c r="H29" s="11" t="n">
        <f aca="false">INT(CQ_LARGO/C29)</f>
        <v>2</v>
      </c>
      <c r="I29" s="11" t="n">
        <f aca="false">INT(CQ_ANCHO/C29)</f>
        <v>2</v>
      </c>
      <c r="J29" s="11" t="n">
        <f aca="false">H29*I29</f>
        <v>4</v>
      </c>
      <c r="K29" s="11" t="n">
        <f aca="false">1+INT((CQ_ALTO-D29)/G29)</f>
        <v>29</v>
      </c>
      <c r="L29" s="11" t="n">
        <f aca="false">J29*K29</f>
        <v>116</v>
      </c>
      <c r="M29" s="11" t="n">
        <f aca="false">INT((CQ_KG-CQ_TARA)/F29)</f>
        <v>132</v>
      </c>
      <c r="N29" s="44" t="n">
        <f aca="false">2*INT(MIN(L29,M29)/2)</f>
        <v>116</v>
      </c>
      <c r="O29" s="11" t="n">
        <f aca="false">N29/2</f>
        <v>58</v>
      </c>
      <c r="P29" s="11" t="n">
        <f aca="false">N29/2</f>
        <v>58</v>
      </c>
      <c r="Q29" s="11" t="str">
        <f aca="false">IF(L29&lt;=M29,"El alto","El peso")</f>
        <v>El alto</v>
      </c>
      <c r="R29" s="15" t="n">
        <f aca="false">D29+(ROUNDUP(N29/J29,0)-1)*G29</f>
        <v>798</v>
      </c>
      <c r="S29" s="45" t="n">
        <f aca="false">N29*F29+CQ_TARA</f>
        <v>890.24</v>
      </c>
      <c r="T29" s="43" t="n">
        <f aca="false">INDEX(Stock_MP!$H:$H,MATCH($A29,Stock_MP!$B:$B,0))</f>
        <v>5.59418849996399</v>
      </c>
      <c r="U29" s="15" t="n">
        <f aca="false">N29/T29</f>
        <v>20.7358046659934</v>
      </c>
      <c r="V29" s="46" t="n">
        <f aca="false">INDEX(Stock_MP!$P:$P,MATCH($A29,Stock_MP!$B:$B,0))</f>
        <v>1</v>
      </c>
      <c r="W29" s="43" t="n">
        <f aca="false">INDEX(Stock_MP!$S:$S,MATCH($A29,Stock_MP!$B:$B,0))/N29</f>
        <v>1.2706001142142</v>
      </c>
    </row>
    <row r="31" customFormat="false" ht="15" hidden="false" customHeight="true" outlineLevel="0" collapsed="false">
      <c r="A31" s="14" t="s">
        <v>1076</v>
      </c>
    </row>
    <row r="32" customFormat="false" ht="15" hidden="false" customHeight="true" outlineLevel="0" collapsed="false">
      <c r="A32" s="14" t="s">
        <v>1077</v>
      </c>
    </row>
    <row r="33" customFormat="false" ht="15" hidden="false" customHeight="true" outlineLevel="0" collapsed="false">
      <c r="A33" s="14" t="s">
        <v>1078</v>
      </c>
    </row>
    <row r="35" customFormat="false" ht="15" hidden="false" customHeight="true" outlineLevel="0" collapsed="false">
      <c r="A35" s="5" t="s">
        <v>1079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42" hidden="false" customHeight="true" outlineLevel="0" collapsed="false">
      <c r="A36" s="7" t="s">
        <v>4</v>
      </c>
      <c r="B36" s="7" t="s">
        <v>95</v>
      </c>
      <c r="C36" s="7" t="s">
        <v>96</v>
      </c>
      <c r="D36" s="7" t="s">
        <v>97</v>
      </c>
      <c r="E36" s="7" t="s">
        <v>98</v>
      </c>
      <c r="F36" s="7" t="s">
        <v>99</v>
      </c>
      <c r="G36" s="7" t="s">
        <v>100</v>
      </c>
      <c r="H36" s="7" t="s">
        <v>101</v>
      </c>
      <c r="I36" s="7" t="s">
        <v>102</v>
      </c>
      <c r="J36" s="7" t="s">
        <v>103</v>
      </c>
      <c r="K36" s="7" t="s">
        <v>104</v>
      </c>
      <c r="L36" s="7" t="s">
        <v>105</v>
      </c>
      <c r="M36" s="7" t="s">
        <v>106</v>
      </c>
      <c r="N36" s="7" t="s">
        <v>1080</v>
      </c>
    </row>
    <row r="37" customFormat="false" ht="15" hidden="false" customHeight="true" outlineLevel="0" collapsed="false">
      <c r="A37" s="11" t="s">
        <v>1081</v>
      </c>
      <c r="B37" s="47" t="n">
        <f aca="false">Datos!B30</f>
        <v>264.12238131</v>
      </c>
      <c r="C37" s="47" t="n">
        <f aca="false">Datos!C30</f>
        <v>233.04915998</v>
      </c>
      <c r="D37" s="47" t="n">
        <f aca="false">Datos!D30</f>
        <v>279.65899197</v>
      </c>
      <c r="E37" s="47" t="n">
        <f aca="false">Datos!E30</f>
        <v>279.65899197</v>
      </c>
      <c r="F37" s="47" t="n">
        <f aca="false">Datos!F30</f>
        <v>279.65899197</v>
      </c>
      <c r="G37" s="47" t="n">
        <f aca="false">Datos!G30</f>
        <v>248.58577064</v>
      </c>
      <c r="H37" s="47" t="n">
        <f aca="false">Datos!H30</f>
        <v>279.65899197</v>
      </c>
      <c r="I37" s="47" t="n">
        <f aca="false">Datos!I30</f>
        <v>279.65899197</v>
      </c>
      <c r="J37" s="47" t="n">
        <f aca="false">Datos!J30</f>
        <v>264.12238131</v>
      </c>
      <c r="K37" s="47" t="n">
        <f aca="false">Datos!K30</f>
        <v>233.04915998</v>
      </c>
      <c r="L37" s="47" t="n">
        <f aca="false">Datos!L30</f>
        <v>217.51254931</v>
      </c>
      <c r="M37" s="47" t="n">
        <f aca="false">Datos!M30</f>
        <v>248.58577064</v>
      </c>
      <c r="N37" s="48" t="n">
        <f aca="false">SUM(B37:M37)</f>
        <v>3107.32213302</v>
      </c>
    </row>
    <row r="38" customFormat="false" ht="15" hidden="false" customHeight="true" outlineLevel="0" collapsed="false">
      <c r="A38" s="41" t="s">
        <v>1082</v>
      </c>
      <c r="B38" s="15" t="n">
        <f aca="false">INDEX(Stock_MP!$F:$F,MATCH("MP-15",Stock_MP!$B:$B,0))*B$37/$N$37</f>
        <v>132.142785001651</v>
      </c>
      <c r="C38" s="15" t="n">
        <f aca="false">INDEX(Stock_MP!$F:$F,MATCH("MP-15",Stock_MP!$B:$B,0))*C$37/$N$37</f>
        <v>116.596575001751</v>
      </c>
      <c r="D38" s="15" t="n">
        <f aca="false">INDEX(Stock_MP!$F:$F,MATCH("MP-15",Stock_MP!$B:$B,0))*D$37/$N$37</f>
        <v>139.915889999099</v>
      </c>
      <c r="E38" s="15" t="n">
        <f aca="false">INDEX(Stock_MP!$F:$F,MATCH("MP-15",Stock_MP!$B:$B,0))*E$37/$N$37</f>
        <v>139.915889999099</v>
      </c>
      <c r="F38" s="15" t="n">
        <f aca="false">INDEX(Stock_MP!$F:$F,MATCH("MP-15",Stock_MP!$B:$B,0))*F$37/$N$37</f>
        <v>139.915889999099</v>
      </c>
      <c r="G38" s="15" t="n">
        <f aca="false">INDEX(Stock_MP!$F:$F,MATCH("MP-15",Stock_MP!$B:$B,0))*G$37/$N$37</f>
        <v>124.3696799992</v>
      </c>
      <c r="H38" s="15" t="n">
        <f aca="false">INDEX(Stock_MP!$F:$F,MATCH("MP-15",Stock_MP!$B:$B,0))*H$37/$N$37</f>
        <v>139.915889999099</v>
      </c>
      <c r="I38" s="15" t="n">
        <f aca="false">INDEX(Stock_MP!$F:$F,MATCH("MP-15",Stock_MP!$B:$B,0))*I$37/$N$37</f>
        <v>139.915889999099</v>
      </c>
      <c r="J38" s="15" t="n">
        <f aca="false">INDEX(Stock_MP!$F:$F,MATCH("MP-15",Stock_MP!$B:$B,0))*J$37/$N$37</f>
        <v>132.142785001651</v>
      </c>
      <c r="K38" s="15" t="n">
        <f aca="false">INDEX(Stock_MP!$F:$F,MATCH("MP-15",Stock_MP!$B:$B,0))*K$37/$N$37</f>
        <v>116.596575001751</v>
      </c>
      <c r="L38" s="15" t="n">
        <f aca="false">INDEX(Stock_MP!$F:$F,MATCH("MP-15",Stock_MP!$B:$B,0))*L$37/$N$37</f>
        <v>108.8234699993</v>
      </c>
      <c r="M38" s="15" t="n">
        <f aca="false">INDEX(Stock_MP!$F:$F,MATCH("MP-15",Stock_MP!$B:$B,0))*M$37/$N$37</f>
        <v>124.3696799992</v>
      </c>
      <c r="N38" s="48" t="n">
        <f aca="false">SUM(B38:M38)</f>
        <v>1554.621</v>
      </c>
    </row>
    <row r="39" customFormat="false" ht="15" hidden="false" customHeight="true" outlineLevel="0" collapsed="false">
      <c r="A39" s="11" t="s">
        <v>1083</v>
      </c>
      <c r="B39" s="49" t="n">
        <f aca="false">MAX(0,ROUNDUP((INDEX(Stock_MP!$L:$L,MATCH("MP-15",Stock_MP!$B:$B,0))+SUM($B38:C38)-(INDEX(Stock_MP!$L:$L,MATCH("MP-15",Stock_MP!$B:$B,0))+$B38)-$N$27*0)/$N$27,0))</f>
        <v>1</v>
      </c>
      <c r="C39" s="49" t="n">
        <f aca="false">MAX(0,ROUNDUP((INDEX(Stock_MP!$L:$L,MATCH("MP-15",Stock_MP!$B:$B,0))+SUM($B38:D38)-(INDEX(Stock_MP!$L:$L,MATCH("MP-15",Stock_MP!$B:$B,0))+$B38)-$N$27*SUM($A39:B39))/$N$27,0))</f>
        <v>0</v>
      </c>
      <c r="D39" s="49" t="n">
        <f aca="false">MAX(0,ROUNDUP((INDEX(Stock_MP!$L:$L,MATCH("MP-15",Stock_MP!$B:$B,0))+SUM($B38:E38)-(INDEX(Stock_MP!$L:$L,MATCH("MP-15",Stock_MP!$B:$B,0))+$B38)-$N$27*SUM($A39:C39))/$N$27,0))</f>
        <v>1</v>
      </c>
      <c r="E39" s="49" t="n">
        <f aca="false">MAX(0,ROUNDUP((INDEX(Stock_MP!$L:$L,MATCH("MP-15",Stock_MP!$B:$B,0))+SUM($B38:F38)-(INDEX(Stock_MP!$L:$L,MATCH("MP-15",Stock_MP!$B:$B,0))+$B38)-$N$27*SUM($A39:D39))/$N$27,0))</f>
        <v>0</v>
      </c>
      <c r="F39" s="49" t="n">
        <f aca="false">MAX(0,ROUNDUP((INDEX(Stock_MP!$L:$L,MATCH("MP-15",Stock_MP!$B:$B,0))+SUM($B38:G38)-(INDEX(Stock_MP!$L:$L,MATCH("MP-15",Stock_MP!$B:$B,0))+$B38)-$N$27*SUM($A39:E39))/$N$27,0))</f>
        <v>0</v>
      </c>
      <c r="G39" s="49" t="n">
        <f aca="false">MAX(0,ROUNDUP((INDEX(Stock_MP!$L:$L,MATCH("MP-15",Stock_MP!$B:$B,0))+SUM($B38:H38)-(INDEX(Stock_MP!$L:$L,MATCH("MP-15",Stock_MP!$B:$B,0))+$B38)-$N$27*SUM($A39:F39))/$N$27,0))</f>
        <v>1</v>
      </c>
      <c r="H39" s="49" t="n">
        <f aca="false">MAX(0,ROUNDUP((INDEX(Stock_MP!$L:$L,MATCH("MP-15",Stock_MP!$B:$B,0))+SUM($B38:I38)-(INDEX(Stock_MP!$L:$L,MATCH("MP-15",Stock_MP!$B:$B,0))+$B38)-$N$27*SUM($A39:G39))/$N$27,0))</f>
        <v>0</v>
      </c>
      <c r="I39" s="49" t="n">
        <f aca="false">MAX(0,ROUNDUP((INDEX(Stock_MP!$L:$L,MATCH("MP-15",Stock_MP!$B:$B,0))+SUM($B38:J38)-(INDEX(Stock_MP!$L:$L,MATCH("MP-15",Stock_MP!$B:$B,0))+$B38)-$N$27*SUM($A39:H39))/$N$27,0))</f>
        <v>0</v>
      </c>
      <c r="J39" s="49" t="n">
        <f aca="false">MAX(0,ROUNDUP((INDEX(Stock_MP!$L:$L,MATCH("MP-15",Stock_MP!$B:$B,0))+SUM($B38:K38)-(INDEX(Stock_MP!$L:$L,MATCH("MP-15",Stock_MP!$B:$B,0))+$B38)-$N$27*SUM($A39:I39))/$N$27,0))</f>
        <v>1</v>
      </c>
      <c r="K39" s="49" t="n">
        <f aca="false">MAX(0,ROUNDUP((INDEX(Stock_MP!$L:$L,MATCH("MP-15",Stock_MP!$B:$B,0))+SUM($B38:L38)-(INDEX(Stock_MP!$L:$L,MATCH("MP-15",Stock_MP!$B:$B,0))+$B38)-$N$27*SUM($A39:J39))/$N$27,0))</f>
        <v>0</v>
      </c>
      <c r="L39" s="49" t="n">
        <f aca="false">MAX(0,ROUNDUP((INDEX(Stock_MP!$L:$L,MATCH("MP-15",Stock_MP!$B:$B,0))+SUM($B38:M38)-(INDEX(Stock_MP!$L:$L,MATCH("MP-15",Stock_MP!$B:$B,0))+$B38)-$N$27*SUM($A39:K39))/$N$27,0))</f>
        <v>0</v>
      </c>
      <c r="M39" s="49" t="n">
        <f aca="false">MAX(0,ROUNDUP((INDEX(Stock_MP!$L:$L,MATCH("MP-15",Stock_MP!$B:$B,0))+(SUM($B38:$M38)+$B38)-(INDEX(Stock_MP!$L:$L,MATCH("MP-15",Stock_MP!$B:$B,0))+$B38)-$N$27*SUM($A39:L39))/$N$27,0))</f>
        <v>1</v>
      </c>
      <c r="N39" s="50" t="n">
        <f aca="false">SUM(B39:M39)</f>
        <v>5</v>
      </c>
    </row>
    <row r="40" customFormat="false" ht="15" hidden="false" customHeight="true" outlineLevel="0" collapsed="false">
      <c r="A40" s="11" t="s">
        <v>1084</v>
      </c>
      <c r="B40" s="15" t="n">
        <f aca="false">(INDEX(Stock_MP!$L:$L,MATCH("MP-15",Stock_MP!$B:$B,0))+$B38)+$N$27*0-SUM($B38:B38)</f>
        <v>39.2541802485591</v>
      </c>
      <c r="C40" s="15" t="n">
        <f aca="false">(INDEX(Stock_MP!$L:$L,MATCH("MP-15",Stock_MP!$B:$B,0))+$B38)+$N$27*SUM($A39:B39)-SUM($B38:C38)</f>
        <v>282.657605246808</v>
      </c>
      <c r="D40" s="15" t="n">
        <f aca="false">(INDEX(Stock_MP!$L:$L,MATCH("MP-15",Stock_MP!$B:$B,0))+$B38)+$N$27*SUM($A39:C39)-SUM($B38:D38)</f>
        <v>142.741715247709</v>
      </c>
      <c r="E40" s="15" t="n">
        <f aca="false">(INDEX(Stock_MP!$L:$L,MATCH("MP-15",Stock_MP!$B:$B,0))+$B38)+$N$27*SUM($A39:D39)-SUM($B38:E38)</f>
        <v>362.825825248609</v>
      </c>
      <c r="F40" s="15" t="n">
        <f aca="false">(INDEX(Stock_MP!$L:$L,MATCH("MP-15",Stock_MP!$B:$B,0))+$B38)+$N$27*SUM($A39:E39)-SUM($B38:F38)</f>
        <v>222.90993524951</v>
      </c>
      <c r="G40" s="15" t="n">
        <f aca="false">(INDEX(Stock_MP!$L:$L,MATCH("MP-15",Stock_MP!$B:$B,0))+$B38)+$N$27*SUM($A39:F39)-SUM($B38:G38)</f>
        <v>98.5402552503101</v>
      </c>
      <c r="H40" s="15" t="n">
        <f aca="false">(INDEX(Stock_MP!$L:$L,MATCH("MP-15",Stock_MP!$B:$B,0))+$B38)+$N$27*SUM($A39:G39)-SUM($B38:H38)</f>
        <v>318.624365251211</v>
      </c>
      <c r="I40" s="15" t="n">
        <f aca="false">(INDEX(Stock_MP!$L:$L,MATCH("MP-15",Stock_MP!$B:$B,0))+$B38)+$N$27*SUM($A39:H39)-SUM($B38:I38)</f>
        <v>178.708475252111</v>
      </c>
      <c r="J40" s="15" t="n">
        <f aca="false">(INDEX(Stock_MP!$L:$L,MATCH("MP-15",Stock_MP!$B:$B,0))+$B38)+$N$27*SUM($A39:I39)-SUM($B38:J38)</f>
        <v>46.5656902504602</v>
      </c>
      <c r="K40" s="15" t="n">
        <f aca="false">(INDEX(Stock_MP!$L:$L,MATCH("MP-15",Stock_MP!$B:$B,0))+$B38)+$N$27*SUM($A39:J39)-SUM($B38:K38)</f>
        <v>289.969115248709</v>
      </c>
      <c r="L40" s="15" t="n">
        <f aca="false">(INDEX(Stock_MP!$L:$L,MATCH("MP-15",Stock_MP!$B:$B,0))+$B38)+$N$27*SUM($A39:K39)-SUM($B38:L38)</f>
        <v>181.14564524941</v>
      </c>
      <c r="M40" s="15" t="n">
        <f aca="false">(INDEX(Stock_MP!$L:$L,MATCH("MP-15",Stock_MP!$B:$B,0))+$B38)+$N$27*SUM($A39:L39)-SUM($B38:M38)</f>
        <v>56.77596525021</v>
      </c>
      <c r="N40" s="15" t="n">
        <f aca="false">MIN(B40:M40)</f>
        <v>39.2541802485591</v>
      </c>
    </row>
    <row r="42" customFormat="false" ht="15" hidden="false" customHeight="true" outlineLevel="0" collapsed="false">
      <c r="A42" s="41" t="s">
        <v>1085</v>
      </c>
      <c r="B42" s="15" t="n">
        <f aca="false">INDEX(Stock_MP!$F:$F,MATCH("MP-16",Stock_MP!$B:$B,0))*B$37/$N$37</f>
        <v>290.433950003629</v>
      </c>
      <c r="C42" s="15" t="n">
        <f aca="false">INDEX(Stock_MP!$F:$F,MATCH("MP-16",Stock_MP!$B:$B,0))*C$37/$N$37</f>
        <v>256.265250003849</v>
      </c>
      <c r="D42" s="15" t="n">
        <f aca="false">INDEX(Stock_MP!$F:$F,MATCH("MP-16",Stock_MP!$B:$B,0))*D$37/$N$37</f>
        <v>307.518299998021</v>
      </c>
      <c r="E42" s="15" t="n">
        <f aca="false">INDEX(Stock_MP!$F:$F,MATCH("MP-16",Stock_MP!$B:$B,0))*E$37/$N$37</f>
        <v>307.518299998021</v>
      </c>
      <c r="F42" s="15" t="n">
        <f aca="false">INDEX(Stock_MP!$F:$F,MATCH("MP-16",Stock_MP!$B:$B,0))*F$37/$N$37</f>
        <v>307.518299998021</v>
      </c>
      <c r="G42" s="15" t="n">
        <f aca="false">INDEX(Stock_MP!$F:$F,MATCH("MP-16",Stock_MP!$B:$B,0))*G$37/$N$37</f>
        <v>273.349599998241</v>
      </c>
      <c r="H42" s="15" t="n">
        <f aca="false">INDEX(Stock_MP!$F:$F,MATCH("MP-16",Stock_MP!$B:$B,0))*H$37/$N$37</f>
        <v>307.518299998021</v>
      </c>
      <c r="I42" s="15" t="n">
        <f aca="false">INDEX(Stock_MP!$F:$F,MATCH("MP-16",Stock_MP!$B:$B,0))*I$37/$N$37</f>
        <v>307.518299998021</v>
      </c>
      <c r="J42" s="15" t="n">
        <f aca="false">INDEX(Stock_MP!$F:$F,MATCH("MP-16",Stock_MP!$B:$B,0))*J$37/$N$37</f>
        <v>290.433950003629</v>
      </c>
      <c r="K42" s="15" t="n">
        <f aca="false">INDEX(Stock_MP!$F:$F,MATCH("MP-16",Stock_MP!$B:$B,0))*K$37/$N$37</f>
        <v>256.265250003849</v>
      </c>
      <c r="L42" s="15" t="n">
        <f aca="false">INDEX(Stock_MP!$F:$F,MATCH("MP-16",Stock_MP!$B:$B,0))*L$37/$N$37</f>
        <v>239.180899998461</v>
      </c>
      <c r="M42" s="15" t="n">
        <f aca="false">INDEX(Stock_MP!$F:$F,MATCH("MP-16",Stock_MP!$B:$B,0))*M$37/$N$37</f>
        <v>273.349599998241</v>
      </c>
      <c r="N42" s="48" t="n">
        <f aca="false">SUM(B42:M42)</f>
        <v>3416.87</v>
      </c>
    </row>
    <row r="43" customFormat="false" ht="15" hidden="false" customHeight="true" outlineLevel="0" collapsed="false">
      <c r="A43" s="11" t="s">
        <v>1086</v>
      </c>
      <c r="B43" s="49" t="n">
        <f aca="false">MAX(0,ROUNDUP((INDEX(Stock_MP!$L:$L,MATCH("MP-16",Stock_MP!$B:$B,0))+SUM($B42:C42)-(INDEX(Stock_MP!$L:$L,MATCH("MP-16",Stock_MP!$B:$B,0))+$B42)-$N$28*0)/$N$28,0))</f>
        <v>1</v>
      </c>
      <c r="C43" s="49" t="n">
        <f aca="false">MAX(0,ROUNDUP((INDEX(Stock_MP!$L:$L,MATCH("MP-16",Stock_MP!$B:$B,0))+SUM($B42:D42)-(INDEX(Stock_MP!$L:$L,MATCH("MP-16",Stock_MP!$B:$B,0))+$B42)-$N$28*SUM($A43:B43))/$N$28,0))</f>
        <v>2</v>
      </c>
      <c r="D43" s="49" t="n">
        <f aca="false">MAX(0,ROUNDUP((INDEX(Stock_MP!$L:$L,MATCH("MP-16",Stock_MP!$B:$B,0))+SUM($B42:E42)-(INDEX(Stock_MP!$L:$L,MATCH("MP-16",Stock_MP!$B:$B,0))+$B42)-$N$28*SUM($A43:C43))/$N$28,0))</f>
        <v>1</v>
      </c>
      <c r="E43" s="49" t="n">
        <f aca="false">MAX(0,ROUNDUP((INDEX(Stock_MP!$L:$L,MATCH("MP-16",Stock_MP!$B:$B,0))+SUM($B42:F42)-(INDEX(Stock_MP!$L:$L,MATCH("MP-16",Stock_MP!$B:$B,0))+$B42)-$N$28*SUM($A43:D43))/$N$28,0))</f>
        <v>1</v>
      </c>
      <c r="F43" s="49" t="n">
        <f aca="false">MAX(0,ROUNDUP((INDEX(Stock_MP!$L:$L,MATCH("MP-16",Stock_MP!$B:$B,0))+SUM($B42:G42)-(INDEX(Stock_MP!$L:$L,MATCH("MP-16",Stock_MP!$B:$B,0))+$B42)-$N$28*SUM($A43:E43))/$N$28,0))</f>
        <v>1</v>
      </c>
      <c r="G43" s="49" t="n">
        <f aca="false">MAX(0,ROUNDUP((INDEX(Stock_MP!$L:$L,MATCH("MP-16",Stock_MP!$B:$B,0))+SUM($B42:H42)-(INDEX(Stock_MP!$L:$L,MATCH("MP-16",Stock_MP!$B:$B,0))+$B42)-$N$28*SUM($A43:F43))/$N$28,0))</f>
        <v>1</v>
      </c>
      <c r="H43" s="49" t="n">
        <f aca="false">MAX(0,ROUNDUP((INDEX(Stock_MP!$L:$L,MATCH("MP-16",Stock_MP!$B:$B,0))+SUM($B42:I42)-(INDEX(Stock_MP!$L:$L,MATCH("MP-16",Stock_MP!$B:$B,0))+$B42)-$N$28*SUM($A43:G43))/$N$28,0))</f>
        <v>1</v>
      </c>
      <c r="I43" s="49" t="n">
        <f aca="false">MAX(0,ROUNDUP((INDEX(Stock_MP!$L:$L,MATCH("MP-16",Stock_MP!$B:$B,0))+SUM($B42:J42)-(INDEX(Stock_MP!$L:$L,MATCH("MP-16",Stock_MP!$B:$B,0))+$B42)-$N$28*SUM($A43:H43))/$N$28,0))</f>
        <v>2</v>
      </c>
      <c r="J43" s="49" t="n">
        <f aca="false">MAX(0,ROUNDUP((INDEX(Stock_MP!$L:$L,MATCH("MP-16",Stock_MP!$B:$B,0))+SUM($B42:K42)-(INDEX(Stock_MP!$L:$L,MATCH("MP-16",Stock_MP!$B:$B,0))+$B42)-$N$28*SUM($A43:I43))/$N$28,0))</f>
        <v>1</v>
      </c>
      <c r="K43" s="49" t="n">
        <f aca="false">MAX(0,ROUNDUP((INDEX(Stock_MP!$L:$L,MATCH("MP-16",Stock_MP!$B:$B,0))+SUM($B42:L42)-(INDEX(Stock_MP!$L:$L,MATCH("MP-16",Stock_MP!$B:$B,0))+$B42)-$N$28*SUM($A43:J43))/$N$28,0))</f>
        <v>0</v>
      </c>
      <c r="L43" s="49" t="n">
        <f aca="false">MAX(0,ROUNDUP((INDEX(Stock_MP!$L:$L,MATCH("MP-16",Stock_MP!$B:$B,0))+SUM($B42:M42)-(INDEX(Stock_MP!$L:$L,MATCH("MP-16",Stock_MP!$B:$B,0))+$B42)-$N$28*SUM($A43:K43))/$N$28,0))</f>
        <v>2</v>
      </c>
      <c r="M43" s="49" t="n">
        <f aca="false">MAX(0,ROUNDUP((INDEX(Stock_MP!$L:$L,MATCH("MP-16",Stock_MP!$B:$B,0))+(SUM($B42:$M42)+$B42)-(INDEX(Stock_MP!$L:$L,MATCH("MP-16",Stock_MP!$B:$B,0))+$B42)-$N$28*SUM($A43:L43))/$N$28,0))</f>
        <v>1</v>
      </c>
      <c r="N43" s="50" t="n">
        <f aca="false">SUM(B43:M43)</f>
        <v>14</v>
      </c>
    </row>
    <row r="44" customFormat="false" ht="15" hidden="false" customHeight="true" outlineLevel="0" collapsed="false">
      <c r="A44" s="11" t="s">
        <v>1087</v>
      </c>
      <c r="B44" s="15" t="n">
        <f aca="false">(INDEX(Stock_MP!$L:$L,MATCH("MP-16",Stock_MP!$B:$B,0))+$B42)+$N$28*0-SUM($B42:B42)</f>
        <v>86.2759674968331</v>
      </c>
      <c r="C44" s="15" t="n">
        <f aca="false">(INDEX(Stock_MP!$L:$L,MATCH("MP-16",Stock_MP!$B:$B,0))+$B42)+$N$28*SUM($A43:B43)-SUM($B42:C42)</f>
        <v>90.0107174929844</v>
      </c>
      <c r="D44" s="15" t="n">
        <f aca="false">(INDEX(Stock_MP!$L:$L,MATCH("MP-16",Stock_MP!$B:$B,0))+$B42)+$N$28*SUM($A43:C43)-SUM($B42:D42)</f>
        <v>302.492417494964</v>
      </c>
      <c r="E44" s="15" t="n">
        <f aca="false">(INDEX(Stock_MP!$L:$L,MATCH("MP-16",Stock_MP!$B:$B,0))+$B42)+$N$28*SUM($A43:D43)-SUM($B42:E42)</f>
        <v>254.974117496943</v>
      </c>
      <c r="F44" s="15" t="n">
        <f aca="false">(INDEX(Stock_MP!$L:$L,MATCH("MP-16",Stock_MP!$B:$B,0))+$B42)+$N$28*SUM($A43:E43)-SUM($B42:F42)</f>
        <v>207.455817498922</v>
      </c>
      <c r="G44" s="15" t="n">
        <f aca="false">(INDEX(Stock_MP!$L:$L,MATCH("MP-16",Stock_MP!$B:$B,0))+$B42)+$N$28*SUM($A43:F43)-SUM($B42:G42)</f>
        <v>194.106217500682</v>
      </c>
      <c r="H44" s="15" t="n">
        <f aca="false">(INDEX(Stock_MP!$L:$L,MATCH("MP-16",Stock_MP!$B:$B,0))+$B42)+$N$28*SUM($A43:G43)-SUM($B42:H42)</f>
        <v>146.587917502661</v>
      </c>
      <c r="I44" s="15" t="n">
        <f aca="false">(INDEX(Stock_MP!$L:$L,MATCH("MP-16",Stock_MP!$B:$B,0))+$B42)+$N$28*SUM($A43:H43)-SUM($B42:I42)</f>
        <v>99.0696175046405</v>
      </c>
      <c r="J44" s="15" t="n">
        <f aca="false">(INDEX(Stock_MP!$L:$L,MATCH("MP-16",Stock_MP!$B:$B,0))+$B42)+$N$28*SUM($A43:I43)-SUM($B42:J42)</f>
        <v>328.635667501012</v>
      </c>
      <c r="K44" s="15" t="n">
        <f aca="false">(INDEX(Stock_MP!$L:$L,MATCH("MP-16",Stock_MP!$B:$B,0))+$B42)+$N$28*SUM($A43:J43)-SUM($B42:K42)</f>
        <v>332.370417497163</v>
      </c>
      <c r="L44" s="15" t="n">
        <f aca="false">(INDEX(Stock_MP!$L:$L,MATCH("MP-16",Stock_MP!$B:$B,0))+$B42)+$N$28*SUM($A43:K43)-SUM($B42:L42)</f>
        <v>93.1895174987026</v>
      </c>
      <c r="M44" s="15" t="n">
        <f aca="false">(INDEX(Stock_MP!$L:$L,MATCH("MP-16",Stock_MP!$B:$B,0))+$B42)+$N$28*SUM($A43:L43)-SUM($B42:M42)</f>
        <v>339.839917500462</v>
      </c>
      <c r="N44" s="15" t="n">
        <f aca="false">MIN(B44:M44)</f>
        <v>86.2759674968331</v>
      </c>
    </row>
    <row r="46" customFormat="false" ht="15" hidden="false" customHeight="true" outlineLevel="0" collapsed="false">
      <c r="A46" s="41" t="s">
        <v>1088</v>
      </c>
      <c r="B46" s="15" t="n">
        <f aca="false">INDEX(Stock_MP!$F:$F,MATCH("MP-17",Stock_MP!$B:$B,0))*B$37/$N$37</f>
        <v>105.66800500132</v>
      </c>
      <c r="C46" s="15" t="n">
        <f aca="false">INDEX(Stock_MP!$F:$F,MATCH("MP-17",Stock_MP!$B:$B,0))*C$37/$N$37</f>
        <v>93.2364750014003</v>
      </c>
      <c r="D46" s="15" t="n">
        <f aca="false">INDEX(Stock_MP!$F:$F,MATCH("MP-17",Stock_MP!$B:$B,0))*D$37/$N$37</f>
        <v>111.88376999928</v>
      </c>
      <c r="E46" s="15" t="n">
        <f aca="false">INDEX(Stock_MP!$F:$F,MATCH("MP-17",Stock_MP!$B:$B,0))*E$37/$N$37</f>
        <v>111.88376999928</v>
      </c>
      <c r="F46" s="15" t="n">
        <f aca="false">INDEX(Stock_MP!$F:$F,MATCH("MP-17",Stock_MP!$B:$B,0))*F$37/$N$37</f>
        <v>111.88376999928</v>
      </c>
      <c r="G46" s="15" t="n">
        <f aca="false">INDEX(Stock_MP!$F:$F,MATCH("MP-17",Stock_MP!$B:$B,0))*G$37/$N$37</f>
        <v>99.4522399993599</v>
      </c>
      <c r="H46" s="15" t="n">
        <f aca="false">INDEX(Stock_MP!$F:$F,MATCH("MP-17",Stock_MP!$B:$B,0))*H$37/$N$37</f>
        <v>111.88376999928</v>
      </c>
      <c r="I46" s="15" t="n">
        <f aca="false">INDEX(Stock_MP!$F:$F,MATCH("MP-17",Stock_MP!$B:$B,0))*I$37/$N$37</f>
        <v>111.88376999928</v>
      </c>
      <c r="J46" s="15" t="n">
        <f aca="false">INDEX(Stock_MP!$F:$F,MATCH("MP-17",Stock_MP!$B:$B,0))*J$37/$N$37</f>
        <v>105.66800500132</v>
      </c>
      <c r="K46" s="15" t="n">
        <f aca="false">INDEX(Stock_MP!$F:$F,MATCH("MP-17",Stock_MP!$B:$B,0))*K$37/$N$37</f>
        <v>93.2364750014003</v>
      </c>
      <c r="L46" s="15" t="n">
        <f aca="false">INDEX(Stock_MP!$F:$F,MATCH("MP-17",Stock_MP!$B:$B,0))*L$37/$N$37</f>
        <v>87.0207099994399</v>
      </c>
      <c r="M46" s="15" t="n">
        <f aca="false">INDEX(Stock_MP!$F:$F,MATCH("MP-17",Stock_MP!$B:$B,0))*M$37/$N$37</f>
        <v>99.4522399993599</v>
      </c>
      <c r="N46" s="48" t="n">
        <f aca="false">SUM(B46:M46)</f>
        <v>1243.153</v>
      </c>
    </row>
    <row r="47" customFormat="false" ht="15" hidden="false" customHeight="true" outlineLevel="0" collapsed="false">
      <c r="A47" s="11" t="s">
        <v>1089</v>
      </c>
      <c r="B47" s="49" t="n">
        <f aca="false">MAX(0,ROUNDUP((INDEX(Stock_MP!$L:$L,MATCH("MP-17",Stock_MP!$B:$B,0))+SUM($B46:C46)-(INDEX(Stock_MP!$L:$L,MATCH("MP-17",Stock_MP!$B:$B,0))+$B46)-$N$29*0)/$N$29,0))</f>
        <v>1</v>
      </c>
      <c r="C47" s="49" t="n">
        <f aca="false">MAX(0,ROUNDUP((INDEX(Stock_MP!$L:$L,MATCH("MP-17",Stock_MP!$B:$B,0))+SUM($B46:D46)-(INDEX(Stock_MP!$L:$L,MATCH("MP-17",Stock_MP!$B:$B,0))+$B46)-$N$29*SUM($A47:B47))/$N$29,0))</f>
        <v>1</v>
      </c>
      <c r="D47" s="49" t="n">
        <f aca="false">MAX(0,ROUNDUP((INDEX(Stock_MP!$L:$L,MATCH("MP-17",Stock_MP!$B:$B,0))+SUM($B46:E46)-(INDEX(Stock_MP!$L:$L,MATCH("MP-17",Stock_MP!$B:$B,0))+$B46)-$N$29*SUM($A47:C47))/$N$29,0))</f>
        <v>1</v>
      </c>
      <c r="E47" s="49" t="n">
        <f aca="false">MAX(0,ROUNDUP((INDEX(Stock_MP!$L:$L,MATCH("MP-17",Stock_MP!$B:$B,0))+SUM($B46:F46)-(INDEX(Stock_MP!$L:$L,MATCH("MP-17",Stock_MP!$B:$B,0))+$B46)-$N$29*SUM($A47:D47))/$N$29,0))</f>
        <v>1</v>
      </c>
      <c r="F47" s="49" t="n">
        <f aca="false">MAX(0,ROUNDUP((INDEX(Stock_MP!$L:$L,MATCH("MP-17",Stock_MP!$B:$B,0))+SUM($B46:G46)-(INDEX(Stock_MP!$L:$L,MATCH("MP-17",Stock_MP!$B:$B,0))+$B46)-$N$29*SUM($A47:E47))/$N$29,0))</f>
        <v>1</v>
      </c>
      <c r="G47" s="49" t="n">
        <f aca="false">MAX(0,ROUNDUP((INDEX(Stock_MP!$L:$L,MATCH("MP-17",Stock_MP!$B:$B,0))+SUM($B46:H46)-(INDEX(Stock_MP!$L:$L,MATCH("MP-17",Stock_MP!$B:$B,0))+$B46)-$N$29*SUM($A47:F47))/$N$29,0))</f>
        <v>1</v>
      </c>
      <c r="H47" s="49" t="n">
        <f aca="false">MAX(0,ROUNDUP((INDEX(Stock_MP!$L:$L,MATCH("MP-17",Stock_MP!$B:$B,0))+SUM($B46:I46)-(INDEX(Stock_MP!$L:$L,MATCH("MP-17",Stock_MP!$B:$B,0))+$B46)-$N$29*SUM($A47:G47))/$N$29,0))</f>
        <v>1</v>
      </c>
      <c r="I47" s="49" t="n">
        <f aca="false">MAX(0,ROUNDUP((INDEX(Stock_MP!$L:$L,MATCH("MP-17",Stock_MP!$B:$B,0))+SUM($B46:J46)-(INDEX(Stock_MP!$L:$L,MATCH("MP-17",Stock_MP!$B:$B,0))+$B46)-$N$29*SUM($A47:H47))/$N$29,0))</f>
        <v>1</v>
      </c>
      <c r="J47" s="49" t="n">
        <f aca="false">MAX(0,ROUNDUP((INDEX(Stock_MP!$L:$L,MATCH("MP-17",Stock_MP!$B:$B,0))+SUM($B46:K46)-(INDEX(Stock_MP!$L:$L,MATCH("MP-17",Stock_MP!$B:$B,0))+$B46)-$N$29*SUM($A47:I47))/$N$29,0))</f>
        <v>1</v>
      </c>
      <c r="K47" s="49" t="n">
        <f aca="false">MAX(0,ROUNDUP((INDEX(Stock_MP!$L:$L,MATCH("MP-17",Stock_MP!$B:$B,0))+SUM($B46:L46)-(INDEX(Stock_MP!$L:$L,MATCH("MP-17",Stock_MP!$B:$B,0))+$B46)-$N$29*SUM($A47:J47))/$N$29,0))</f>
        <v>0</v>
      </c>
      <c r="L47" s="49" t="n">
        <f aca="false">MAX(0,ROUNDUP((INDEX(Stock_MP!$L:$L,MATCH("MP-17",Stock_MP!$B:$B,0))+SUM($B46:M46)-(INDEX(Stock_MP!$L:$L,MATCH("MP-17",Stock_MP!$B:$B,0))+$B46)-$N$29*SUM($A47:K47))/$N$29,0))</f>
        <v>1</v>
      </c>
      <c r="M47" s="49" t="n">
        <f aca="false">MAX(0,ROUNDUP((INDEX(Stock_MP!$L:$L,MATCH("MP-17",Stock_MP!$B:$B,0))+(SUM($B46:$M46)+$B46)-(INDEX(Stock_MP!$L:$L,MATCH("MP-17",Stock_MP!$B:$B,0))+$B46)-$N$29*SUM($A47:L47))/$N$29,0))</f>
        <v>1</v>
      </c>
      <c r="N47" s="50" t="n">
        <f aca="false">SUM(B47:M47)</f>
        <v>11</v>
      </c>
    </row>
    <row r="48" customFormat="false" ht="15" hidden="false" customHeight="true" outlineLevel="0" collapsed="false">
      <c r="A48" s="11" t="s">
        <v>1090</v>
      </c>
      <c r="B48" s="15" t="n">
        <f aca="false">(INDEX(Stock_MP!$L:$L,MATCH("MP-17",Stock_MP!$B:$B,0))+$B46)+$N$29*0-SUM($B46:B46)</f>
        <v>31.3896132488478</v>
      </c>
      <c r="C48" s="15" t="n">
        <f aca="false">(INDEX(Stock_MP!$L:$L,MATCH("MP-17",Stock_MP!$B:$B,0))+$B46)+$N$29*SUM($A47:B47)-SUM($B46:C46)</f>
        <v>54.1531382474475</v>
      </c>
      <c r="D48" s="15" t="n">
        <f aca="false">(INDEX(Stock_MP!$L:$L,MATCH("MP-17",Stock_MP!$B:$B,0))+$B46)+$N$29*SUM($A47:C47)-SUM($B46:D46)</f>
        <v>58.2693682481676</v>
      </c>
      <c r="E48" s="15" t="n">
        <f aca="false">(INDEX(Stock_MP!$L:$L,MATCH("MP-17",Stock_MP!$B:$B,0))+$B46)+$N$29*SUM($A47:D47)-SUM($B46:E46)</f>
        <v>62.3855982488877</v>
      </c>
      <c r="F48" s="15" t="n">
        <f aca="false">(INDEX(Stock_MP!$L:$L,MATCH("MP-17",Stock_MP!$B:$B,0))+$B46)+$N$29*SUM($A47:E47)-SUM($B46:F46)</f>
        <v>66.5018282496079</v>
      </c>
      <c r="G48" s="15" t="n">
        <f aca="false">(INDEX(Stock_MP!$L:$L,MATCH("MP-17",Stock_MP!$B:$B,0))+$B46)+$N$29*SUM($A47:F47)-SUM($B46:G46)</f>
        <v>83.0495882502479</v>
      </c>
      <c r="H48" s="15" t="n">
        <f aca="false">(INDEX(Stock_MP!$L:$L,MATCH("MP-17",Stock_MP!$B:$B,0))+$B46)+$N$29*SUM($A47:G47)-SUM($B46:H46)</f>
        <v>87.1658182509682</v>
      </c>
      <c r="I48" s="15" t="n">
        <f aca="false">(INDEX(Stock_MP!$L:$L,MATCH("MP-17",Stock_MP!$B:$B,0))+$B46)+$N$29*SUM($A47:H47)-SUM($B46:I46)</f>
        <v>91.2820482516883</v>
      </c>
      <c r="J48" s="15" t="n">
        <f aca="false">(INDEX(Stock_MP!$L:$L,MATCH("MP-17",Stock_MP!$B:$B,0))+$B46)+$N$29*SUM($A47:I47)-SUM($B46:J46)</f>
        <v>101.614043250368</v>
      </c>
      <c r="K48" s="15" t="n">
        <f aca="false">(INDEX(Stock_MP!$L:$L,MATCH("MP-17",Stock_MP!$B:$B,0))+$B46)+$N$29*SUM($A47:J47)-SUM($B46:K46)</f>
        <v>124.377568248968</v>
      </c>
      <c r="L48" s="15" t="n">
        <f aca="false">(INDEX(Stock_MP!$L:$L,MATCH("MP-17",Stock_MP!$B:$B,0))+$B46)+$N$29*SUM($A47:K47)-SUM($B46:L46)</f>
        <v>37.3568582495277</v>
      </c>
      <c r="M48" s="15" t="n">
        <f aca="false">(INDEX(Stock_MP!$L:$L,MATCH("MP-17",Stock_MP!$B:$B,0))+$B46)+$N$29*SUM($A47:L47)-SUM($B46:M46)</f>
        <v>53.9046182501681</v>
      </c>
      <c r="N48" s="15" t="n">
        <f aca="false">MIN(B48:M48)</f>
        <v>31.3896132488478</v>
      </c>
    </row>
    <row r="50" customFormat="false" ht="15" hidden="false" customHeight="true" outlineLevel="0" collapsed="false">
      <c r="A50" s="41" t="s">
        <v>1091</v>
      </c>
      <c r="B50" s="49" t="n">
        <f aca="false">B39+B43+B47</f>
        <v>3</v>
      </c>
      <c r="C50" s="49" t="n">
        <f aca="false">C39+C43+C47</f>
        <v>3</v>
      </c>
      <c r="D50" s="49" t="n">
        <f aca="false">D39+D43+D47</f>
        <v>3</v>
      </c>
      <c r="E50" s="49" t="n">
        <f aca="false">E39+E43+E47</f>
        <v>2</v>
      </c>
      <c r="F50" s="49" t="n">
        <f aca="false">F39+F43+F47</f>
        <v>2</v>
      </c>
      <c r="G50" s="49" t="n">
        <f aca="false">G39+G43+G47</f>
        <v>3</v>
      </c>
      <c r="H50" s="49" t="n">
        <f aca="false">H39+H43+H47</f>
        <v>2</v>
      </c>
      <c r="I50" s="49" t="n">
        <f aca="false">I39+I43+I47</f>
        <v>3</v>
      </c>
      <c r="J50" s="49" t="n">
        <f aca="false">J39+J43+J47</f>
        <v>3</v>
      </c>
      <c r="K50" s="49" t="n">
        <f aca="false">K39+K43+K47</f>
        <v>0</v>
      </c>
      <c r="L50" s="49" t="n">
        <f aca="false">L39+L43+L47</f>
        <v>3</v>
      </c>
      <c r="M50" s="49" t="n">
        <f aca="false">M39+M43+M47</f>
        <v>3</v>
      </c>
      <c r="N50" s="49" t="n">
        <f aca="false">N39+N43+N47</f>
        <v>30</v>
      </c>
    </row>
    <row r="51" customFormat="false" ht="15" hidden="false" customHeight="true" outlineLevel="0" collapsed="false">
      <c r="A51" s="11" t="s">
        <v>1092</v>
      </c>
      <c r="B51" s="43" t="n">
        <f aca="false">(B39*$S$27+B43*$S$28+B47*$S$29)/1000</f>
        <v>2.88224</v>
      </c>
      <c r="C51" s="43" t="n">
        <f aca="false">(C39*$S$27+C43*$S$28+C47*$S$29)/1000</f>
        <v>2.87744</v>
      </c>
      <c r="D51" s="43" t="n">
        <f aca="false">(D39*$S$27+D43*$S$28+D47*$S$29)/1000</f>
        <v>2.88224</v>
      </c>
      <c r="E51" s="43" t="n">
        <f aca="false">(E39*$S$27+E43*$S$28+E47*$S$29)/1000</f>
        <v>1.88384</v>
      </c>
      <c r="F51" s="43" t="n">
        <f aca="false">(F39*$S$27+F43*$S$28+F47*$S$29)/1000</f>
        <v>1.88384</v>
      </c>
      <c r="G51" s="43" t="n">
        <f aca="false">(G39*$S$27+G43*$S$28+G47*$S$29)/1000</f>
        <v>2.88224</v>
      </c>
      <c r="H51" s="43" t="n">
        <f aca="false">(H39*$S$27+H43*$S$28+H47*$S$29)/1000</f>
        <v>1.88384</v>
      </c>
      <c r="I51" s="43" t="n">
        <f aca="false">(I39*$S$27+I43*$S$28+I47*$S$29)/1000</f>
        <v>2.87744</v>
      </c>
      <c r="J51" s="43" t="n">
        <f aca="false">(J39*$S$27+J43*$S$28+J47*$S$29)/1000</f>
        <v>2.88224</v>
      </c>
      <c r="K51" s="43" t="n">
        <f aca="false">(K39*$S$27+K43*$S$28+K47*$S$29)/1000</f>
        <v>0</v>
      </c>
      <c r="L51" s="43" t="n">
        <f aca="false">(L39*$S$27+L43*$S$28+L47*$S$29)/1000</f>
        <v>2.87744</v>
      </c>
      <c r="M51" s="43" t="n">
        <f aca="false">(M39*$S$27+M43*$S$28+M47*$S$29)/1000</f>
        <v>2.88224</v>
      </c>
      <c r="N51" s="43" t="n">
        <f aca="false">(N39*$S$27+N43*$S$28+N47*$S$29)/1000</f>
        <v>28.69504</v>
      </c>
    </row>
    <row r="53" customFormat="false" ht="15" hidden="false" customHeight="true" outlineLevel="0" collapsed="false">
      <c r="A53" s="14" t="s">
        <v>1093</v>
      </c>
    </row>
    <row r="54" customFormat="false" ht="15" hidden="false" customHeight="true" outlineLevel="0" collapsed="false">
      <c r="A54" s="14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6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10" min="9" style="1" width="8"/>
    <col collapsed="false" customWidth="true" hidden="false" outlineLevel="0" max="12" min="11" style="1" width="11"/>
    <col collapsed="false" customWidth="true" hidden="false" outlineLevel="0" max="13" min="13" style="1" width="30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7" min="16" style="1" width="9"/>
    <col collapsed="false" customWidth="true" hidden="false" outlineLevel="0" max="18" min="18" style="1" width="30"/>
    <col collapsed="false" customWidth="true" hidden="false" outlineLevel="0" max="19" min="19" style="1" width="12"/>
    <col collapsed="false" customWidth="true" hidden="false" outlineLevel="0" max="20" min="20" style="1" width="10"/>
    <col collapsed="false" customWidth="true" hidden="false" outlineLevel="0" max="21" min="21" style="1" width="9"/>
    <col collapsed="false" customWidth="true" hidden="false" outlineLevel="0" max="22" min="22" style="1" width="55"/>
    <col collapsed="false" customWidth="true" hidden="false" outlineLevel="0" max="23" min="23" style="1" width="12"/>
  </cols>
  <sheetData>
    <row r="1" customFormat="false" ht="15" hidden="false" customHeight="true" outlineLevel="0" collapsed="false">
      <c r="A1" s="2" t="s">
        <v>1095</v>
      </c>
    </row>
    <row r="2" customFormat="false" ht="15" hidden="false" customHeight="true" outlineLevel="0" collapsed="false">
      <c r="A2" s="3" t="s">
        <v>1096</v>
      </c>
    </row>
    <row r="3" customFormat="false" ht="15" hidden="false" customHeight="true" outlineLevel="0" collapsed="false">
      <c r="A3" s="4" t="s">
        <v>1097</v>
      </c>
    </row>
    <row r="5" customFormat="false" ht="42" hidden="false" customHeight="true" outlineLevel="0" collapsed="false">
      <c r="A5" s="7" t="s">
        <v>129</v>
      </c>
      <c r="B5" s="7" t="s">
        <v>130</v>
      </c>
      <c r="C5" s="7" t="s">
        <v>30</v>
      </c>
      <c r="D5" s="7" t="s">
        <v>133</v>
      </c>
      <c r="E5" s="7" t="s">
        <v>131</v>
      </c>
      <c r="F5" s="7" t="s">
        <v>132</v>
      </c>
      <c r="G5" s="7" t="s">
        <v>1098</v>
      </c>
      <c r="H5" s="7" t="s">
        <v>1099</v>
      </c>
      <c r="I5" s="7" t="s">
        <v>134</v>
      </c>
      <c r="J5" s="7" t="s">
        <v>135</v>
      </c>
      <c r="K5" s="7" t="s">
        <v>1100</v>
      </c>
      <c r="L5" s="7" t="s">
        <v>1101</v>
      </c>
      <c r="M5" s="7" t="s">
        <v>136</v>
      </c>
      <c r="N5" s="7" t="s">
        <v>137</v>
      </c>
      <c r="O5" s="7" t="s">
        <v>65</v>
      </c>
      <c r="P5" s="7" t="s">
        <v>1102</v>
      </c>
      <c r="Q5" s="7" t="s">
        <v>1103</v>
      </c>
      <c r="R5" s="7" t="s">
        <v>111</v>
      </c>
      <c r="S5" s="7" t="s">
        <v>1104</v>
      </c>
      <c r="T5" s="7" t="s">
        <v>139</v>
      </c>
      <c r="U5" s="7" t="s">
        <v>112</v>
      </c>
      <c r="V5" s="7" t="s">
        <v>1105</v>
      </c>
      <c r="W5" s="7" t="s">
        <v>94</v>
      </c>
    </row>
    <row r="6" customFormat="false" ht="15" hidden="false" customHeight="true" outlineLevel="0" collapsed="false">
      <c r="A6" s="11" t="str">
        <f aca="false">Datos!A52</f>
        <v>P01</v>
      </c>
      <c r="B6" s="41" t="str">
        <f aca="false">Datos!C52</f>
        <v>MP-01</v>
      </c>
      <c r="C6" s="11" t="str">
        <f aca="false">Datos!B52</f>
        <v>Hoja LAF 0,9 × 1220 × 2440 mm (cuerpo 1 kg)</v>
      </c>
      <c r="D6" s="11" t="str">
        <f aca="false">Datos!F52</f>
        <v>hoja</v>
      </c>
      <c r="E6" s="11" t="str">
        <f aca="false">Datos!D52</f>
        <v>Hierros Parrotta</v>
      </c>
      <c r="F6" s="47" t="n">
        <f aca="false">Datos!E52</f>
        <v>4502.681</v>
      </c>
      <c r="G6" s="51" t="n">
        <f aca="false">F6/DIAS_ANIO</f>
        <v>18.7611708333333</v>
      </c>
      <c r="H6" s="51" t="n">
        <f aca="false">Chapa_fleje!H7</f>
        <v>20.2620639133</v>
      </c>
      <c r="I6" s="11" t="n">
        <f aca="false">Datos!G52</f>
        <v>10</v>
      </c>
      <c r="J6" s="11" t="n">
        <f aca="false">Datos!H52</f>
        <v>10</v>
      </c>
      <c r="K6" s="47" t="n">
        <f aca="false">G6*(I6+J6)/2</f>
        <v>187.611708333333</v>
      </c>
      <c r="L6" s="47" t="n">
        <f aca="false">Chapa_fleje!S7*Chapa_fleje!L7</f>
        <v>21</v>
      </c>
      <c r="M6" s="11" t="str">
        <f aca="false">"Paquete de "&amp;Chapa_fleje!L7&amp;" hojas (1 tanda)"</f>
        <v>Paquete de 21 hojas (1 tanda)</v>
      </c>
      <c r="N6" s="15" t="n">
        <f aca="false">Chapa_fleje!L7</f>
        <v>21</v>
      </c>
      <c r="O6" s="15" t="n">
        <f aca="false">Chapa_fleje!T7</f>
        <v>20</v>
      </c>
      <c r="P6" s="15" t="n">
        <f aca="false">Chapa_fleje!U7</f>
        <v>20</v>
      </c>
      <c r="Q6" s="43" t="n">
        <f aca="false">IF(P6*N6=0,0,F6/(P6*N6))</f>
        <v>10.720669047619</v>
      </c>
      <c r="R6" s="11" t="s">
        <v>1106</v>
      </c>
      <c r="S6" s="48" t="n">
        <f aca="false">Chapa_fleje!V7*Chapa_fleje!L7</f>
        <v>441</v>
      </c>
      <c r="T6" s="11" t="s">
        <v>13</v>
      </c>
      <c r="U6" s="43" t="n">
        <f aca="false">Chapa_fleje!K18</f>
        <v>1</v>
      </c>
      <c r="V6" s="11" t="str">
        <f aca="false">IFERROR(VLOOKUP(R6,Almacenes!$A$19:$I$32,9,FALSE()),"")</f>
        <v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v>
      </c>
      <c r="W6" s="11" t="s">
        <v>107</v>
      </c>
    </row>
    <row r="7" customFormat="false" ht="15" hidden="false" customHeight="true" outlineLevel="0" collapsed="false">
      <c r="A7" s="11" t="str">
        <f aca="false">Datos!A53</f>
        <v>P02</v>
      </c>
      <c r="B7" s="41" t="str">
        <f aca="false">Datos!C53</f>
        <v>MP-02</v>
      </c>
      <c r="C7" s="11" t="str">
        <f aca="false">Datos!B53</f>
        <v>Hoja LAF 1,25 × 1220 × 2440 mm</v>
      </c>
      <c r="D7" s="11" t="str">
        <f aca="false">Datos!F53</f>
        <v>hoja</v>
      </c>
      <c r="E7" s="11" t="str">
        <f aca="false">Datos!D53</f>
        <v>Pradecon</v>
      </c>
      <c r="F7" s="47" t="n">
        <f aca="false">Datos!E53</f>
        <v>523.198</v>
      </c>
      <c r="G7" s="51" t="n">
        <f aca="false">F7/DIAS_ANIO</f>
        <v>2.17999166666667</v>
      </c>
      <c r="H7" s="51" t="n">
        <f aca="false">Chapa_fleje!H8</f>
        <v>2.35438974068333</v>
      </c>
      <c r="I7" s="11" t="n">
        <f aca="false">Datos!G53</f>
        <v>7</v>
      </c>
      <c r="J7" s="11" t="n">
        <f aca="false">Datos!H53</f>
        <v>10</v>
      </c>
      <c r="K7" s="47" t="n">
        <f aca="false">G7*(I7+J7)/2</f>
        <v>18.5299291666667</v>
      </c>
      <c r="L7" s="47" t="n">
        <f aca="false">Chapa_fleje!S8*Chapa_fleje!L8</f>
        <v>19</v>
      </c>
      <c r="M7" s="11" t="str">
        <f aca="false">"Paquete de "&amp;Chapa_fleje!L8&amp;" hojas (1 tanda)"</f>
        <v>Paquete de 19 hojas (1 tanda)</v>
      </c>
      <c r="N7" s="15" t="n">
        <f aca="false">Chapa_fleje!L8</f>
        <v>19</v>
      </c>
      <c r="O7" s="15" t="n">
        <f aca="false">Chapa_fleje!T8</f>
        <v>20</v>
      </c>
      <c r="P7" s="15" t="n">
        <f aca="false">Chapa_fleje!U8</f>
        <v>3</v>
      </c>
      <c r="Q7" s="43" t="n">
        <f aca="false">IF(P7*N7=0,0,F7/(P7*N7))</f>
        <v>9.17891228070175</v>
      </c>
      <c r="R7" s="11" t="s">
        <v>1106</v>
      </c>
      <c r="S7" s="48" t="n">
        <f aca="false">Chapa_fleje!V8*Chapa_fleje!L8</f>
        <v>76</v>
      </c>
      <c r="T7" s="11" t="s">
        <v>13</v>
      </c>
      <c r="U7" s="43" t="n">
        <f aca="false">Chapa_fleje!K19</f>
        <v>1</v>
      </c>
      <c r="V7" s="11" t="str">
        <f aca="false">IFERROR(VLOOKUP(R7,Almacenes!$A$19:$I$32,9,FALSE()),"")</f>
        <v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v>
      </c>
      <c r="W7" s="11" t="s">
        <v>107</v>
      </c>
    </row>
    <row r="8" customFormat="false" ht="15" hidden="false" customHeight="true" outlineLevel="0" collapsed="false">
      <c r="A8" s="11" t="str">
        <f aca="false">Datos!A54</f>
        <v>P03</v>
      </c>
      <c r="B8" s="41" t="str">
        <f aca="false">Datos!C54</f>
        <v>MP-03</v>
      </c>
      <c r="C8" s="11" t="str">
        <f aca="false">Datos!B54</f>
        <v>Hoja LAF 1,6 × 1000 × 2000 mm</v>
      </c>
      <c r="D8" s="11" t="str">
        <f aca="false">Datos!F54</f>
        <v>hoja</v>
      </c>
      <c r="E8" s="11" t="str">
        <f aca="false">Datos!D54</f>
        <v>Pradecon</v>
      </c>
      <c r="F8" s="47" t="n">
        <f aca="false">Datos!E54</f>
        <v>5321.055</v>
      </c>
      <c r="G8" s="51" t="n">
        <f aca="false">F8/DIAS_ANIO</f>
        <v>22.1710625</v>
      </c>
      <c r="H8" s="51" t="n">
        <f aca="false">Chapa_fleje!H9</f>
        <v>23.944747020375</v>
      </c>
      <c r="I8" s="11" t="n">
        <f aca="false">Datos!G54</f>
        <v>7</v>
      </c>
      <c r="J8" s="11" t="n">
        <f aca="false">Datos!H54</f>
        <v>10</v>
      </c>
      <c r="K8" s="47" t="n">
        <f aca="false">G8*(I8+J8)/2</f>
        <v>188.45403125</v>
      </c>
      <c r="L8" s="47" t="n">
        <f aca="false">Chapa_fleje!S9*Chapa_fleje!L9</f>
        <v>72</v>
      </c>
      <c r="M8" s="11" t="str">
        <f aca="false">"Paquete de "&amp;Chapa_fleje!L9&amp;" hojas (1 tanda)"</f>
        <v>Paquete de 24 hojas (1 tanda)</v>
      </c>
      <c r="N8" s="15" t="n">
        <f aca="false">Chapa_fleje!L9</f>
        <v>24</v>
      </c>
      <c r="O8" s="15" t="n">
        <f aca="false">Chapa_fleje!T9</f>
        <v>20</v>
      </c>
      <c r="P8" s="15" t="n">
        <f aca="false">Chapa_fleje!U9</f>
        <v>20</v>
      </c>
      <c r="Q8" s="43" t="n">
        <f aca="false">IF(P8*N8=0,0,F8/(P8*N8))</f>
        <v>11.08553125</v>
      </c>
      <c r="R8" s="11" t="s">
        <v>1106</v>
      </c>
      <c r="S8" s="48" t="n">
        <f aca="false">Chapa_fleje!V9*Chapa_fleje!L9</f>
        <v>552</v>
      </c>
      <c r="T8" s="11" t="s">
        <v>13</v>
      </c>
      <c r="U8" s="43" t="n">
        <f aca="false">Chapa_fleje!K20</f>
        <v>2</v>
      </c>
      <c r="V8" s="11" t="str">
        <f aca="false">IFERROR(VLOOKUP(R8,Almacenes!$A$19:$I$32,9,FALSE()),"")</f>
        <v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v>
      </c>
      <c r="W8" s="11" t="s">
        <v>107</v>
      </c>
    </row>
    <row r="9" customFormat="false" ht="15" hidden="false" customHeight="true" outlineLevel="0" collapsed="false">
      <c r="A9" s="11" t="str">
        <f aca="false">Datos!A55</f>
        <v>P04</v>
      </c>
      <c r="B9" s="41" t="str">
        <f aca="false">Datos!C55</f>
        <v>MP-04</v>
      </c>
      <c r="C9" s="11" t="str">
        <f aca="false">Datos!B55</f>
        <v>Hoja LAF 2,0 × 1500 × 3000 mm</v>
      </c>
      <c r="D9" s="11" t="str">
        <f aca="false">Datos!F55</f>
        <v>hoja</v>
      </c>
      <c r="E9" s="11" t="str">
        <f aca="false">Datos!D55</f>
        <v>Pradecon</v>
      </c>
      <c r="F9" s="47" t="n">
        <f aca="false">Datos!E55</f>
        <v>257.529</v>
      </c>
      <c r="G9" s="51" t="n">
        <f aca="false">F9/DIAS_ANIO</f>
        <v>1.0730375</v>
      </c>
      <c r="H9" s="51" t="n">
        <f aca="false">Chapa_fleje!H10</f>
        <v>1.15887842361</v>
      </c>
      <c r="I9" s="11" t="n">
        <f aca="false">Datos!G55</f>
        <v>7</v>
      </c>
      <c r="J9" s="11" t="n">
        <f aca="false">Datos!H55</f>
        <v>10</v>
      </c>
      <c r="K9" s="47" t="n">
        <f aca="false">G9*(I9+J9)/2</f>
        <v>9.12081875</v>
      </c>
      <c r="L9" s="47" t="n">
        <f aca="false">Chapa_fleje!S10*Chapa_fleje!L10</f>
        <v>19</v>
      </c>
      <c r="M9" s="11" t="str">
        <f aca="false">"Paquete de "&amp;Chapa_fleje!L10&amp;" hojas (1 tanda)"</f>
        <v>Paquete de 19 hojas (1 tanda)</v>
      </c>
      <c r="N9" s="15" t="n">
        <f aca="false">Chapa_fleje!L10</f>
        <v>19</v>
      </c>
      <c r="O9" s="15" t="n">
        <f aca="false">Chapa_fleje!T10</f>
        <v>20</v>
      </c>
      <c r="P9" s="15" t="n">
        <f aca="false">Chapa_fleje!U10</f>
        <v>2</v>
      </c>
      <c r="Q9" s="43" t="n">
        <f aca="false">IF(P9*N9=0,0,F9/(P9*N9))</f>
        <v>6.77707894736842</v>
      </c>
      <c r="R9" s="11" t="s">
        <v>1106</v>
      </c>
      <c r="S9" s="48" t="n">
        <f aca="false">Chapa_fleje!V10*Chapa_fleje!L10</f>
        <v>57</v>
      </c>
      <c r="T9" s="11" t="s">
        <v>13</v>
      </c>
      <c r="U9" s="43" t="n">
        <f aca="false">Chapa_fleje!K21</f>
        <v>1</v>
      </c>
      <c r="V9" s="11" t="str">
        <f aca="false">IFERROR(VLOOKUP(R9,Almacenes!$A$19:$I$32,9,FALSE()),"")</f>
        <v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v>
      </c>
      <c r="W9" s="11" t="s">
        <v>107</v>
      </c>
    </row>
    <row r="10" customFormat="false" ht="15" hidden="false" customHeight="true" outlineLevel="0" collapsed="false">
      <c r="A10" s="11" t="str">
        <f aca="false">Datos!A56</f>
        <v>P05</v>
      </c>
      <c r="B10" s="41" t="str">
        <f aca="false">Datos!C56</f>
        <v>MP-05</v>
      </c>
      <c r="C10" s="11" t="str">
        <f aca="false">Datos!B56</f>
        <v>Fleje LAF 0,9 × 93,05 mm (cúpula 1 kg)</v>
      </c>
      <c r="D10" s="11" t="str">
        <f aca="false">Datos!F56</f>
        <v>kg</v>
      </c>
      <c r="E10" s="11" t="str">
        <f aca="false">Datos!D56</f>
        <v>Pradecon</v>
      </c>
      <c r="F10" s="47" t="n">
        <f aca="false">Datos!E56</f>
        <v>12095.318</v>
      </c>
      <c r="G10" s="51" t="n">
        <f aca="false">F10/DIAS_ANIO</f>
        <v>50.3971583333333</v>
      </c>
      <c r="H10" s="51" t="n">
        <f aca="false">Chapa_fleje!I34</f>
        <v>54.4289310357271</v>
      </c>
      <c r="I10" s="11" t="n">
        <f aca="false">Datos!G56</f>
        <v>7</v>
      </c>
      <c r="J10" s="11" t="n">
        <f aca="false">Datos!H56</f>
        <v>10</v>
      </c>
      <c r="K10" s="47" t="n">
        <f aca="false">G10*(I10+J10)/2</f>
        <v>428.375845833333</v>
      </c>
      <c r="L10" s="47" t="n">
        <f aca="false">Chapa_fleje!S34*Chapa_fleje!M34</f>
        <v>217.715724142908</v>
      </c>
      <c r="M10" s="11" t="str">
        <f aca="false">"Rollo de "&amp;TEXT(Chapa_fleje!M34,"#,##0")&amp;" kg (1 tanda)"</f>
        <v>Rollo de 218 kg (1 tanda)</v>
      </c>
      <c r="N10" s="47" t="n">
        <f aca="false">Chapa_fleje!M34</f>
        <v>217.715724142908</v>
      </c>
      <c r="O10" s="15" t="n">
        <f aca="false">Chapa_fleje!T34</f>
        <v>20</v>
      </c>
      <c r="P10" s="15" t="n">
        <f aca="false">Chapa_fleje!U34</f>
        <v>5</v>
      </c>
      <c r="Q10" s="43" t="n">
        <f aca="false">IF(P10*N10=0,0,F10/(P10*N10))</f>
        <v>11.1111111038178</v>
      </c>
      <c r="R10" s="11" t="s">
        <v>1107</v>
      </c>
      <c r="S10" s="48" t="n">
        <f aca="false">Chapa_fleje!W34*1000</f>
        <v>1306.29434485745</v>
      </c>
      <c r="T10" s="11" t="s">
        <v>13</v>
      </c>
      <c r="U10" s="43" t="n">
        <f aca="false">Chapa_fleje!K57</f>
        <v>2</v>
      </c>
      <c r="V10" s="11" t="str">
        <f aca="false">IFERROR(VLOOKUP(R10,Almacenes!$A$19:$I$32,9,FALSE()),"")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0" s="11" t="s">
        <v>107</v>
      </c>
    </row>
    <row r="11" customFormat="false" ht="15" hidden="false" customHeight="true" outlineLevel="0" collapsed="false">
      <c r="A11" s="11" t="str">
        <f aca="false">Datos!A57</f>
        <v>P06</v>
      </c>
      <c r="B11" s="41" t="str">
        <f aca="false">Datos!C57</f>
        <v>MP-13</v>
      </c>
      <c r="C11" s="11" t="str">
        <f aca="false">Datos!B57</f>
        <v>Fleje LAF 0,9 × 100,6 mm (fondo 1 kg)</v>
      </c>
      <c r="D11" s="11" t="str">
        <f aca="false">Datos!F57</f>
        <v>kg</v>
      </c>
      <c r="E11" s="11" t="str">
        <f aca="false">Datos!D57</f>
        <v>Pradecon</v>
      </c>
      <c r="F11" s="47" t="n">
        <f aca="false">Datos!E57</f>
        <v>14024.6</v>
      </c>
      <c r="G11" s="51" t="n">
        <f aca="false">F11/DIAS_ANIO</f>
        <v>58.4358333333333</v>
      </c>
      <c r="H11" s="51" t="n">
        <f aca="false">Chapa_fleje!I35</f>
        <v>63.1107000414258</v>
      </c>
      <c r="I11" s="11" t="n">
        <f aca="false">Datos!G57</f>
        <v>7</v>
      </c>
      <c r="J11" s="11" t="n">
        <f aca="false">Datos!H57</f>
        <v>10</v>
      </c>
      <c r="K11" s="47" t="n">
        <f aca="false">G11*(I11+J11)/2</f>
        <v>496.704583333333</v>
      </c>
      <c r="L11" s="47" t="n">
        <f aca="false">Chapa_fleje!S35*Chapa_fleje!M35</f>
        <v>252.442800165703</v>
      </c>
      <c r="M11" s="11" t="str">
        <f aca="false">"Rollo de "&amp;TEXT(Chapa_fleje!M35,"#,##0")&amp;" kg (1 tanda)"</f>
        <v>Rollo de 252 kg (1 tanda)</v>
      </c>
      <c r="N11" s="47" t="n">
        <f aca="false">Chapa_fleje!M35</f>
        <v>252.442800165703</v>
      </c>
      <c r="O11" s="15" t="n">
        <f aca="false">Chapa_fleje!T35</f>
        <v>20</v>
      </c>
      <c r="P11" s="15" t="n">
        <f aca="false">Chapa_fleje!U35</f>
        <v>5</v>
      </c>
      <c r="Q11" s="43" t="n">
        <f aca="false">IF(P11*N11=0,0,F11/(P11*N11))</f>
        <v>11.1111111038178</v>
      </c>
      <c r="R11" s="11" t="s">
        <v>1107</v>
      </c>
      <c r="S11" s="48" t="n">
        <f aca="false">Chapa_fleje!W35*1000</f>
        <v>1514.65680099422</v>
      </c>
      <c r="T11" s="11" t="s">
        <v>13</v>
      </c>
      <c r="U11" s="43" t="n">
        <f aca="false">Chapa_fleje!K58</f>
        <v>2</v>
      </c>
      <c r="V11" s="11" t="str">
        <f aca="false">IFERROR(VLOOKUP(R11,Almacenes!$A$19:$I$32,9,FALSE()),"")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1" s="11" t="s">
        <v>107</v>
      </c>
    </row>
    <row r="12" customFormat="false" ht="15" hidden="false" customHeight="true" outlineLevel="0" collapsed="false">
      <c r="A12" s="11" t="str">
        <f aca="false">Datos!A58</f>
        <v>P07</v>
      </c>
      <c r="B12" s="41" t="str">
        <f aca="false">Datos!C58</f>
        <v>MP-06</v>
      </c>
      <c r="C12" s="11" t="str">
        <f aca="false">Datos!B58</f>
        <v>Fleje LAF 1,25 × 162,1 mm (cúpula 2,5 kg)</v>
      </c>
      <c r="D12" s="11" t="str">
        <f aca="false">Datos!F58</f>
        <v>kg</v>
      </c>
      <c r="E12" s="11" t="str">
        <f aca="false">Datos!D58</f>
        <v>Pacheco Chapas</v>
      </c>
      <c r="F12" s="47" t="n">
        <f aca="false">Datos!E58</f>
        <v>3577.032</v>
      </c>
      <c r="G12" s="51" t="n">
        <f aca="false">F12/DIAS_ANIO</f>
        <v>14.9043</v>
      </c>
      <c r="H12" s="51" t="n">
        <f aca="false">Chapa_fleje!I36</f>
        <v>16.096644506042</v>
      </c>
      <c r="I12" s="11" t="n">
        <f aca="false">Datos!G58</f>
        <v>7</v>
      </c>
      <c r="J12" s="11" t="n">
        <f aca="false">Datos!H58</f>
        <v>10</v>
      </c>
      <c r="K12" s="47" t="n">
        <f aca="false">G12*(I12+J12)/2</f>
        <v>126.68655</v>
      </c>
      <c r="L12" s="47" t="n">
        <f aca="false">Chapa_fleje!S36*Chapa_fleje!M36</f>
        <v>257.546312096671</v>
      </c>
      <c r="M12" s="11" t="str">
        <f aca="false">"Rollo de "&amp;TEXT(Chapa_fleje!M36,"#,##0")&amp;" kg (1 tanda)"</f>
        <v>Rollo de 258 kg (1 tanda)</v>
      </c>
      <c r="N12" s="47" t="n">
        <f aca="false">Chapa_fleje!M36</f>
        <v>257.546312096671</v>
      </c>
      <c r="O12" s="15" t="n">
        <f aca="false">Chapa_fleje!T36</f>
        <v>10</v>
      </c>
      <c r="P12" s="15" t="n">
        <f aca="false">Chapa_fleje!U36</f>
        <v>1</v>
      </c>
      <c r="Q12" s="43" t="n">
        <f aca="false">IF(P12*N12=0,0,F12/(P12*N12))</f>
        <v>13.8888884522538</v>
      </c>
      <c r="R12" s="11" t="s">
        <v>1107</v>
      </c>
      <c r="S12" s="48" t="n">
        <f aca="false">Chapa_fleje!W36*1000</f>
        <v>515.092624193342</v>
      </c>
      <c r="T12" s="11" t="s">
        <v>13</v>
      </c>
      <c r="U12" s="43" t="n">
        <f aca="false">Chapa_fleje!K59</f>
        <v>1</v>
      </c>
      <c r="V12" s="11" t="str">
        <f aca="false">IFERROR(VLOOKUP(R12,Almacenes!$A$19:$I$32,9,FALSE()),"")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2" s="11" t="s">
        <v>107</v>
      </c>
    </row>
    <row r="13" customFormat="false" ht="15" hidden="false" customHeight="true" outlineLevel="0" collapsed="false">
      <c r="A13" s="11" t="str">
        <f aca="false">Datos!A59</f>
        <v>P08</v>
      </c>
      <c r="B13" s="41" t="str">
        <f aca="false">Datos!C59</f>
        <v>MP-14</v>
      </c>
      <c r="C13" s="11" t="str">
        <f aca="false">Datos!B59</f>
        <v>Fleje LAF 1,25 × 146,1 mm (fondo 2,5 kg)</v>
      </c>
      <c r="D13" s="11" t="str">
        <f aca="false">Datos!F59</f>
        <v>kg</v>
      </c>
      <c r="E13" s="11" t="str">
        <f aca="false">Datos!D59</f>
        <v>Pacheco Chapas</v>
      </c>
      <c r="F13" s="47" t="n">
        <f aca="false">Datos!E59</f>
        <v>2898.307</v>
      </c>
      <c r="G13" s="51" t="n">
        <f aca="false">F13/DIAS_ANIO</f>
        <v>12.0762791666667</v>
      </c>
      <c r="H13" s="51" t="n">
        <f aca="false">Chapa_fleje!I37</f>
        <v>13.0423819100229</v>
      </c>
      <c r="I13" s="11" t="n">
        <f aca="false">Datos!G59</f>
        <v>7</v>
      </c>
      <c r="J13" s="11" t="n">
        <f aca="false">Datos!H59</f>
        <v>10</v>
      </c>
      <c r="K13" s="47" t="n">
        <f aca="false">G13*(I13+J13)/2</f>
        <v>102.648372916667</v>
      </c>
      <c r="L13" s="47" t="n">
        <f aca="false">Chapa_fleje!S37*Chapa_fleje!M37</f>
        <v>208.678110560366</v>
      </c>
      <c r="M13" s="11" t="str">
        <f aca="false">"Rollo de "&amp;TEXT(Chapa_fleje!M37,"#,##0")&amp;" kg (1 tanda)"</f>
        <v>Rollo de 209 kg (1 tanda)</v>
      </c>
      <c r="N13" s="47" t="n">
        <f aca="false">Chapa_fleje!M37</f>
        <v>208.678110560366</v>
      </c>
      <c r="O13" s="15" t="n">
        <f aca="false">Chapa_fleje!T37</f>
        <v>10</v>
      </c>
      <c r="P13" s="15" t="n">
        <f aca="false">Chapa_fleje!U37</f>
        <v>1</v>
      </c>
      <c r="Q13" s="43" t="n">
        <f aca="false">IF(P13*N13=0,0,F13/(P13*N13))</f>
        <v>13.8888884522538</v>
      </c>
      <c r="R13" s="11" t="s">
        <v>1107</v>
      </c>
      <c r="S13" s="48" t="n">
        <f aca="false">Chapa_fleje!W37*1000</f>
        <v>417.356221120732</v>
      </c>
      <c r="T13" s="11" t="s">
        <v>13</v>
      </c>
      <c r="U13" s="43" t="n">
        <f aca="false">Chapa_fleje!K60</f>
        <v>1</v>
      </c>
      <c r="V13" s="11" t="str">
        <f aca="false">IFERROR(VLOOKUP(R13,Almacenes!$A$19:$I$32,9,FALSE()),"")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3" s="11" t="s">
        <v>107</v>
      </c>
    </row>
    <row r="14" customFormat="false" ht="15" hidden="false" customHeight="true" outlineLevel="0" collapsed="false">
      <c r="A14" s="11" t="str">
        <f aca="false">Datos!A60</f>
        <v>P09</v>
      </c>
      <c r="B14" s="41" t="str">
        <f aca="false">Datos!C60</f>
        <v>MP-07</v>
      </c>
      <c r="C14" s="11" t="str">
        <f aca="false">Datos!B60</f>
        <v>Fleje LAF 1,6 × 204,2 mm (cúpula 5 kg)</v>
      </c>
      <c r="D14" s="11" t="str">
        <f aca="false">Datos!F60</f>
        <v>kg</v>
      </c>
      <c r="E14" s="11" t="str">
        <f aca="false">Datos!D60</f>
        <v>Pacheco Chapas</v>
      </c>
      <c r="F14" s="47" t="n">
        <f aca="false">Datos!E60</f>
        <v>32819.082</v>
      </c>
      <c r="G14" s="51" t="n">
        <f aca="false">F14/DIAS_ANIO</f>
        <v>136.746175</v>
      </c>
      <c r="H14" s="51" t="n">
        <f aca="false">Chapa_fleje!I38</f>
        <v>147.685868354696</v>
      </c>
      <c r="I14" s="11" t="n">
        <f aca="false">Datos!G60</f>
        <v>7</v>
      </c>
      <c r="J14" s="11" t="n">
        <f aca="false">Datos!H60</f>
        <v>10</v>
      </c>
      <c r="K14" s="47" t="n">
        <f aca="false">G14*(I14+J14)/2</f>
        <v>1162.3424875</v>
      </c>
      <c r="L14" s="47" t="n">
        <f aca="false">Chapa_fleje!S38*Chapa_fleje!M38</f>
        <v>1181.48694683757</v>
      </c>
      <c r="M14" s="11" t="str">
        <f aca="false">"Rollo de "&amp;TEXT(Chapa_fleje!M38,"#,##0")&amp;" kg (1 tanda)"</f>
        <v>Rollo de 1,181 kg (1 tanda)</v>
      </c>
      <c r="N14" s="47" t="n">
        <f aca="false">Chapa_fleje!M38</f>
        <v>1181.48694683757</v>
      </c>
      <c r="O14" s="15" t="n">
        <f aca="false">Chapa_fleje!T38</f>
        <v>10</v>
      </c>
      <c r="P14" s="15" t="n">
        <f aca="false">Chapa_fleje!U38</f>
        <v>2</v>
      </c>
      <c r="Q14" s="43" t="n">
        <f aca="false">IF(P14*N14=0,0,F14/(P14*N14))</f>
        <v>13.8888889495755</v>
      </c>
      <c r="R14" s="11" t="s">
        <v>1107</v>
      </c>
      <c r="S14" s="48" t="n">
        <f aca="false">Chapa_fleje!W38*1000</f>
        <v>3544.46084051271</v>
      </c>
      <c r="T14" s="11" t="s">
        <v>13</v>
      </c>
      <c r="U14" s="43" t="n">
        <f aca="false">Chapa_fleje!K61</f>
        <v>3</v>
      </c>
      <c r="V14" s="11" t="str">
        <f aca="false">IFERROR(VLOOKUP(R14,Almacenes!$A$19:$I$32,9,FALSE()),"")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4" s="11" t="s">
        <v>107</v>
      </c>
    </row>
    <row r="15" customFormat="false" ht="15" hidden="false" customHeight="true" outlineLevel="0" collapsed="false">
      <c r="A15" s="11" t="str">
        <f aca="false">Datos!A61</f>
        <v>P10</v>
      </c>
      <c r="B15" s="41" t="str">
        <f aca="false">Datos!C61</f>
        <v>MP-08</v>
      </c>
      <c r="C15" s="11" t="str">
        <f aca="false">Datos!B61</f>
        <v>Fleje LAF 1,6 × 177,2 mm (fondo 5 kg)</v>
      </c>
      <c r="D15" s="11" t="str">
        <f aca="false">Datos!F61</f>
        <v>kg</v>
      </c>
      <c r="E15" s="11" t="str">
        <f aca="false">Datos!D61</f>
        <v>Pacheco Chapas</v>
      </c>
      <c r="F15" s="47" t="n">
        <f aca="false">Datos!E61</f>
        <v>24623.315</v>
      </c>
      <c r="G15" s="51" t="n">
        <f aca="false">F15/DIAS_ANIO</f>
        <v>102.597145833333</v>
      </c>
      <c r="H15" s="51" t="n">
        <f aca="false">Chapa_fleje!I39</f>
        <v>110.804917015845</v>
      </c>
      <c r="I15" s="11" t="n">
        <f aca="false">Datos!G61</f>
        <v>7</v>
      </c>
      <c r="J15" s="11" t="n">
        <f aca="false">Datos!H61</f>
        <v>10</v>
      </c>
      <c r="K15" s="47" t="n">
        <f aca="false">G15*(I15+J15)/2</f>
        <v>872.075739583333</v>
      </c>
      <c r="L15" s="47" t="n">
        <f aca="false">Chapa_fleje!S39*Chapa_fleje!M39</f>
        <v>886.439336126761</v>
      </c>
      <c r="M15" s="11" t="str">
        <f aca="false">"Rollo de "&amp;TEXT(Chapa_fleje!M39,"#,##0")&amp;" kg (1 tanda)"</f>
        <v>Rollo de 886 kg (1 tanda)</v>
      </c>
      <c r="N15" s="47" t="n">
        <f aca="false">Chapa_fleje!M39</f>
        <v>886.439336126761</v>
      </c>
      <c r="O15" s="15" t="n">
        <f aca="false">Chapa_fleje!T39</f>
        <v>10</v>
      </c>
      <c r="P15" s="15" t="n">
        <f aca="false">Chapa_fleje!U39</f>
        <v>2</v>
      </c>
      <c r="Q15" s="43" t="n">
        <f aca="false">IF(P15*N15=0,0,F15/(P15*N15))</f>
        <v>13.8888889495755</v>
      </c>
      <c r="R15" s="11" t="s">
        <v>1107</v>
      </c>
      <c r="S15" s="48" t="n">
        <f aca="false">Chapa_fleje!W39*1000</f>
        <v>2659.31800838028</v>
      </c>
      <c r="T15" s="11" t="s">
        <v>13</v>
      </c>
      <c r="U15" s="43" t="n">
        <f aca="false">Chapa_fleje!K62</f>
        <v>3</v>
      </c>
      <c r="V15" s="11" t="str">
        <f aca="false">IFERROR(VLOOKUP(R15,Almacenes!$A$19:$I$32,9,FALSE()),"")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5" s="11" t="s">
        <v>107</v>
      </c>
    </row>
    <row r="16" customFormat="false" ht="15" hidden="false" customHeight="true" outlineLevel="0" collapsed="false">
      <c r="A16" s="11" t="str">
        <f aca="false">Datos!A62</f>
        <v>P11</v>
      </c>
      <c r="B16" s="41" t="str">
        <f aca="false">Datos!C62</f>
        <v>MP-09</v>
      </c>
      <c r="C16" s="11" t="str">
        <f aca="false">Datos!B62</f>
        <v>Fleje LAF 2,0 × 238,7 mm (cúpula 10 kg)</v>
      </c>
      <c r="D16" s="11" t="str">
        <f aca="false">Datos!F62</f>
        <v>kg</v>
      </c>
      <c r="E16" s="11" t="str">
        <f aca="false">Datos!D62</f>
        <v>Pacheco Chapas</v>
      </c>
      <c r="F16" s="47" t="n">
        <f aca="false">Datos!E62</f>
        <v>3403.11</v>
      </c>
      <c r="G16" s="51" t="n">
        <f aca="false">F16/DIAS_ANIO</f>
        <v>14.179625</v>
      </c>
      <c r="H16" s="51" t="n">
        <f aca="false">Chapa_fleje!I40</f>
        <v>15.3139953119943</v>
      </c>
      <c r="I16" s="11" t="n">
        <f aca="false">Datos!G62</f>
        <v>7</v>
      </c>
      <c r="J16" s="11" t="n">
        <f aca="false">Datos!H62</f>
        <v>10</v>
      </c>
      <c r="K16" s="47" t="n">
        <f aca="false">G16*(I16+J16)/2</f>
        <v>120.5268125</v>
      </c>
      <c r="L16" s="47" t="n">
        <f aca="false">Chapa_fleje!S40*Chapa_fleje!M40</f>
        <v>245.023924991908</v>
      </c>
      <c r="M16" s="11" t="str">
        <f aca="false">"Rollo de "&amp;TEXT(Chapa_fleje!M40,"#,##0")&amp;" kg (1 tanda)"</f>
        <v>Rollo de 245 kg (1 tanda)</v>
      </c>
      <c r="N16" s="47" t="n">
        <f aca="false">Chapa_fleje!M40</f>
        <v>245.023924991908</v>
      </c>
      <c r="O16" s="15" t="n">
        <f aca="false">Chapa_fleje!T40</f>
        <v>10</v>
      </c>
      <c r="P16" s="15" t="n">
        <f aca="false">Chapa_fleje!U40</f>
        <v>1</v>
      </c>
      <c r="Q16" s="43" t="n">
        <f aca="false">IF(P16*N16=0,0,F16/(P16*N16))</f>
        <v>13.8888886059285</v>
      </c>
      <c r="R16" s="11" t="s">
        <v>1107</v>
      </c>
      <c r="S16" s="48" t="n">
        <f aca="false">Chapa_fleje!W40*1000</f>
        <v>490.047849983817</v>
      </c>
      <c r="T16" s="11" t="s">
        <v>13</v>
      </c>
      <c r="U16" s="43" t="n">
        <f aca="false">Chapa_fleje!K63</f>
        <v>1</v>
      </c>
      <c r="V16" s="11" t="str">
        <f aca="false">IFERROR(VLOOKUP(R16,Almacenes!$A$19:$I$32,9,FALSE()),"")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6" s="11" t="s">
        <v>107</v>
      </c>
    </row>
    <row r="17" customFormat="false" ht="15" hidden="false" customHeight="true" outlineLevel="0" collapsed="false">
      <c r="A17" s="11" t="str">
        <f aca="false">Datos!A63</f>
        <v>P12</v>
      </c>
      <c r="B17" s="41" t="str">
        <f aca="false">Datos!C63</f>
        <v>MP-10</v>
      </c>
      <c r="C17" s="11" t="str">
        <f aca="false">Datos!B63</f>
        <v>Fleje LAF 2,0 × 205 mm (fondo 10 kg)</v>
      </c>
      <c r="D17" s="11" t="str">
        <f aca="false">Datos!F63</f>
        <v>kg</v>
      </c>
      <c r="E17" s="11" t="str">
        <f aca="false">Datos!D63</f>
        <v>Pacheco Chapas</v>
      </c>
      <c r="F17" s="47" t="n">
        <f aca="false">Datos!E63</f>
        <v>2486.567</v>
      </c>
      <c r="G17" s="51" t="n">
        <f aca="false">F17/DIAS_ANIO</f>
        <v>10.3606958333333</v>
      </c>
      <c r="H17" s="51" t="n">
        <f aca="false">Chapa_fleje!I41</f>
        <v>11.1895517279664</v>
      </c>
      <c r="I17" s="11" t="n">
        <f aca="false">Datos!G63</f>
        <v>7</v>
      </c>
      <c r="J17" s="11" t="n">
        <f aca="false">Datos!H63</f>
        <v>10</v>
      </c>
      <c r="K17" s="47" t="n">
        <f aca="false">G17*(I17+J17)/2</f>
        <v>88.0659145833333</v>
      </c>
      <c r="L17" s="47" t="n">
        <f aca="false">Chapa_fleje!S41*Chapa_fleje!M41</f>
        <v>179.032827647462</v>
      </c>
      <c r="M17" s="11" t="str">
        <f aca="false">"Rollo de "&amp;TEXT(Chapa_fleje!M41,"#,##0")&amp;" kg (1 tanda)"</f>
        <v>Rollo de 179 kg (1 tanda)</v>
      </c>
      <c r="N17" s="47" t="n">
        <f aca="false">Chapa_fleje!M41</f>
        <v>179.032827647462</v>
      </c>
      <c r="O17" s="15" t="n">
        <f aca="false">Chapa_fleje!T41</f>
        <v>10</v>
      </c>
      <c r="P17" s="15" t="n">
        <f aca="false">Chapa_fleje!U41</f>
        <v>1</v>
      </c>
      <c r="Q17" s="43" t="n">
        <f aca="false">IF(P17*N17=0,0,F17/(P17*N17))</f>
        <v>13.8888886059285</v>
      </c>
      <c r="R17" s="11" t="s">
        <v>1107</v>
      </c>
      <c r="S17" s="48" t="n">
        <f aca="false">Chapa_fleje!W41*1000</f>
        <v>358.065655294924</v>
      </c>
      <c r="T17" s="11" t="s">
        <v>13</v>
      </c>
      <c r="U17" s="43" t="n">
        <f aca="false">Chapa_fleje!K64</f>
        <v>1</v>
      </c>
      <c r="V17" s="11" t="str">
        <f aca="false">IFERROR(VLOOKUP(R17,Almacenes!$A$19:$I$32,9,FALSE()),"")</f>
        <v>Rollos ojo al cielo, un código por pallet, con listones entre rollos. Los de más de 1.000 kg (5 kg) en el piso del rack; el resto arriba. La pinza giratoria arma el pallet en la zona de armado y el autoelevador con uñas lo sube al rack; a la línea, al revés: la pinza deja el rollo parado en el desbobinador.</v>
      </c>
      <c r="W17" s="11" t="s">
        <v>107</v>
      </c>
    </row>
    <row r="18" customFormat="false" ht="15" hidden="false" customHeight="true" outlineLevel="0" collapsed="false">
      <c r="A18" s="11" t="str">
        <f aca="false">Datos!A64</f>
        <v>P13</v>
      </c>
      <c r="B18" s="41" t="str">
        <f aca="false">Datos!C64</f>
        <v>MP-11</v>
      </c>
      <c r="C18" s="11" t="str">
        <f aca="false">Datos!B64</f>
        <v>Hoja LAC 3,2 × 1500 × 3000 mm</v>
      </c>
      <c r="D18" s="11" t="str">
        <f aca="false">Datos!F64</f>
        <v>hoja</v>
      </c>
      <c r="E18" s="11" t="str">
        <f aca="false">Datos!D64</f>
        <v>Pradecon</v>
      </c>
      <c r="F18" s="47" t="n">
        <f aca="false">Datos!E64</f>
        <v>349.515</v>
      </c>
      <c r="G18" s="51" t="n">
        <f aca="false">F18/DIAS_ANIO</f>
        <v>1.4563125</v>
      </c>
      <c r="H18" s="51" t="n">
        <f aca="false">Chapa_fleje!H11</f>
        <v>1.57720488838889</v>
      </c>
      <c r="I18" s="11" t="n">
        <f aca="false">Datos!G64</f>
        <v>7</v>
      </c>
      <c r="J18" s="11" t="n">
        <f aca="false">Datos!H64</f>
        <v>10</v>
      </c>
      <c r="K18" s="47" t="n">
        <f aca="false">G18*(I18+J18)/2</f>
        <v>12.37865625</v>
      </c>
      <c r="L18" s="47" t="n">
        <f aca="false">Chapa_fleje!S11*Chapa_fleje!L11</f>
        <v>7</v>
      </c>
      <c r="M18" s="11" t="str">
        <f aca="false">"Paquete de "&amp;Chapa_fleje!L11&amp;" hojas (1 tanda)"</f>
        <v>Paquete de 7 hojas (1 tanda)</v>
      </c>
      <c r="N18" s="15" t="n">
        <f aca="false">Chapa_fleje!L11</f>
        <v>7</v>
      </c>
      <c r="O18" s="15" t="n">
        <f aca="false">Chapa_fleje!T11</f>
        <v>20</v>
      </c>
      <c r="P18" s="15" t="n">
        <f aca="false">Chapa_fleje!U11</f>
        <v>5</v>
      </c>
      <c r="Q18" s="43" t="n">
        <f aca="false">IF(P18*N18=0,0,F18/(P18*N18))</f>
        <v>9.98614285714286</v>
      </c>
      <c r="R18" s="11" t="s">
        <v>1106</v>
      </c>
      <c r="S18" s="48" t="n">
        <f aca="false">Chapa_fleje!V11*Chapa_fleje!L11</f>
        <v>42</v>
      </c>
      <c r="T18" s="11" t="s">
        <v>13</v>
      </c>
      <c r="U18" s="43" t="n">
        <f aca="false">Chapa_fleje!K22</f>
        <v>1</v>
      </c>
      <c r="V18" s="11" t="str">
        <f aca="false">IFERROR(VLOOKUP(R18,Almacenes!$A$19:$I$32,9,FALSE()),"")</f>
        <v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v>
      </c>
      <c r="W18" s="11" t="s">
        <v>108</v>
      </c>
    </row>
    <row r="19" customFormat="false" ht="15" hidden="false" customHeight="true" outlineLevel="0" collapsed="false">
      <c r="A19" s="11" t="str">
        <f aca="false">Datos!A65</f>
        <v>P14</v>
      </c>
      <c r="B19" s="41" t="str">
        <f aca="false">Datos!C65</f>
        <v>MP-12</v>
      </c>
      <c r="C19" s="11" t="str">
        <f aca="false">Datos!B65</f>
        <v>Hoja LAC 4,75 × 1500 × 3000 mm</v>
      </c>
      <c r="D19" s="11" t="str">
        <f aca="false">Datos!F65</f>
        <v>hoja</v>
      </c>
      <c r="E19" s="11" t="str">
        <f aca="false">Datos!D65</f>
        <v>Pradecon</v>
      </c>
      <c r="F19" s="47" t="n">
        <f aca="false">Datos!E65</f>
        <v>165.622</v>
      </c>
      <c r="G19" s="51" t="n">
        <f aca="false">F19/DIAS_ANIO</f>
        <v>0.690091666666667</v>
      </c>
      <c r="H19" s="51" t="n">
        <f aca="false">Chapa_fleje!H12</f>
        <v>0.66042495325</v>
      </c>
      <c r="I19" s="11" t="n">
        <f aca="false">Datos!G65</f>
        <v>7</v>
      </c>
      <c r="J19" s="11" t="n">
        <f aca="false">Datos!H65</f>
        <v>10</v>
      </c>
      <c r="K19" s="47" t="n">
        <f aca="false">G19*(I19+J19)/2</f>
        <v>5.86577916666667</v>
      </c>
      <c r="L19" s="47" t="n">
        <f aca="false">Chapa_fleje!S12*Chapa_fleje!L12</f>
        <v>3</v>
      </c>
      <c r="M19" s="11" t="str">
        <f aca="false">"Paquete de "&amp;Chapa_fleje!L12&amp;" hojas (1 tanda)"</f>
        <v>Paquete de 3 hojas (1 tanda)</v>
      </c>
      <c r="N19" s="15" t="n">
        <f aca="false">Chapa_fleje!L12</f>
        <v>3</v>
      </c>
      <c r="O19" s="15" t="n">
        <f aca="false">Chapa_fleje!T12</f>
        <v>20</v>
      </c>
      <c r="P19" s="15" t="n">
        <f aca="false">Chapa_fleje!U12</f>
        <v>5</v>
      </c>
      <c r="Q19" s="43" t="n">
        <f aca="false">IF(P19*N19=0,0,F19/(P19*N19))</f>
        <v>11.0414666666667</v>
      </c>
      <c r="R19" s="11" t="s">
        <v>1106</v>
      </c>
      <c r="S19" s="48" t="n">
        <f aca="false">Chapa_fleje!V12*Chapa_fleje!L12</f>
        <v>18</v>
      </c>
      <c r="T19" s="11" t="s">
        <v>13</v>
      </c>
      <c r="U19" s="43" t="n">
        <f aca="false">Chapa_fleje!K23</f>
        <v>1</v>
      </c>
      <c r="V19" s="11" t="str">
        <f aca="false">IFERROR(VLOOKUP(R19,Almacenes!$A$19:$I$32,9,FALSE()),"")</f>
        <v>Paquete sobre sus 3 tacos, una pila por formato hasta el alto que permiten el autoelevador, el piso y la estabilidad (Chapa_fleje sección 2). Se toma el de arriba; al recibir, el remanente pasa arriba (FIFO por colada). Pilas demarcadas con su código, 2 filas enfrentadas sobre la calle.</v>
      </c>
      <c r="W19" s="11" t="s">
        <v>108</v>
      </c>
    </row>
    <row r="20" customFormat="false" ht="15" hidden="false" customHeight="true" outlineLevel="0" collapsed="false">
      <c r="A20" s="11" t="str">
        <f aca="false">Datos!A66</f>
        <v>P15</v>
      </c>
      <c r="B20" s="41" t="str">
        <f aca="false">Datos!C66</f>
        <v>MP-15</v>
      </c>
      <c r="C20" s="11" t="str">
        <f aca="false">Datos!B66</f>
        <v>Casquete 10" × 3,2 mm (carro 25 kg)</v>
      </c>
      <c r="D20" s="11" t="str">
        <f aca="false">Datos!F66</f>
        <v>u</v>
      </c>
      <c r="E20" s="11" t="str">
        <f aca="false">Datos!D66</f>
        <v>NOVA Ruedas</v>
      </c>
      <c r="F20" s="47" t="n">
        <f aca="false">Datos!E66</f>
        <v>1554.621</v>
      </c>
      <c r="G20" s="51" t="n">
        <f aca="false">F20/DIAS_ANIO</f>
        <v>6.4775875</v>
      </c>
      <c r="H20" s="51" t="n">
        <f aca="false">G20*FAC_CAR</f>
        <v>6.99579449995497</v>
      </c>
      <c r="I20" s="11" t="n">
        <f aca="false">Datos!G66</f>
        <v>25</v>
      </c>
      <c r="J20" s="11" t="n">
        <f aca="false">Datos!H66</f>
        <v>32</v>
      </c>
      <c r="K20" s="47" t="n">
        <f aca="false">G20*(I20+J20)/2</f>
        <v>184.61124375</v>
      </c>
      <c r="L20" s="47" t="n">
        <f aca="false">H20*J20-K20</f>
        <v>39.2541802485591</v>
      </c>
      <c r="M20" s="11" t="str">
        <f aca="false">Datos!I66</f>
        <v>Contenedor de 360 u (180 cúpulas + 180 fondos, ≈ 1000 kg)</v>
      </c>
      <c r="N20" s="52" t="n">
        <f aca="false">Datos!J66</f>
        <v>360</v>
      </c>
      <c r="O20" s="52" t="n">
        <f aca="false">Datos!K66</f>
        <v>20</v>
      </c>
      <c r="P20" s="11" t="n">
        <f aca="false">MAX(1,ROUNDUP(H20*O20/N20,0))</f>
        <v>1</v>
      </c>
      <c r="Q20" s="43" t="n">
        <f aca="false">IF(P20*N20=0,0,F20/(P20*N20))</f>
        <v>4.31839166666667</v>
      </c>
      <c r="R20" s="11" t="s">
        <v>124</v>
      </c>
      <c r="S20" s="48" t="n">
        <f aca="false">L20+P20*N20</f>
        <v>399.254180248559</v>
      </c>
      <c r="T20" s="11" t="n">
        <f aca="false">Datos!M66</f>
        <v>360</v>
      </c>
      <c r="U20" s="43" t="n">
        <f aca="false">IF(T20=0,0,S20/T20)</f>
        <v>1.10903938957933</v>
      </c>
      <c r="V20" s="11" t="str">
        <f aca="false">IFERROR(VLOOKUP(R20,Almacenes!$A$19:$I$32,9,FALSE()),"")</f>
        <v>Un contenedor por medida de casquete (cúpulas y fondos en columnas separadas); el que está en uso en el piso; cajas de cuplas arriba.</v>
      </c>
      <c r="W20" s="11" t="s">
        <v>108</v>
      </c>
    </row>
    <row r="21" customFormat="false" ht="15" hidden="false" customHeight="true" outlineLevel="0" collapsed="false">
      <c r="A21" s="11" t="str">
        <f aca="false">Datos!A67</f>
        <v>P16</v>
      </c>
      <c r="B21" s="41" t="str">
        <f aca="false">Datos!C67</f>
        <v>MP-16</v>
      </c>
      <c r="C21" s="11" t="str">
        <f aca="false">Datos!B67</f>
        <v>Casquete 12" × 3,2 mm (carro 50 kg)</v>
      </c>
      <c r="D21" s="11" t="str">
        <f aca="false">Datos!F67</f>
        <v>u</v>
      </c>
      <c r="E21" s="11" t="str">
        <f aca="false">Datos!D67</f>
        <v>NOVA Ruedas</v>
      </c>
      <c r="F21" s="47" t="n">
        <f aca="false">Datos!E67</f>
        <v>3416.87</v>
      </c>
      <c r="G21" s="51" t="n">
        <f aca="false">F21/DIAS_ANIO</f>
        <v>14.2369583333333</v>
      </c>
      <c r="H21" s="51" t="n">
        <f aca="false">G21*FAC_CAR</f>
        <v>15.375914999901</v>
      </c>
      <c r="I21" s="11" t="n">
        <f aca="false">Datos!G67</f>
        <v>25</v>
      </c>
      <c r="J21" s="11" t="n">
        <f aca="false">Datos!H67</f>
        <v>32</v>
      </c>
      <c r="K21" s="47" t="n">
        <f aca="false">G21*(I21+J21)/2</f>
        <v>405.7533125</v>
      </c>
      <c r="L21" s="47" t="n">
        <f aca="false">H21*J21-K21</f>
        <v>86.2759674968331</v>
      </c>
      <c r="M21" s="11" t="str">
        <f aca="false">Datos!I67</f>
        <v>Contenedor de 260 u (130 cúpulas + 130 fondos, ≈ 990 kg)</v>
      </c>
      <c r="N21" s="52" t="n">
        <f aca="false">Datos!J67</f>
        <v>260</v>
      </c>
      <c r="O21" s="52" t="n">
        <f aca="false">Datos!K67</f>
        <v>20</v>
      </c>
      <c r="P21" s="11" t="n">
        <f aca="false">MAX(1,ROUNDUP(H21*O21/N21,0))</f>
        <v>2</v>
      </c>
      <c r="Q21" s="43" t="n">
        <f aca="false">IF(P21*N21=0,0,F21/(P21*N21))</f>
        <v>6.57090384615385</v>
      </c>
      <c r="R21" s="11" t="s">
        <v>124</v>
      </c>
      <c r="S21" s="48" t="n">
        <f aca="false">L21+P21*N21</f>
        <v>606.275967496833</v>
      </c>
      <c r="T21" s="11" t="n">
        <f aca="false">Datos!M67</f>
        <v>260</v>
      </c>
      <c r="U21" s="43" t="n">
        <f aca="false">IF(T21=0,0,S21/T21)</f>
        <v>2.33183064421859</v>
      </c>
      <c r="V21" s="11" t="str">
        <f aca="false">IFERROR(VLOOKUP(R21,Almacenes!$A$19:$I$32,9,FALSE()),"")</f>
        <v>Un contenedor por medida de casquete (cúpulas y fondos en columnas separadas); el que está en uso en el piso; cajas de cuplas arriba.</v>
      </c>
      <c r="W21" s="11" t="s">
        <v>108</v>
      </c>
    </row>
    <row r="22" customFormat="false" ht="15" hidden="false" customHeight="true" outlineLevel="0" collapsed="false">
      <c r="A22" s="11" t="str">
        <f aca="false">Datos!A68</f>
        <v>P17</v>
      </c>
      <c r="B22" s="41" t="str">
        <f aca="false">Datos!C68</f>
        <v>MP-17</v>
      </c>
      <c r="C22" s="11" t="str">
        <f aca="false">Datos!B68</f>
        <v>Casquete 15" × 4,75 mm (carros 70 y 100 kg)</v>
      </c>
      <c r="D22" s="11" t="str">
        <f aca="false">Datos!F68</f>
        <v>u</v>
      </c>
      <c r="E22" s="11" t="str">
        <f aca="false">Datos!D68</f>
        <v>NOVA Ruedas</v>
      </c>
      <c r="F22" s="47" t="n">
        <f aca="false">Datos!E68</f>
        <v>1243.153</v>
      </c>
      <c r="G22" s="51" t="n">
        <f aca="false">F22/DIAS_ANIO</f>
        <v>5.17980416666667</v>
      </c>
      <c r="H22" s="51" t="n">
        <f aca="false">G22*FAC_CAR</f>
        <v>5.59418849996399</v>
      </c>
      <c r="I22" s="11" t="n">
        <f aca="false">Datos!G68</f>
        <v>25</v>
      </c>
      <c r="J22" s="11" t="n">
        <f aca="false">Datos!H68</f>
        <v>32</v>
      </c>
      <c r="K22" s="47" t="n">
        <f aca="false">G22*(I22+J22)/2</f>
        <v>147.62441875</v>
      </c>
      <c r="L22" s="47" t="n">
        <f aca="false">H22*J22-K22</f>
        <v>31.3896132488478</v>
      </c>
      <c r="M22" s="11" t="str">
        <f aca="false">Datos!I68</f>
        <v>Contenedor de 116 u (58 cúpulas + 58 fondos, ≈ 890 kg)</v>
      </c>
      <c r="N22" s="52" t="n">
        <f aca="false">Datos!J68</f>
        <v>116</v>
      </c>
      <c r="O22" s="52" t="n">
        <f aca="false">Datos!K68</f>
        <v>20</v>
      </c>
      <c r="P22" s="11" t="n">
        <f aca="false">MAX(1,ROUNDUP(H22*O22/N22,0))</f>
        <v>1</v>
      </c>
      <c r="Q22" s="43" t="n">
        <f aca="false">IF(P22*N22=0,0,F22/(P22*N22))</f>
        <v>10.7168362068966</v>
      </c>
      <c r="R22" s="11" t="s">
        <v>124</v>
      </c>
      <c r="S22" s="48" t="n">
        <f aca="false">L22+P22*N22</f>
        <v>147.389613248848</v>
      </c>
      <c r="T22" s="11" t="n">
        <f aca="false">Datos!M68</f>
        <v>116</v>
      </c>
      <c r="U22" s="43" t="n">
        <f aca="false">IF(T22=0,0,S22/T22)</f>
        <v>1.2706001142142</v>
      </c>
      <c r="V22" s="11" t="str">
        <f aca="false">IFERROR(VLOOKUP(R22,Almacenes!$A$19:$I$32,9,FALSE()),"")</f>
        <v>Un contenedor por medida de casquete (cúpulas y fondos en columnas separadas); el que está en uso en el piso; cajas de cuplas arriba.</v>
      </c>
      <c r="W22" s="11" t="s">
        <v>108</v>
      </c>
    </row>
    <row r="23" customFormat="false" ht="15" hidden="false" customHeight="true" outlineLevel="0" collapsed="false">
      <c r="A23" s="11" t="str">
        <f aca="false">Datos!A69</f>
        <v>P18</v>
      </c>
      <c r="B23" s="41" t="str">
        <f aca="false">Datos!C69</f>
        <v>MP-18</v>
      </c>
      <c r="C23" s="11" t="str">
        <f aca="false">Datos!B69</f>
        <v>Asiento de válvula M22 × 1,5 (1 kg)</v>
      </c>
      <c r="D23" s="11" t="str">
        <f aca="false">Datos!F69</f>
        <v>u</v>
      </c>
      <c r="E23" s="11" t="str">
        <f aca="false">Datos!D69</f>
        <v>Eli-Met</v>
      </c>
      <c r="F23" s="47" t="n">
        <f aca="false">Datos!E69</f>
        <v>202620.639</v>
      </c>
      <c r="G23" s="51" t="n">
        <f aca="false">F23/DIAS_ANIO</f>
        <v>844.2526625</v>
      </c>
      <c r="H23" s="51" t="n">
        <f aca="false">G23*FAC_MAN</f>
        <v>911.7928755</v>
      </c>
      <c r="I23" s="11" t="n">
        <f aca="false">Datos!G69</f>
        <v>25</v>
      </c>
      <c r="J23" s="11" t="n">
        <f aca="false">Datos!H69</f>
        <v>29</v>
      </c>
      <c r="K23" s="47" t="n">
        <f aca="false">G23*(I23+J23)/2</f>
        <v>22794.8218875</v>
      </c>
      <c r="L23" s="47" t="n">
        <f aca="false">H23*J23-K23</f>
        <v>3647.171502</v>
      </c>
      <c r="M23" s="11" t="str">
        <f aca="false">Datos!I69</f>
        <v>Caja de 500 u (≈ 16 kg, un turno)</v>
      </c>
      <c r="N23" s="52" t="n">
        <f aca="false">Datos!J69</f>
        <v>500</v>
      </c>
      <c r="O23" s="52" t="n">
        <f aca="false">Datos!K69</f>
        <v>20</v>
      </c>
      <c r="P23" s="11" t="n">
        <f aca="false">MAX(1,ROUNDUP(H23*O23/N23,0))</f>
        <v>37</v>
      </c>
      <c r="Q23" s="43" t="n">
        <f aca="false">IF(P23*N23=0,0,F23/(P23*N23))</f>
        <v>10.952466972973</v>
      </c>
      <c r="R23" s="11" t="s">
        <v>120</v>
      </c>
      <c r="S23" s="48" t="n">
        <f aca="false">L23+P23*N23</f>
        <v>22147.171502</v>
      </c>
      <c r="T23" s="11" t="n">
        <f aca="false">Datos!M69</f>
        <v>12000</v>
      </c>
      <c r="U23" s="43" t="n">
        <f aca="false">IF(T23=0,0,S23/T23)</f>
        <v>1.84559762516667</v>
      </c>
      <c r="V23" s="11" t="str">
        <f aca="false">IFERROR(VLOOKUP(R23,Almacenes!$A$19:$I$32,9,FALSE()),"")</f>
        <v>Abajo el pallet o la caja en uso (de ahí sale el carro de abastecimiento), arriba la reposición del pedido mensual.</v>
      </c>
      <c r="W23" s="11" t="s">
        <v>107</v>
      </c>
    </row>
    <row r="24" customFormat="false" ht="15" hidden="false" customHeight="true" outlineLevel="0" collapsed="false">
      <c r="A24" s="11" t="str">
        <f aca="false">Datos!A70</f>
        <v>P19</v>
      </c>
      <c r="B24" s="41" t="str">
        <f aca="false">Datos!C70</f>
        <v>MP-19</v>
      </c>
      <c r="C24" s="11" t="str">
        <f aca="false">Datos!B70</f>
        <v>Asiento de válvula M30 × 1,5 (2,5 a 10 kg)</v>
      </c>
      <c r="D24" s="11" t="str">
        <f aca="false">Datos!F70</f>
        <v>u</v>
      </c>
      <c r="E24" s="11" t="str">
        <f aca="false">Datos!D70</f>
        <v>Eli-Met</v>
      </c>
      <c r="F24" s="47" t="n">
        <f aca="false">Datos!E70</f>
        <v>81841.925</v>
      </c>
      <c r="G24" s="51" t="n">
        <f aca="false">F24/DIAS_ANIO</f>
        <v>341.008020833333</v>
      </c>
      <c r="H24" s="51" t="n">
        <f aca="false">G24*FAC_MAN</f>
        <v>368.2886625</v>
      </c>
      <c r="I24" s="11" t="n">
        <f aca="false">Datos!G70</f>
        <v>25</v>
      </c>
      <c r="J24" s="11" t="n">
        <f aca="false">Datos!H70</f>
        <v>29</v>
      </c>
      <c r="K24" s="47" t="n">
        <f aca="false">G24*(I24+J24)/2</f>
        <v>9207.2165625</v>
      </c>
      <c r="L24" s="47" t="n">
        <f aca="false">H24*J24-K24</f>
        <v>1473.15465</v>
      </c>
      <c r="M24" s="11" t="str">
        <f aca="false">Datos!I70</f>
        <v>Caja de 500 u (≈ 15 kg)</v>
      </c>
      <c r="N24" s="52" t="n">
        <f aca="false">Datos!J70</f>
        <v>500</v>
      </c>
      <c r="O24" s="52" t="n">
        <f aca="false">Datos!K70</f>
        <v>20</v>
      </c>
      <c r="P24" s="11" t="n">
        <f aca="false">MAX(1,ROUNDUP(H24*O24/N24,0))</f>
        <v>15</v>
      </c>
      <c r="Q24" s="43" t="n">
        <f aca="false">IF(P24*N24=0,0,F24/(P24*N24))</f>
        <v>10.9122566666667</v>
      </c>
      <c r="R24" s="11" t="s">
        <v>120</v>
      </c>
      <c r="S24" s="48" t="n">
        <f aca="false">L24+P24*N24</f>
        <v>8973.15465</v>
      </c>
      <c r="T24" s="11" t="n">
        <f aca="false">Datos!M70</f>
        <v>8000</v>
      </c>
      <c r="U24" s="43" t="n">
        <f aca="false">IF(T24=0,0,S24/T24)</f>
        <v>1.12164433125</v>
      </c>
      <c r="V24" s="11" t="str">
        <f aca="false">IFERROR(VLOOKUP(R24,Almacenes!$A$19:$I$32,9,FALSE()),"")</f>
        <v>Abajo el pallet o la caja en uso (de ahí sale el carro de abastecimiento), arriba la reposición del pedido mensual.</v>
      </c>
      <c r="W24" s="11" t="s">
        <v>107</v>
      </c>
    </row>
    <row r="25" customFormat="false" ht="15" hidden="false" customHeight="true" outlineLevel="0" collapsed="false">
      <c r="A25" s="11" t="str">
        <f aca="false">Datos!A71</f>
        <v>P20</v>
      </c>
      <c r="B25" s="41" t="str">
        <f aca="false">Datos!C71</f>
        <v>MP-20</v>
      </c>
      <c r="C25" s="11" t="str">
        <f aca="false">Datos!B71</f>
        <v>Cupla M30 × 1,5 (carros 25 y 50 kg)</v>
      </c>
      <c r="D25" s="11" t="str">
        <f aca="false">Datos!F71</f>
        <v>u</v>
      </c>
      <c r="E25" s="11" t="str">
        <f aca="false">Datos!D71</f>
        <v>Eli-Met</v>
      </c>
      <c r="F25" s="47" t="n">
        <f aca="false">Datos!E71</f>
        <v>2485.746</v>
      </c>
      <c r="G25" s="51" t="n">
        <f aca="false">F25/DIAS_ANIO</f>
        <v>10.357275</v>
      </c>
      <c r="H25" s="51" t="n">
        <f aca="false">G25*FAC_CAR</f>
        <v>11.185856999928</v>
      </c>
      <c r="I25" s="11" t="n">
        <f aca="false">Datos!G71</f>
        <v>25</v>
      </c>
      <c r="J25" s="11" t="n">
        <f aca="false">Datos!H71</f>
        <v>29</v>
      </c>
      <c r="K25" s="47" t="n">
        <f aca="false">G25*(I25+J25)/2</f>
        <v>279.646425</v>
      </c>
      <c r="L25" s="47" t="n">
        <f aca="false">H25*J25-K25</f>
        <v>44.7434279979121</v>
      </c>
      <c r="M25" s="11" t="str">
        <f aca="false">Datos!I71</f>
        <v>Caja de 100 u (25 kg)</v>
      </c>
      <c r="N25" s="52" t="n">
        <f aca="false">Datos!J71</f>
        <v>100</v>
      </c>
      <c r="O25" s="52" t="n">
        <f aca="false">Datos!K71</f>
        <v>20</v>
      </c>
      <c r="P25" s="11" t="n">
        <f aca="false">MAX(1,ROUNDUP(H25*O25/N25,0))</f>
        <v>3</v>
      </c>
      <c r="Q25" s="43" t="n">
        <f aca="false">IF(P25*N25=0,0,F25/(P25*N25))</f>
        <v>8.28582</v>
      </c>
      <c r="R25" s="11" t="s">
        <v>124</v>
      </c>
      <c r="S25" s="48" t="n">
        <f aca="false">L25+P25*N25</f>
        <v>344.743427997912</v>
      </c>
      <c r="T25" s="11" t="n">
        <f aca="false">Datos!M71</f>
        <v>600</v>
      </c>
      <c r="U25" s="43" t="n">
        <f aca="false">IF(T25=0,0,S25/T25)</f>
        <v>0.57457237999652</v>
      </c>
      <c r="V25" s="11" t="str">
        <f aca="false">IFERROR(VLOOKUP(R25,Almacenes!$A$19:$I$32,9,FALSE()),"")</f>
        <v>Un contenedor por medida de casquete (cúpulas y fondos en columnas separadas); el que está en uso en el piso; cajas de cuplas arriba.</v>
      </c>
      <c r="W25" s="11" t="s">
        <v>108</v>
      </c>
    </row>
    <row r="26" customFormat="false" ht="15" hidden="false" customHeight="true" outlineLevel="0" collapsed="false">
      <c r="A26" s="11" t="str">
        <f aca="false">Datos!A72</f>
        <v>P21</v>
      </c>
      <c r="B26" s="41" t="str">
        <f aca="false">Datos!C72</f>
        <v>MP-21</v>
      </c>
      <c r="C26" s="11" t="str">
        <f aca="false">Datos!B72</f>
        <v>Cupla 2½" BSP (carros 70 y 100 kg)</v>
      </c>
      <c r="D26" s="11" t="str">
        <f aca="false">Datos!F72</f>
        <v>u</v>
      </c>
      <c r="E26" s="11" t="str">
        <f aca="false">Datos!D72</f>
        <v>Eli-Met</v>
      </c>
      <c r="F26" s="47" t="n">
        <f aca="false">Datos!E72</f>
        <v>621.576</v>
      </c>
      <c r="G26" s="51" t="n">
        <f aca="false">F26/DIAS_ANIO</f>
        <v>2.5899</v>
      </c>
      <c r="H26" s="51" t="n">
        <f aca="false">G26*FAC_CAR</f>
        <v>2.797091999982</v>
      </c>
      <c r="I26" s="11" t="n">
        <f aca="false">Datos!G72</f>
        <v>25</v>
      </c>
      <c r="J26" s="11" t="n">
        <f aca="false">Datos!H72</f>
        <v>29</v>
      </c>
      <c r="K26" s="47" t="n">
        <f aca="false">G26*(I26+J26)/2</f>
        <v>69.9273</v>
      </c>
      <c r="L26" s="47" t="n">
        <f aca="false">H26*J26-K26</f>
        <v>11.1883679994779</v>
      </c>
      <c r="M26" s="11" t="str">
        <f aca="false">Datos!I72</f>
        <v>Caja de 40 u (24 kg)</v>
      </c>
      <c r="N26" s="52" t="n">
        <f aca="false">Datos!J72</f>
        <v>40</v>
      </c>
      <c r="O26" s="52" t="n">
        <f aca="false">Datos!K72</f>
        <v>20</v>
      </c>
      <c r="P26" s="11" t="n">
        <f aca="false">MAX(1,ROUNDUP(H26*O26/N26,0))</f>
        <v>2</v>
      </c>
      <c r="Q26" s="43" t="n">
        <f aca="false">IF(P26*N26=0,0,F26/(P26*N26))</f>
        <v>7.7697</v>
      </c>
      <c r="R26" s="11" t="s">
        <v>124</v>
      </c>
      <c r="S26" s="48" t="n">
        <f aca="false">L26+P26*N26</f>
        <v>91.1883679994779</v>
      </c>
      <c r="T26" s="11" t="n">
        <f aca="false">Datos!M72</f>
        <v>160</v>
      </c>
      <c r="U26" s="43" t="n">
        <f aca="false">IF(T26=0,0,S26/T26)</f>
        <v>0.569927299996737</v>
      </c>
      <c r="V26" s="11" t="str">
        <f aca="false">IFERROR(VLOOKUP(R26,Almacenes!$A$19:$I$32,9,FALSE()),"")</f>
        <v>Un contenedor por medida de casquete (cúpulas y fondos en columnas separadas); el que está en uso en el piso; cajas de cuplas arriba.</v>
      </c>
      <c r="W26" s="11" t="s">
        <v>108</v>
      </c>
    </row>
    <row r="27" customFormat="false" ht="15" hidden="false" customHeight="true" outlineLevel="0" collapsed="false">
      <c r="A27" s="11" t="str">
        <f aca="false">Datos!A73</f>
        <v>P22</v>
      </c>
      <c r="B27" s="41" t="str">
        <f aca="false">Datos!C73</f>
        <v>MP-66</v>
      </c>
      <c r="C27" s="11" t="str">
        <f aca="false">Datos!B73</f>
        <v>Caño SAE 1010 1" × 2,0 × 6 m (manija; caño del eje 25 kg)</v>
      </c>
      <c r="D27" s="11" t="str">
        <f aca="false">Datos!F73</f>
        <v>barra</v>
      </c>
      <c r="E27" s="11" t="str">
        <f aca="false">Datos!D73</f>
        <v>Centrosider</v>
      </c>
      <c r="F27" s="47" t="n">
        <f aca="false">Datos!E73</f>
        <v>510.181</v>
      </c>
      <c r="G27" s="51" t="n">
        <f aca="false">F27/DIAS_ANIO</f>
        <v>2.12575416666667</v>
      </c>
      <c r="H27" s="51" t="n">
        <f aca="false">G27*FAC_CAR</f>
        <v>2.29581449998522</v>
      </c>
      <c r="I27" s="11" t="n">
        <f aca="false">Datos!G73</f>
        <v>5</v>
      </c>
      <c r="J27" s="11" t="n">
        <f aca="false">Datos!H73</f>
        <v>5</v>
      </c>
      <c r="K27" s="47" t="n">
        <f aca="false">G27*(I27+J27)/2</f>
        <v>10.6287708333333</v>
      </c>
      <c r="L27" s="47" t="n">
        <f aca="false">H27*J27-K27</f>
        <v>0.850301666592781</v>
      </c>
      <c r="M27" s="11" t="str">
        <f aca="false">Datos!I73</f>
        <v>Barra de 6 m (un atado por pedido)</v>
      </c>
      <c r="N27" s="52" t="n">
        <f aca="false">Datos!J73</f>
        <v>1</v>
      </c>
      <c r="O27" s="52" t="n">
        <f aca="false">Datos!K73</f>
        <v>20</v>
      </c>
      <c r="P27" s="11" t="n">
        <f aca="false">MAX(1,ROUNDUP(H27*O27/N27,0))</f>
        <v>46</v>
      </c>
      <c r="Q27" s="43" t="n">
        <f aca="false">IF(P27*N27=0,0,F27/(P27*N27))</f>
        <v>11.0908913043478</v>
      </c>
      <c r="R27" s="11" t="s">
        <v>115</v>
      </c>
      <c r="S27" s="48" t="n">
        <f aca="false">L27+P27*N27</f>
        <v>46.8503016665928</v>
      </c>
      <c r="T27" s="11" t="n">
        <f aca="false">Datos!M73</f>
        <v>60</v>
      </c>
      <c r="U27" s="43" t="n">
        <f aca="false">IF(T27=0,0,S27/T27)</f>
        <v>0.78083836110988</v>
      </c>
      <c r="V27" s="11" t="str">
        <f aca="false">IFERROR(VLOOKUP(R27,Almacenes!$A$19:$I$32,9,FALSE()),"")</f>
        <v>Un atado por brazo y una medida por nivel; las barras de 6 m con los brazos a 1,5 m.</v>
      </c>
      <c r="W27" s="11" t="s">
        <v>108</v>
      </c>
    </row>
    <row r="28" customFormat="false" ht="15" hidden="false" customHeight="true" outlineLevel="0" collapsed="false">
      <c r="A28" s="11" t="str">
        <f aca="false">Datos!A74</f>
        <v>P23</v>
      </c>
      <c r="B28" s="41" t="str">
        <f aca="false">Datos!C74</f>
        <v>MP-67</v>
      </c>
      <c r="C28" s="11" t="str">
        <f aca="false">Datos!B74</f>
        <v>Caño SAE 1010 1¼" × 2,0 × 6 m (caño del eje 50 a 100 kg)</v>
      </c>
      <c r="D28" s="11" t="str">
        <f aca="false">Datos!F74</f>
        <v>barra</v>
      </c>
      <c r="E28" s="11" t="str">
        <f aca="false">Datos!D74</f>
        <v>Centrosider</v>
      </c>
      <c r="F28" s="47" t="n">
        <f aca="false">Datos!E74</f>
        <v>89.621</v>
      </c>
      <c r="G28" s="51" t="n">
        <f aca="false">F28/DIAS_ANIO</f>
        <v>0.373420833333333</v>
      </c>
      <c r="H28" s="51" t="n">
        <f aca="false">G28*FAC_CAR</f>
        <v>0.403294499997404</v>
      </c>
      <c r="I28" s="11" t="n">
        <f aca="false">Datos!G74</f>
        <v>5</v>
      </c>
      <c r="J28" s="11" t="n">
        <f aca="false">Datos!H74</f>
        <v>5</v>
      </c>
      <c r="K28" s="47" t="n">
        <f aca="false">G28*(I28+J28)/2</f>
        <v>1.86710416666667</v>
      </c>
      <c r="L28" s="47" t="n">
        <f aca="false">H28*J28-K28</f>
        <v>0.149368333320354</v>
      </c>
      <c r="M28" s="11" t="str">
        <f aca="false">Datos!I74</f>
        <v>Barra de 6 m (un atado por pedido)</v>
      </c>
      <c r="N28" s="52" t="n">
        <f aca="false">Datos!J74</f>
        <v>1</v>
      </c>
      <c r="O28" s="52" t="n">
        <f aca="false">Datos!K74</f>
        <v>20</v>
      </c>
      <c r="P28" s="11" t="n">
        <f aca="false">MAX(1,ROUNDUP(H28*O28/N28,0))</f>
        <v>9</v>
      </c>
      <c r="Q28" s="43" t="n">
        <f aca="false">IF(P28*N28=0,0,F28/(P28*N28))</f>
        <v>9.95788888888889</v>
      </c>
      <c r="R28" s="11" t="s">
        <v>115</v>
      </c>
      <c r="S28" s="48" t="n">
        <f aca="false">L28+P28*N28</f>
        <v>9.14936833332035</v>
      </c>
      <c r="T28" s="11" t="n">
        <f aca="false">Datos!M74</f>
        <v>60</v>
      </c>
      <c r="U28" s="43" t="n">
        <f aca="false">IF(T28=0,0,S28/T28)</f>
        <v>0.152489472222006</v>
      </c>
      <c r="V28" s="11" t="str">
        <f aca="false">IFERROR(VLOOKUP(R28,Almacenes!$A$19:$I$32,9,FALSE()),"")</f>
        <v>Un atado por brazo y una medida por nivel; las barras de 6 m con los brazos a 1,5 m.</v>
      </c>
      <c r="W28" s="11" t="s">
        <v>108</v>
      </c>
    </row>
    <row r="29" customFormat="false" ht="15" hidden="false" customHeight="true" outlineLevel="0" collapsed="false">
      <c r="A29" s="11" t="str">
        <f aca="false">Datos!A75</f>
        <v>P24</v>
      </c>
      <c r="B29" s="41" t="str">
        <f aca="false">Datos!C75</f>
        <v>MP-68</v>
      </c>
      <c r="C29" s="11" t="str">
        <f aca="false">Datos!B75</f>
        <v>Barra trefilada SAE 1045 3/4" × 4 m (eje 25 kg)</v>
      </c>
      <c r="D29" s="11" t="str">
        <f aca="false">Datos!F75</f>
        <v>barra</v>
      </c>
      <c r="E29" s="11" t="str">
        <f aca="false">Datos!D75</f>
        <v>Vladimirsky</v>
      </c>
      <c r="F29" s="47" t="n">
        <f aca="false">Datos!E75</f>
        <v>56.709</v>
      </c>
      <c r="G29" s="51" t="n">
        <f aca="false">F29/DIAS_ANIO</f>
        <v>0.2362875</v>
      </c>
      <c r="H29" s="51" t="n">
        <f aca="false">G29*FAC_CAR</f>
        <v>0.255190499998357</v>
      </c>
      <c r="I29" s="11" t="n">
        <f aca="false">Datos!G75</f>
        <v>1</v>
      </c>
      <c r="J29" s="11" t="n">
        <f aca="false">Datos!H75</f>
        <v>3</v>
      </c>
      <c r="K29" s="47" t="n">
        <f aca="false">G29*(I29+J29)/2</f>
        <v>0.472575</v>
      </c>
      <c r="L29" s="47" t="n">
        <f aca="false">H29*J29-K29</f>
        <v>0.292996499995072</v>
      </c>
      <c r="M29" s="11" t="str">
        <f aca="false">Datos!I75</f>
        <v>Barra de 4 m</v>
      </c>
      <c r="N29" s="52" t="n">
        <f aca="false">Datos!J75</f>
        <v>1</v>
      </c>
      <c r="O29" s="52" t="n">
        <f aca="false">Datos!K75</f>
        <v>20</v>
      </c>
      <c r="P29" s="11" t="n">
        <f aca="false">MAX(1,ROUNDUP(H29*O29/N29,0))</f>
        <v>6</v>
      </c>
      <c r="Q29" s="43" t="n">
        <f aca="false">IF(P29*N29=0,0,F29/(P29*N29))</f>
        <v>9.4515</v>
      </c>
      <c r="R29" s="11" t="s">
        <v>115</v>
      </c>
      <c r="S29" s="48" t="n">
        <f aca="false">L29+P29*N29</f>
        <v>6.29299649999507</v>
      </c>
      <c r="T29" s="11" t="n">
        <f aca="false">Datos!M75</f>
        <v>60</v>
      </c>
      <c r="U29" s="43" t="n">
        <f aca="false">IF(T29=0,0,S29/T29)</f>
        <v>0.104883274999918</v>
      </c>
      <c r="V29" s="11" t="str">
        <f aca="false">IFERROR(VLOOKUP(R29,Almacenes!$A$19:$I$32,9,FALSE()),"")</f>
        <v>Un atado por brazo y una medida por nivel; las barras de 6 m con los brazos a 1,5 m.</v>
      </c>
      <c r="W29" s="11" t="s">
        <v>108</v>
      </c>
    </row>
    <row r="30" customFormat="false" ht="15" hidden="false" customHeight="true" outlineLevel="0" collapsed="false">
      <c r="A30" s="11" t="str">
        <f aca="false">Datos!A76</f>
        <v>P25</v>
      </c>
      <c r="B30" s="41" t="str">
        <f aca="false">Datos!C76</f>
        <v>MP-69</v>
      </c>
      <c r="C30" s="11" t="str">
        <f aca="false">Datos!B76</f>
        <v>Barra trefilada SAE 1045 1" × 6 m (eje 50 a 100 kg)</v>
      </c>
      <c r="D30" s="11" t="str">
        <f aca="false">Datos!F76</f>
        <v>barra</v>
      </c>
      <c r="E30" s="11" t="str">
        <f aca="false">Datos!D76</f>
        <v>Vladimirsky</v>
      </c>
      <c r="F30" s="47" t="n">
        <f aca="false">Datos!E76</f>
        <v>127.028</v>
      </c>
      <c r="G30" s="51" t="n">
        <f aca="false">F30/DIAS_ANIO</f>
        <v>0.529283333333333</v>
      </c>
      <c r="H30" s="51" t="n">
        <f aca="false">G30*FAC_CAR</f>
        <v>0.571625999996321</v>
      </c>
      <c r="I30" s="11" t="n">
        <f aca="false">Datos!G76</f>
        <v>1</v>
      </c>
      <c r="J30" s="11" t="n">
        <f aca="false">Datos!H76</f>
        <v>3</v>
      </c>
      <c r="K30" s="47" t="n">
        <f aca="false">G30*(I30+J30)/2</f>
        <v>1.05856666666667</v>
      </c>
      <c r="L30" s="47" t="n">
        <f aca="false">H30*J30-K30</f>
        <v>0.656311333322295</v>
      </c>
      <c r="M30" s="11" t="str">
        <f aca="false">Datos!I76</f>
        <v>Barra de 6 m</v>
      </c>
      <c r="N30" s="52" t="n">
        <f aca="false">Datos!J76</f>
        <v>1</v>
      </c>
      <c r="O30" s="52" t="n">
        <f aca="false">Datos!K76</f>
        <v>20</v>
      </c>
      <c r="P30" s="11" t="n">
        <f aca="false">MAX(1,ROUNDUP(H30*O30/N30,0))</f>
        <v>12</v>
      </c>
      <c r="Q30" s="43" t="n">
        <f aca="false">IF(P30*N30=0,0,F30/(P30*N30))</f>
        <v>10.5856666666667</v>
      </c>
      <c r="R30" s="11" t="s">
        <v>115</v>
      </c>
      <c r="S30" s="48" t="n">
        <f aca="false">L30+P30*N30</f>
        <v>12.6563113333223</v>
      </c>
      <c r="T30" s="11" t="n">
        <f aca="false">Datos!M76</f>
        <v>60</v>
      </c>
      <c r="U30" s="43" t="n">
        <f aca="false">IF(T30=0,0,S30/T30)</f>
        <v>0.210938522222038</v>
      </c>
      <c r="V30" s="11" t="str">
        <f aca="false">IFERROR(VLOOKUP(R30,Almacenes!$A$19:$I$32,9,FALSE()),"")</f>
        <v>Un atado por brazo y una medida por nivel; las barras de 6 m con los brazos a 1,5 m.</v>
      </c>
      <c r="W30" s="11" t="s">
        <v>108</v>
      </c>
    </row>
    <row r="31" customFormat="false" ht="15" hidden="false" customHeight="true" outlineLevel="0" collapsed="false">
      <c r="A31" s="11" t="str">
        <f aca="false">Datos!A77</f>
        <v>P26</v>
      </c>
      <c r="B31" s="41" t="str">
        <f aca="false">Datos!C77</f>
        <v>MP-70</v>
      </c>
      <c r="C31" s="11" t="str">
        <f aca="false">Datos!B77</f>
        <v>Arandela de tope del eje</v>
      </c>
      <c r="D31" s="11" t="str">
        <f aca="false">Datos!F77</f>
        <v>u</v>
      </c>
      <c r="E31" s="11" t="str">
        <f aca="false">Datos!D77</f>
        <v>Würth Argentina</v>
      </c>
      <c r="F31" s="47" t="n">
        <f aca="false">Datos!E77</f>
        <v>7258.729</v>
      </c>
      <c r="G31" s="51" t="n">
        <f aca="false">F31/DIAS_ANIO</f>
        <v>30.2447041666667</v>
      </c>
      <c r="H31" s="51" t="n">
        <f aca="false">G31*FAC_CAR</f>
        <v>32.6642804997898</v>
      </c>
      <c r="I31" s="11" t="n">
        <f aca="false">Datos!G77</f>
        <v>3</v>
      </c>
      <c r="J31" s="11" t="n">
        <f aca="false">Datos!H77</f>
        <v>5</v>
      </c>
      <c r="K31" s="47" t="n">
        <f aca="false">G31*(I31+J31)/2</f>
        <v>120.978816666667</v>
      </c>
      <c r="L31" s="47" t="n">
        <f aca="false">H31*J31-K31</f>
        <v>42.3425858322821</v>
      </c>
      <c r="M31" s="11" t="str">
        <f aca="false">Datos!I77</f>
        <v>Bolsa de 1.000 u</v>
      </c>
      <c r="N31" s="52" t="n">
        <f aca="false">Datos!J77</f>
        <v>1000</v>
      </c>
      <c r="O31" s="52" t="n">
        <f aca="false">Datos!K77</f>
        <v>20</v>
      </c>
      <c r="P31" s="11" t="n">
        <f aca="false">MAX(1,ROUNDUP(H31*O31/N31,0))</f>
        <v>1</v>
      </c>
      <c r="Q31" s="43" t="n">
        <f aca="false">IF(P31*N31=0,0,F31/(P31*N31))</f>
        <v>7.258729</v>
      </c>
      <c r="R31" s="11" t="s">
        <v>125</v>
      </c>
      <c r="S31" s="48" t="n">
        <f aca="false">L31+P31*N31</f>
        <v>1042.34258583228</v>
      </c>
      <c r="T31" s="11" t="n">
        <f aca="false">Datos!M77</f>
        <v>20000</v>
      </c>
      <c r="U31" s="43" t="n">
        <f aca="false">IF(T31=0,0,S31/T31)</f>
        <v>0.0521171292916141</v>
      </c>
      <c r="V31" s="11" t="str">
        <f aca="false">IFERROR(VLOOKUP(R31,Almacenes!$A$19:$I$32,9,FALSE()),"")</f>
        <v>Ruedas en pallet abajo; cajas arriba.</v>
      </c>
      <c r="W31" s="11" t="s">
        <v>108</v>
      </c>
    </row>
    <row r="32" customFormat="false" ht="15" hidden="false" customHeight="true" outlineLevel="0" collapsed="false">
      <c r="A32" s="11" t="str">
        <f aca="false">Datos!A78</f>
        <v>P27</v>
      </c>
      <c r="B32" s="41" t="str">
        <f aca="false">Datos!C78</f>
        <v>MP-71</v>
      </c>
      <c r="C32" s="11" t="str">
        <f aca="false">Datos!B78</f>
        <v>Pasador partido del eje</v>
      </c>
      <c r="D32" s="11" t="str">
        <f aca="false">Datos!F78</f>
        <v>u</v>
      </c>
      <c r="E32" s="11" t="str">
        <f aca="false">Datos!D78</f>
        <v>Würth Argentina</v>
      </c>
      <c r="F32" s="47" t="n">
        <f aca="false">Datos!E78</f>
        <v>3629.364</v>
      </c>
      <c r="G32" s="51" t="n">
        <f aca="false">F32/DIAS_ANIO</f>
        <v>15.12235</v>
      </c>
      <c r="H32" s="51" t="n">
        <f aca="false">G32*FAC_CAR</f>
        <v>16.3321379998949</v>
      </c>
      <c r="I32" s="11" t="n">
        <f aca="false">Datos!G78</f>
        <v>3</v>
      </c>
      <c r="J32" s="11" t="n">
        <f aca="false">Datos!H78</f>
        <v>5</v>
      </c>
      <c r="K32" s="47" t="n">
        <f aca="false">G32*(I32+J32)/2</f>
        <v>60.4894</v>
      </c>
      <c r="L32" s="47" t="n">
        <f aca="false">H32*J32-K32</f>
        <v>21.1712899994744</v>
      </c>
      <c r="M32" s="11" t="str">
        <f aca="false">Datos!I78</f>
        <v>Bolsa de 1.000 u</v>
      </c>
      <c r="N32" s="52" t="n">
        <f aca="false">Datos!J78</f>
        <v>1000</v>
      </c>
      <c r="O32" s="52" t="n">
        <f aca="false">Datos!K78</f>
        <v>20</v>
      </c>
      <c r="P32" s="11" t="n">
        <f aca="false">MAX(1,ROUNDUP(H32*O32/N32,0))</f>
        <v>1</v>
      </c>
      <c r="Q32" s="43" t="n">
        <f aca="false">IF(P32*N32=0,0,F32/(P32*N32))</f>
        <v>3.629364</v>
      </c>
      <c r="R32" s="11" t="s">
        <v>125</v>
      </c>
      <c r="S32" s="48" t="n">
        <f aca="false">L32+P32*N32</f>
        <v>1021.17128999947</v>
      </c>
      <c r="T32" s="11" t="n">
        <f aca="false">Datos!M78</f>
        <v>20000</v>
      </c>
      <c r="U32" s="43" t="n">
        <f aca="false">IF(T32=0,0,S32/T32)</f>
        <v>0.0510585644999737</v>
      </c>
      <c r="V32" s="11" t="str">
        <f aca="false">IFERROR(VLOOKUP(R32,Almacenes!$A$19:$I$32,9,FALSE()),"")</f>
        <v>Ruedas en pallet abajo; cajas arriba.</v>
      </c>
      <c r="W32" s="11" t="s">
        <v>108</v>
      </c>
    </row>
    <row r="33" customFormat="false" ht="15" hidden="false" customHeight="true" outlineLevel="0" collapsed="false">
      <c r="A33" s="11" t="str">
        <f aca="false">Datos!A79</f>
        <v>P28</v>
      </c>
      <c r="B33" s="41" t="str">
        <f aca="false">Datos!C79</f>
        <v>MP-54/300</v>
      </c>
      <c r="C33" s="11" t="str">
        <f aca="false">Datos!B79</f>
        <v>Rueda Ø300 × 50, buje 3/4" (carro 25 kg)</v>
      </c>
      <c r="D33" s="11" t="str">
        <f aca="false">Datos!F79</f>
        <v>u</v>
      </c>
      <c r="E33" s="11" t="str">
        <f aca="false">Datos!D79</f>
        <v>Ruedar</v>
      </c>
      <c r="F33" s="47" t="n">
        <f aca="false">Datos!E79</f>
        <v>907.341</v>
      </c>
      <c r="G33" s="51" t="n">
        <f aca="false">F33/DIAS_ANIO</f>
        <v>3.7805875</v>
      </c>
      <c r="H33" s="51" t="n">
        <f aca="false">G33*FAC_CAR</f>
        <v>4.08303449997372</v>
      </c>
      <c r="I33" s="11" t="n">
        <f aca="false">Datos!G79</f>
        <v>3</v>
      </c>
      <c r="J33" s="11" t="n">
        <f aca="false">Datos!H79</f>
        <v>5</v>
      </c>
      <c r="K33" s="47" t="n">
        <f aca="false">G33*(I33+J33)/2</f>
        <v>15.12235</v>
      </c>
      <c r="L33" s="47" t="n">
        <f aca="false">H33*J33-K33</f>
        <v>5.2928224998686</v>
      </c>
      <c r="M33" s="11" t="str">
        <f aca="false">Datos!I79</f>
        <v>Pallet de 72 u</v>
      </c>
      <c r="N33" s="52" t="n">
        <f aca="false">Datos!J79</f>
        <v>72</v>
      </c>
      <c r="O33" s="52" t="n">
        <f aca="false">Datos!K79</f>
        <v>20</v>
      </c>
      <c r="P33" s="11" t="n">
        <f aca="false">MAX(1,ROUNDUP(H33*O33/N33,0))</f>
        <v>2</v>
      </c>
      <c r="Q33" s="43" t="n">
        <f aca="false">IF(P33*N33=0,0,F33/(P33*N33))</f>
        <v>6.30097916666667</v>
      </c>
      <c r="R33" s="11" t="s">
        <v>125</v>
      </c>
      <c r="S33" s="48" t="n">
        <f aca="false">L33+P33*N33</f>
        <v>149.292822499869</v>
      </c>
      <c r="T33" s="11" t="n">
        <f aca="false">Datos!M79</f>
        <v>144</v>
      </c>
      <c r="U33" s="43" t="n">
        <f aca="false">IF(T33=0,0,S33/T33)</f>
        <v>1.03675571180464</v>
      </c>
      <c r="V33" s="11" t="str">
        <f aca="false">IFERROR(VLOOKUP(R33,Almacenes!$A$19:$I$32,9,FALSE()),"")</f>
        <v>Ruedas en pallet abajo; cajas arriba.</v>
      </c>
      <c r="W33" s="11" t="s">
        <v>108</v>
      </c>
    </row>
    <row r="34" customFormat="false" ht="15" hidden="false" customHeight="true" outlineLevel="0" collapsed="false">
      <c r="A34" s="11" t="str">
        <f aca="false">Datos!A80</f>
        <v>P29</v>
      </c>
      <c r="B34" s="41" t="str">
        <f aca="false">Datos!C80</f>
        <v>MP-54/350</v>
      </c>
      <c r="C34" s="11" t="str">
        <f aca="false">Datos!B80</f>
        <v>Rueda Ø350 × 60, buje 1" (carro 50 kg)</v>
      </c>
      <c r="D34" s="11" t="str">
        <f aca="false">Datos!F80</f>
        <v>u</v>
      </c>
      <c r="E34" s="11" t="str">
        <f aca="false">Datos!D80</f>
        <v>Ruedar</v>
      </c>
      <c r="F34" s="47" t="n">
        <f aca="false">Datos!E80</f>
        <v>1995.99</v>
      </c>
      <c r="G34" s="51" t="n">
        <f aca="false">F34/DIAS_ANIO</f>
        <v>8.316625</v>
      </c>
      <c r="H34" s="51" t="n">
        <f aca="false">G34*FAC_CAR</f>
        <v>8.98195499994219</v>
      </c>
      <c r="I34" s="11" t="n">
        <f aca="false">Datos!G80</f>
        <v>3</v>
      </c>
      <c r="J34" s="11" t="n">
        <f aca="false">Datos!H80</f>
        <v>5</v>
      </c>
      <c r="K34" s="47" t="n">
        <f aca="false">G34*(I34+J34)/2</f>
        <v>33.2665</v>
      </c>
      <c r="L34" s="47" t="n">
        <f aca="false">H34*J34-K34</f>
        <v>11.6432749997109</v>
      </c>
      <c r="M34" s="11" t="str">
        <f aca="false">Datos!I80</f>
        <v>Pallet de 72 u</v>
      </c>
      <c r="N34" s="52" t="n">
        <f aca="false">Datos!J80</f>
        <v>72</v>
      </c>
      <c r="O34" s="52" t="n">
        <f aca="false">Datos!K80</f>
        <v>20</v>
      </c>
      <c r="P34" s="11" t="n">
        <f aca="false">MAX(1,ROUNDUP(H34*O34/N34,0))</f>
        <v>3</v>
      </c>
      <c r="Q34" s="43" t="n">
        <f aca="false">IF(P34*N34=0,0,F34/(P34*N34))</f>
        <v>9.24069444444445</v>
      </c>
      <c r="R34" s="11" t="s">
        <v>125</v>
      </c>
      <c r="S34" s="48" t="n">
        <f aca="false">L34+P34*N34</f>
        <v>227.643274999711</v>
      </c>
      <c r="T34" s="11" t="n">
        <f aca="false">Datos!M80</f>
        <v>144</v>
      </c>
      <c r="U34" s="43" t="n">
        <f aca="false">IF(T34=0,0,S34/T34)</f>
        <v>1.58085607638688</v>
      </c>
      <c r="V34" s="11" t="str">
        <f aca="false">IFERROR(VLOOKUP(R34,Almacenes!$A$19:$I$32,9,FALSE()),"")</f>
        <v>Ruedas en pallet abajo; cajas arriba.</v>
      </c>
      <c r="W34" s="11" t="s">
        <v>108</v>
      </c>
    </row>
    <row r="35" customFormat="false" ht="15" hidden="false" customHeight="true" outlineLevel="0" collapsed="false">
      <c r="A35" s="11" t="str">
        <f aca="false">Datos!A81</f>
        <v>P30</v>
      </c>
      <c r="B35" s="41" t="str">
        <f aca="false">Datos!C81</f>
        <v>MP-54/400</v>
      </c>
      <c r="C35" s="11" t="str">
        <f aca="false">Datos!B81</f>
        <v>Rueda Ø400 × 60, buje 1" (carros 70 y 100 kg)</v>
      </c>
      <c r="D35" s="11" t="str">
        <f aca="false">Datos!F81</f>
        <v>u</v>
      </c>
      <c r="E35" s="11" t="str">
        <f aca="false">Datos!D81</f>
        <v>Escanort</v>
      </c>
      <c r="F35" s="47" t="n">
        <f aca="false">Datos!E81</f>
        <v>726.033</v>
      </c>
      <c r="G35" s="51" t="n">
        <f aca="false">F35/DIAS_ANIO</f>
        <v>3.0251375</v>
      </c>
      <c r="H35" s="51" t="n">
        <f aca="false">G35*FAC_CAR</f>
        <v>3.26714849997897</v>
      </c>
      <c r="I35" s="11" t="n">
        <f aca="false">Datos!G81</f>
        <v>3</v>
      </c>
      <c r="J35" s="11" t="n">
        <f aca="false">Datos!H81</f>
        <v>5</v>
      </c>
      <c r="K35" s="47" t="n">
        <f aca="false">G35*(I35+J35)/2</f>
        <v>12.10055</v>
      </c>
      <c r="L35" s="47" t="n">
        <f aca="false">H35*J35-K35</f>
        <v>4.23519249989486</v>
      </c>
      <c r="M35" s="11" t="str">
        <f aca="false">Datos!I81</f>
        <v>Pallet de 72 u</v>
      </c>
      <c r="N35" s="52" t="n">
        <f aca="false">Datos!J81</f>
        <v>72</v>
      </c>
      <c r="O35" s="52" t="n">
        <f aca="false">Datos!K81</f>
        <v>20</v>
      </c>
      <c r="P35" s="11" t="n">
        <f aca="false">MAX(1,ROUNDUP(H35*O35/N35,0))</f>
        <v>1</v>
      </c>
      <c r="Q35" s="43" t="n">
        <f aca="false">IF(P35*N35=0,0,F35/(P35*N35))</f>
        <v>10.0837916666667</v>
      </c>
      <c r="R35" s="11" t="s">
        <v>125</v>
      </c>
      <c r="S35" s="48" t="n">
        <f aca="false">L35+P35*N35</f>
        <v>76.2351924998949</v>
      </c>
      <c r="T35" s="11" t="n">
        <f aca="false">Datos!M81</f>
        <v>144</v>
      </c>
      <c r="U35" s="43" t="n">
        <f aca="false">IF(T35=0,0,S35/T35)</f>
        <v>0.529411059027048</v>
      </c>
      <c r="V35" s="11" t="str">
        <f aca="false">IFERROR(VLOOKUP(R35,Almacenes!$A$19:$I$32,9,FALSE()),"")</f>
        <v>Ruedas en pallet abajo; cajas arriba.</v>
      </c>
      <c r="W35" s="11" t="s">
        <v>108</v>
      </c>
    </row>
    <row r="36" customFormat="false" ht="15" hidden="false" customHeight="true" outlineLevel="0" collapsed="false">
      <c r="A36" s="11" t="str">
        <f aca="false">Datos!A82</f>
        <v>P31</v>
      </c>
      <c r="B36" s="41" t="str">
        <f aca="false">Datos!C82</f>
        <v>MP-23</v>
      </c>
      <c r="C36" s="11" t="str">
        <f aca="false">Datos!B82</f>
        <v>Alambre MAG ER70S-6 Ø0,9 mm (manuales)</v>
      </c>
      <c r="D36" s="11" t="str">
        <f aca="false">Datos!F82</f>
        <v>kg</v>
      </c>
      <c r="E36" s="11" t="str">
        <f aca="false">Datos!D82</f>
        <v>Soldanet</v>
      </c>
      <c r="F36" s="47" t="n">
        <f aca="false">Datos!E82</f>
        <v>5990.038</v>
      </c>
      <c r="G36" s="51" t="n">
        <f aca="false">F36/DIAS_ANIO</f>
        <v>24.9584916666667</v>
      </c>
      <c r="H36" s="51" t="n">
        <f aca="false">G36*FAC_MAN</f>
        <v>26.955171</v>
      </c>
      <c r="I36" s="11" t="n">
        <f aca="false">Datos!G82</f>
        <v>4</v>
      </c>
      <c r="J36" s="11" t="n">
        <f aca="false">Datos!H82</f>
        <v>5</v>
      </c>
      <c r="K36" s="47" t="n">
        <f aca="false">G36*(I36+J36)/2</f>
        <v>112.3132125</v>
      </c>
      <c r="L36" s="47" t="n">
        <f aca="false">H36*J36-K36</f>
        <v>22.4626425</v>
      </c>
      <c r="M36" s="11" t="str">
        <f aca="false">Datos!I82</f>
        <v>Pallet de 60 bobinas de 15 kg (900 kg)</v>
      </c>
      <c r="N36" s="52" t="n">
        <f aca="false">Datos!J82</f>
        <v>900</v>
      </c>
      <c r="O36" s="52" t="n">
        <f aca="false">Datos!K82</f>
        <v>20</v>
      </c>
      <c r="P36" s="11" t="n">
        <f aca="false">MAX(1,ROUNDUP(H36*O36/N36,0))</f>
        <v>1</v>
      </c>
      <c r="Q36" s="43" t="n">
        <f aca="false">IF(P36*N36=0,0,F36/(P36*N36))</f>
        <v>6.65559777777778</v>
      </c>
      <c r="R36" s="11" t="s">
        <v>122</v>
      </c>
      <c r="S36" s="48" t="n">
        <f aca="false">L36+P36*N36</f>
        <v>922.4626425</v>
      </c>
      <c r="T36" s="11" t="n">
        <f aca="false">Datos!M82</f>
        <v>900</v>
      </c>
      <c r="U36" s="43" t="n">
        <f aca="false">IF(T36=0,0,S36/T36)</f>
        <v>1.02495849166667</v>
      </c>
      <c r="V36" s="11" t="str">
        <f aca="false">IFERROR(VLOOKUP(R36,Almacenes!$A$19:$I$32,9,FALSE()),"")</f>
        <v>Granalla en el piso del rack; alambre y pintura arriba; insumos chicos en caja.</v>
      </c>
      <c r="W36" s="11" t="s">
        <v>107</v>
      </c>
    </row>
    <row r="37" customFormat="false" ht="15" hidden="false" customHeight="true" outlineLevel="0" collapsed="false">
      <c r="A37" s="11" t="str">
        <f aca="false">Datos!A83</f>
        <v>P32</v>
      </c>
      <c r="B37" s="41" t="str">
        <f aca="false">Datos!C83</f>
        <v>MP-24</v>
      </c>
      <c r="C37" s="11" t="str">
        <f aca="false">Datos!B83</f>
        <v>Alambre MAG ER70S-6 Ø1,0 mm (carros)</v>
      </c>
      <c r="D37" s="11" t="str">
        <f aca="false">Datos!F83</f>
        <v>kg</v>
      </c>
      <c r="E37" s="11" t="str">
        <f aca="false">Datos!D83</f>
        <v>Soldanet</v>
      </c>
      <c r="F37" s="47" t="n">
        <f aca="false">Datos!E83</f>
        <v>1390.597</v>
      </c>
      <c r="G37" s="51" t="n">
        <f aca="false">F37/DIAS_ANIO</f>
        <v>5.79415416666667</v>
      </c>
      <c r="H37" s="51" t="n">
        <f aca="false">G37*FAC_CAR</f>
        <v>6.25768649995972</v>
      </c>
      <c r="I37" s="11" t="n">
        <f aca="false">Datos!G83</f>
        <v>4</v>
      </c>
      <c r="J37" s="11" t="n">
        <f aca="false">Datos!H83</f>
        <v>5</v>
      </c>
      <c r="K37" s="47" t="n">
        <f aca="false">G37*(I37+J37)/2</f>
        <v>26.07369375</v>
      </c>
      <c r="L37" s="47" t="n">
        <f aca="false">H37*J37-K37</f>
        <v>5.21473874979861</v>
      </c>
      <c r="M37" s="11" t="str">
        <f aca="false">Datos!I83</f>
        <v>Bobina de 15 kg</v>
      </c>
      <c r="N37" s="52" t="n">
        <f aca="false">Datos!J83</f>
        <v>15</v>
      </c>
      <c r="O37" s="52" t="n">
        <f aca="false">Datos!K83</f>
        <v>20</v>
      </c>
      <c r="P37" s="11" t="n">
        <f aca="false">MAX(1,ROUNDUP(H37*O37/N37,0))</f>
        <v>9</v>
      </c>
      <c r="Q37" s="43" t="n">
        <f aca="false">IF(P37*N37=0,0,F37/(P37*N37))</f>
        <v>10.3007185185185</v>
      </c>
      <c r="R37" s="11" t="s">
        <v>125</v>
      </c>
      <c r="S37" s="48" t="n">
        <f aca="false">L37+P37*N37</f>
        <v>140.214738749799</v>
      </c>
      <c r="T37" s="11" t="n">
        <f aca="false">Datos!M83</f>
        <v>900</v>
      </c>
      <c r="U37" s="43" t="n">
        <f aca="false">IF(T37=0,0,S37/T37)</f>
        <v>0.155794154166443</v>
      </c>
      <c r="V37" s="11" t="str">
        <f aca="false">IFERROR(VLOOKUP(R37,Almacenes!$A$19:$I$32,9,FALSE()),"")</f>
        <v>Ruedas en pallet abajo; cajas arriba.</v>
      </c>
      <c r="W37" s="11" t="s">
        <v>108</v>
      </c>
    </row>
    <row r="38" customFormat="false" ht="15" hidden="false" customHeight="true" outlineLevel="0" collapsed="false">
      <c r="A38" s="11" t="str">
        <f aca="false">Datos!A84</f>
        <v>P33</v>
      </c>
      <c r="B38" s="41" t="str">
        <f aca="false">Datos!C84</f>
        <v>MP-25</v>
      </c>
      <c r="C38" s="11" t="str">
        <f aca="false">Datos!B84</f>
        <v>Gas MAG Ar + 8 % CO₂ (Arcal 21)</v>
      </c>
      <c r="D38" s="11" t="str">
        <f aca="false">Datos!F84</f>
        <v>m³</v>
      </c>
      <c r="E38" s="11" t="str">
        <f aca="false">Datos!D84</f>
        <v>Air Liquide</v>
      </c>
      <c r="F38" s="47" t="n">
        <f aca="false">Datos!E84</f>
        <v>7959.639</v>
      </c>
      <c r="G38" s="51" t="n">
        <f aca="false">F38/DIAS_ANIO</f>
        <v>33.1651625</v>
      </c>
      <c r="H38" s="51" t="n">
        <f aca="false">G38*FAC_MAN</f>
        <v>35.8183755</v>
      </c>
      <c r="I38" s="11" t="n">
        <f aca="false">Datos!G84</f>
        <v>1</v>
      </c>
      <c r="J38" s="11" t="n">
        <f aca="false">Datos!H84</f>
        <v>1</v>
      </c>
      <c r="K38" s="47" t="n">
        <f aca="false">G38*(I38+J38)/2</f>
        <v>33.1651625</v>
      </c>
      <c r="L38" s="47" t="n">
        <f aca="false">H38*J38-K38</f>
        <v>2.653213</v>
      </c>
      <c r="M38" s="11" t="str">
        <f aca="false">Datos!I84</f>
        <v>Batería de 11 cilindros con manifold (115,5 m³)</v>
      </c>
      <c r="N38" s="52" t="n">
        <f aca="false">Datos!J84</f>
        <v>115.5</v>
      </c>
      <c r="O38" s="52" t="n">
        <f aca="false">Datos!K84</f>
        <v>5</v>
      </c>
      <c r="P38" s="11" t="n">
        <f aca="false">MAX(1,ROUNDUP(H38*O38/N38,0))</f>
        <v>2</v>
      </c>
      <c r="Q38" s="43" t="n">
        <f aca="false">IF(P38*N38=0,0,F38/(P38*N38))</f>
        <v>34.4573116883117</v>
      </c>
      <c r="R38" s="11" t="s">
        <v>123</v>
      </c>
      <c r="S38" s="48" t="n">
        <f aca="false">L38+P38*N38</f>
        <v>233.653213</v>
      </c>
      <c r="T38" s="11" t="n">
        <f aca="false">Datos!M84</f>
        <v>115.5</v>
      </c>
      <c r="U38" s="43" t="n">
        <f aca="false">IF(T38=0,0,S38/T38)</f>
        <v>2.02297154112554</v>
      </c>
      <c r="V38" s="11" t="str">
        <f aca="false">IFERROR(VLOOKUP(R38,Almacenes!$A$19:$I$32,9,FALSE()),"")</f>
        <v>Baterías y pack con manifold conectados a la cañería; cilindros sueltos encadenados en gabinete.</v>
      </c>
      <c r="W38" s="11" t="s">
        <v>107</v>
      </c>
    </row>
    <row r="39" customFormat="false" ht="15" hidden="false" customHeight="true" outlineLevel="0" collapsed="false">
      <c r="A39" s="11" t="str">
        <f aca="false">Datos!A85</f>
        <v>P34</v>
      </c>
      <c r="B39" s="41" t="str">
        <f aca="false">Datos!C85</f>
        <v>MP-26</v>
      </c>
      <c r="C39" s="11" t="str">
        <f aca="false">Datos!B85</f>
        <v>Argón puro EN ISO 14175 I1 (costura longitudinal TIG del 1 kg)</v>
      </c>
      <c r="D39" s="11" t="str">
        <f aca="false">Datos!F85</f>
        <v>m³</v>
      </c>
      <c r="E39" s="11" t="str">
        <f aca="false">Datos!D85</f>
        <v>Air Liquide</v>
      </c>
      <c r="F39" s="47" t="n">
        <f aca="false">Datos!E85</f>
        <v>800.554</v>
      </c>
      <c r="G39" s="51" t="n">
        <f aca="false">F39/DIAS_ANIO</f>
        <v>3.33564166666667</v>
      </c>
      <c r="H39" s="51" t="n">
        <f aca="false">G39*FAC_MAN</f>
        <v>3.602493</v>
      </c>
      <c r="I39" s="11" t="n">
        <f aca="false">Datos!G85</f>
        <v>1</v>
      </c>
      <c r="J39" s="11" t="n">
        <f aca="false">Datos!H85</f>
        <v>1</v>
      </c>
      <c r="K39" s="47" t="n">
        <f aca="false">G39*(I39+J39)/2</f>
        <v>3.33564166666667</v>
      </c>
      <c r="L39" s="47" t="n">
        <f aca="false">H39*J39-K39</f>
        <v>0.266851333333334</v>
      </c>
      <c r="M39" s="11" t="str">
        <f aca="false">Datos!I85</f>
        <v>Cilindro de 10,5 m³</v>
      </c>
      <c r="N39" s="52" t="n">
        <f aca="false">Datos!J85</f>
        <v>10.5</v>
      </c>
      <c r="O39" s="52" t="n">
        <f aca="false">Datos!K85</f>
        <v>5</v>
      </c>
      <c r="P39" s="11" t="n">
        <f aca="false">MAX(1,ROUNDUP(H39*O39/N39,0))</f>
        <v>2</v>
      </c>
      <c r="Q39" s="43" t="n">
        <f aca="false">IF(P39*N39=0,0,F39/(P39*N39))</f>
        <v>38.1216190476191</v>
      </c>
      <c r="R39" s="11" t="s">
        <v>123</v>
      </c>
      <c r="S39" s="48" t="n">
        <f aca="false">L39+P39*N39</f>
        <v>21.2668513333333</v>
      </c>
      <c r="T39" s="11" t="n">
        <f aca="false">Datos!M85</f>
        <v>115.5</v>
      </c>
      <c r="U39" s="43" t="n">
        <f aca="false">IF(T39=0,0,S39/T39)</f>
        <v>0.184128582972583</v>
      </c>
      <c r="V39" s="11" t="str">
        <f aca="false">IFERROR(VLOOKUP(R39,Almacenes!$A$19:$I$32,9,FALSE()),"")</f>
        <v>Baterías y pack con manifold conectados a la cañería; cilindros sueltos encadenados en gabinete.</v>
      </c>
      <c r="W39" s="11" t="s">
        <v>107</v>
      </c>
    </row>
    <row r="40" customFormat="false" ht="15" hidden="false" customHeight="true" outlineLevel="0" collapsed="false">
      <c r="A40" s="11" t="str">
        <f aca="false">Datos!A86</f>
        <v>P35</v>
      </c>
      <c r="B40" s="41" t="str">
        <f aca="false">Datos!C86</f>
        <v>MP-29</v>
      </c>
      <c r="C40" s="11" t="str">
        <f aca="false">Datos!B86</f>
        <v>Electrodo de tungsteno lantanado 2 % (WL20) Ø2,4 × 175 mm</v>
      </c>
      <c r="D40" s="11" t="str">
        <f aca="false">Datos!F86</f>
        <v>u</v>
      </c>
      <c r="E40" s="11" t="str">
        <f aca="false">Datos!D86</f>
        <v>Würth Argentina</v>
      </c>
      <c r="F40" s="47" t="n">
        <f aca="false">Datos!E86</f>
        <v>166.629</v>
      </c>
      <c r="G40" s="51" t="n">
        <f aca="false">F40/DIAS_ANIO</f>
        <v>0.6942875</v>
      </c>
      <c r="H40" s="51" t="n">
        <f aca="false">G40*FAC_MAN</f>
        <v>0.7498305</v>
      </c>
      <c r="I40" s="11" t="n">
        <f aca="false">Datos!G86</f>
        <v>3</v>
      </c>
      <c r="J40" s="11" t="n">
        <f aca="false">Datos!H86</f>
        <v>5</v>
      </c>
      <c r="K40" s="47" t="n">
        <f aca="false">G40*(I40+J40)/2</f>
        <v>2.77715</v>
      </c>
      <c r="L40" s="47" t="n">
        <f aca="false">H40*J40-K40</f>
        <v>0.9720025</v>
      </c>
      <c r="M40" s="11" t="str">
        <f aca="false">Datos!I86</f>
        <v>Caja de 10 u</v>
      </c>
      <c r="N40" s="52" t="n">
        <f aca="false">Datos!J86</f>
        <v>10</v>
      </c>
      <c r="O40" s="52" t="n">
        <f aca="false">Datos!K86</f>
        <v>20</v>
      </c>
      <c r="P40" s="11" t="n">
        <f aca="false">MAX(1,ROUNDUP(H40*O40/N40,0))</f>
        <v>2</v>
      </c>
      <c r="Q40" s="43" t="n">
        <f aca="false">IF(P40*N40=0,0,F40/(P40*N40))</f>
        <v>8.33145</v>
      </c>
      <c r="R40" s="11" t="s">
        <v>122</v>
      </c>
      <c r="S40" s="48" t="n">
        <f aca="false">L40+P40*N40</f>
        <v>20.9720025</v>
      </c>
      <c r="T40" s="11" t="n">
        <f aca="false">Datos!M86</f>
        <v>250</v>
      </c>
      <c r="U40" s="43" t="n">
        <f aca="false">IF(T40=0,0,S40/T40)</f>
        <v>0.08388801</v>
      </c>
      <c r="V40" s="11" t="str">
        <f aca="false">IFERROR(VLOOKUP(R40,Almacenes!$A$19:$I$32,9,FALSE()),"")</f>
        <v>Granalla en el piso del rack; alambre y pintura arriba; insumos chicos en caja.</v>
      </c>
      <c r="W40" s="11" t="s">
        <v>107</v>
      </c>
    </row>
    <row r="41" customFormat="false" ht="15" hidden="false" customHeight="true" outlineLevel="0" collapsed="false">
      <c r="A41" s="11" t="str">
        <f aca="false">Datos!A87</f>
        <v>P36</v>
      </c>
      <c r="B41" s="41" t="str">
        <f aca="false">Datos!C87</f>
        <v>MP-92</v>
      </c>
      <c r="C41" s="11" t="str">
        <f aca="false">Datos!B87</f>
        <v>Disco de sensitiva 355 mm</v>
      </c>
      <c r="D41" s="11" t="str">
        <f aca="false">Datos!F87</f>
        <v>u</v>
      </c>
      <c r="E41" s="11" t="str">
        <f aca="false">Datos!D87</f>
        <v>Würth Argentina</v>
      </c>
      <c r="F41" s="47" t="n">
        <f aca="false">Datos!E87</f>
        <v>27.22</v>
      </c>
      <c r="G41" s="51" t="n">
        <f aca="false">F41/DIAS_ANIO</f>
        <v>0.113416666666667</v>
      </c>
      <c r="H41" s="51" t="n">
        <f aca="false">G41*FAC_MAN</f>
        <v>0.12249</v>
      </c>
      <c r="I41" s="11" t="n">
        <f aca="false">Datos!G87</f>
        <v>3</v>
      </c>
      <c r="J41" s="11" t="n">
        <f aca="false">Datos!H87</f>
        <v>5</v>
      </c>
      <c r="K41" s="47" t="n">
        <f aca="false">G41*(I41+J41)/2</f>
        <v>0.453666666666667</v>
      </c>
      <c r="L41" s="47" t="n">
        <f aca="false">H41*J41-K41</f>
        <v>0.158783333333333</v>
      </c>
      <c r="M41" s="11" t="str">
        <f aca="false">Datos!I87</f>
        <v>Caja de 10 u</v>
      </c>
      <c r="N41" s="52" t="n">
        <f aca="false">Datos!J87</f>
        <v>10</v>
      </c>
      <c r="O41" s="52" t="n">
        <f aca="false">Datos!K87</f>
        <v>60</v>
      </c>
      <c r="P41" s="11" t="n">
        <f aca="false">MAX(1,ROUNDUP(H41*O41/N41,0))</f>
        <v>1</v>
      </c>
      <c r="Q41" s="43" t="n">
        <f aca="false">IF(P41*N41=0,0,F41/(P41*N41))</f>
        <v>2.722</v>
      </c>
      <c r="R41" s="11" t="s">
        <v>122</v>
      </c>
      <c r="S41" s="48" t="n">
        <f aca="false">L41+P41*N41</f>
        <v>10.1587833333333</v>
      </c>
      <c r="T41" s="11" t="n">
        <f aca="false">Datos!M87</f>
        <v>250</v>
      </c>
      <c r="U41" s="43" t="n">
        <f aca="false">IF(T41=0,0,S41/T41)</f>
        <v>0.0406351333333333</v>
      </c>
      <c r="V41" s="11" t="str">
        <f aca="false">IFERROR(VLOOKUP(R41,Almacenes!$A$19:$I$32,9,FALSE()),"")</f>
        <v>Granalla en el piso del rack; alambre y pintura arriba; insumos chicos en caja.</v>
      </c>
      <c r="W41" s="11" t="s">
        <v>107</v>
      </c>
    </row>
    <row r="42" customFormat="false" ht="15" hidden="false" customHeight="true" outlineLevel="0" collapsed="false">
      <c r="A42" s="11" t="str">
        <f aca="false">Datos!A88</f>
        <v>P37</v>
      </c>
      <c r="B42" s="41" t="str">
        <f aca="false">Datos!C88</f>
        <v>MP-27</v>
      </c>
      <c r="C42" s="11" t="str">
        <f aca="false">Datos!B88</f>
        <v>Disco de corte 115 × 1,0 mm</v>
      </c>
      <c r="D42" s="11" t="str">
        <f aca="false">Datos!F88</f>
        <v>u</v>
      </c>
      <c r="E42" s="11" t="str">
        <f aca="false">Datos!D88</f>
        <v>Espacio Industria</v>
      </c>
      <c r="F42" s="47" t="n">
        <f aca="false">Datos!E88</f>
        <v>99.755</v>
      </c>
      <c r="G42" s="51" t="n">
        <f aca="false">F42/DIAS_ANIO</f>
        <v>0.415645833333333</v>
      </c>
      <c r="H42" s="51" t="n">
        <f aca="false">G42*FAC_MAN</f>
        <v>0.4488975</v>
      </c>
      <c r="I42" s="11" t="n">
        <f aca="false">Datos!G88</f>
        <v>1</v>
      </c>
      <c r="J42" s="11" t="n">
        <f aca="false">Datos!H88</f>
        <v>1</v>
      </c>
      <c r="K42" s="47" t="n">
        <f aca="false">G42*(I42+J42)/2</f>
        <v>0.415645833333333</v>
      </c>
      <c r="L42" s="47" t="n">
        <f aca="false">H42*J42-K42</f>
        <v>0.0332516666666667</v>
      </c>
      <c r="M42" s="11" t="str">
        <f aca="false">Datos!I88</f>
        <v>Caja de 25 u</v>
      </c>
      <c r="N42" s="52" t="n">
        <f aca="false">Datos!J88</f>
        <v>25</v>
      </c>
      <c r="O42" s="52" t="n">
        <f aca="false">Datos!K88</f>
        <v>60</v>
      </c>
      <c r="P42" s="11" t="n">
        <f aca="false">MAX(1,ROUNDUP(H42*O42/N42,0))</f>
        <v>2</v>
      </c>
      <c r="Q42" s="43" t="n">
        <f aca="false">IF(P42*N42=0,0,F42/(P42*N42))</f>
        <v>1.9951</v>
      </c>
      <c r="R42" s="11" t="s">
        <v>122</v>
      </c>
      <c r="S42" s="48" t="n">
        <f aca="false">L42+P42*N42</f>
        <v>50.0332516666667</v>
      </c>
      <c r="T42" s="11" t="n">
        <f aca="false">Datos!M88</f>
        <v>250</v>
      </c>
      <c r="U42" s="43" t="n">
        <f aca="false">IF(T42=0,0,S42/T42)</f>
        <v>0.200133006666667</v>
      </c>
      <c r="V42" s="11" t="str">
        <f aca="false">IFERROR(VLOOKUP(R42,Almacenes!$A$19:$I$32,9,FALSE()),"")</f>
        <v>Granalla en el piso del rack; alambre y pintura arriba; insumos chicos en caja.</v>
      </c>
      <c r="W42" s="11" t="s">
        <v>107</v>
      </c>
    </row>
    <row r="43" customFormat="false" ht="15" hidden="false" customHeight="true" outlineLevel="0" collapsed="false">
      <c r="A43" s="11" t="str">
        <f aca="false">Datos!A89</f>
        <v>P38</v>
      </c>
      <c r="B43" s="41" t="str">
        <f aca="false">Datos!C89</f>
        <v>MP-93</v>
      </c>
      <c r="C43" s="11" t="str">
        <f aca="false">Datos!B89</f>
        <v>Disco flap 115 mm grano 60</v>
      </c>
      <c r="D43" s="11" t="str">
        <f aca="false">Datos!F89</f>
        <v>u</v>
      </c>
      <c r="E43" s="11" t="str">
        <f aca="false">Datos!D89</f>
        <v>Würth Argentina</v>
      </c>
      <c r="F43" s="47" t="n">
        <f aca="false">Datos!E89</f>
        <v>22.67</v>
      </c>
      <c r="G43" s="51" t="n">
        <f aca="false">F43/DIAS_ANIO</f>
        <v>0.0944583333333333</v>
      </c>
      <c r="H43" s="51" t="n">
        <f aca="false">G43*FAC_MAN</f>
        <v>0.102015</v>
      </c>
      <c r="I43" s="11" t="n">
        <f aca="false">Datos!G89</f>
        <v>3</v>
      </c>
      <c r="J43" s="11" t="n">
        <f aca="false">Datos!H89</f>
        <v>5</v>
      </c>
      <c r="K43" s="47" t="n">
        <f aca="false">G43*(I43+J43)/2</f>
        <v>0.377833333333333</v>
      </c>
      <c r="L43" s="47" t="n">
        <f aca="false">H43*J43-K43</f>
        <v>0.132241666666667</v>
      </c>
      <c r="M43" s="11" t="str">
        <f aca="false">Datos!I89</f>
        <v>Caja de 10 u</v>
      </c>
      <c r="N43" s="52" t="n">
        <f aca="false">Datos!J89</f>
        <v>10</v>
      </c>
      <c r="O43" s="52" t="n">
        <f aca="false">Datos!K89</f>
        <v>60</v>
      </c>
      <c r="P43" s="11" t="n">
        <f aca="false">MAX(1,ROUNDUP(H43*O43/N43,0))</f>
        <v>1</v>
      </c>
      <c r="Q43" s="43" t="n">
        <f aca="false">IF(P43*N43=0,0,F43/(P43*N43))</f>
        <v>2.267</v>
      </c>
      <c r="R43" s="11" t="s">
        <v>122</v>
      </c>
      <c r="S43" s="48" t="n">
        <f aca="false">L43+P43*N43</f>
        <v>10.1322416666667</v>
      </c>
      <c r="T43" s="11" t="n">
        <f aca="false">Datos!M89</f>
        <v>250</v>
      </c>
      <c r="U43" s="43" t="n">
        <f aca="false">IF(T43=0,0,S43/T43)</f>
        <v>0.0405289666666667</v>
      </c>
      <c r="V43" s="11" t="str">
        <f aca="false">IFERROR(VLOOKUP(R43,Almacenes!$A$19:$I$32,9,FALSE()),"")</f>
        <v>Granalla en el piso del rack; alambre y pintura arriba; insumos chicos en caja.</v>
      </c>
      <c r="W43" s="11" t="s">
        <v>107</v>
      </c>
    </row>
    <row r="44" customFormat="false" ht="15" hidden="false" customHeight="true" outlineLevel="0" collapsed="false">
      <c r="A44" s="11" t="str">
        <f aca="false">Datos!A90</f>
        <v>P39</v>
      </c>
      <c r="B44" s="41" t="str">
        <f aca="false">Datos!C90</f>
        <v>MP-94</v>
      </c>
      <c r="C44" s="11" t="str">
        <f aca="false">Datos!B90</f>
        <v>Mecha de acero rápido 4,5 mm</v>
      </c>
      <c r="D44" s="11" t="str">
        <f aca="false">Datos!F90</f>
        <v>u</v>
      </c>
      <c r="E44" s="11" t="str">
        <f aca="false">Datos!D90</f>
        <v>Espacio Industria</v>
      </c>
      <c r="F44" s="47" t="n">
        <f aca="false">Datos!E90</f>
        <v>18.147</v>
      </c>
      <c r="G44" s="51" t="n">
        <f aca="false">F44/DIAS_ANIO</f>
        <v>0.0756125</v>
      </c>
      <c r="H44" s="51" t="n">
        <f aca="false">G44*FAC_MAN</f>
        <v>0.0816615</v>
      </c>
      <c r="I44" s="11" t="n">
        <f aca="false">Datos!G90</f>
        <v>1</v>
      </c>
      <c r="J44" s="11" t="n">
        <f aca="false">Datos!H90</f>
        <v>1</v>
      </c>
      <c r="K44" s="47" t="n">
        <f aca="false">G44*(I44+J44)/2</f>
        <v>0.0756125</v>
      </c>
      <c r="L44" s="47" t="n">
        <f aca="false">H44*J44-K44</f>
        <v>0.006049</v>
      </c>
      <c r="M44" s="11" t="str">
        <f aca="false">Datos!I90</f>
        <v>Caja de 10 u</v>
      </c>
      <c r="N44" s="52" t="n">
        <f aca="false">Datos!J90</f>
        <v>10</v>
      </c>
      <c r="O44" s="52" t="n">
        <f aca="false">Datos!K90</f>
        <v>60</v>
      </c>
      <c r="P44" s="11" t="n">
        <f aca="false">MAX(1,ROUNDUP(H44*O44/N44,0))</f>
        <v>1</v>
      </c>
      <c r="Q44" s="43" t="n">
        <f aca="false">IF(P44*N44=0,0,F44/(P44*N44))</f>
        <v>1.8147</v>
      </c>
      <c r="R44" s="11" t="s">
        <v>122</v>
      </c>
      <c r="S44" s="48" t="n">
        <f aca="false">L44+P44*N44</f>
        <v>10.006049</v>
      </c>
      <c r="T44" s="11" t="n">
        <f aca="false">Datos!M90</f>
        <v>250</v>
      </c>
      <c r="U44" s="43" t="n">
        <f aca="false">IF(T44=0,0,S44/T44)</f>
        <v>0.040024196</v>
      </c>
      <c r="V44" s="11" t="str">
        <f aca="false">IFERROR(VLOOKUP(R44,Almacenes!$A$19:$I$32,9,FALSE()),"")</f>
        <v>Granalla en el piso del rack; alambre y pintura arriba; insumos chicos en caja.</v>
      </c>
      <c r="W44" s="11" t="s">
        <v>107</v>
      </c>
    </row>
    <row r="45" customFormat="false" ht="15" hidden="false" customHeight="true" outlineLevel="0" collapsed="false">
      <c r="A45" s="11" t="str">
        <f aca="false">Datos!A91</f>
        <v>P40</v>
      </c>
      <c r="B45" s="41" t="str">
        <f aca="false">Datos!C91</f>
        <v>MP-95</v>
      </c>
      <c r="C45" s="11" t="str">
        <f aca="false">Datos!B91</f>
        <v>Spray antiproyecciones 400 ml</v>
      </c>
      <c r="D45" s="11" t="str">
        <f aca="false">Datos!F91</f>
        <v>u</v>
      </c>
      <c r="E45" s="11" t="str">
        <f aca="false">Datos!D91</f>
        <v>Würth Argentina</v>
      </c>
      <c r="F45" s="47" t="n">
        <f aca="false">Datos!E91</f>
        <v>7.768</v>
      </c>
      <c r="G45" s="51" t="n">
        <f aca="false">F45/DIAS_ANIO</f>
        <v>0.0323666666666667</v>
      </c>
      <c r="H45" s="51" t="n">
        <f aca="false">G45*FAC_MAN</f>
        <v>0.034956</v>
      </c>
      <c r="I45" s="11" t="n">
        <f aca="false">Datos!G91</f>
        <v>3</v>
      </c>
      <c r="J45" s="11" t="n">
        <f aca="false">Datos!H91</f>
        <v>5</v>
      </c>
      <c r="K45" s="47" t="n">
        <f aca="false">G45*(I45+J45)/2</f>
        <v>0.129466666666667</v>
      </c>
      <c r="L45" s="47" t="n">
        <f aca="false">H45*J45-K45</f>
        <v>0.0453133333333333</v>
      </c>
      <c r="M45" s="11" t="str">
        <f aca="false">Datos!I91</f>
        <v>Unidad (aerosol de 400 ml)</v>
      </c>
      <c r="N45" s="52" t="n">
        <f aca="false">Datos!J91</f>
        <v>1</v>
      </c>
      <c r="O45" s="52" t="n">
        <f aca="false">Datos!K91</f>
        <v>60</v>
      </c>
      <c r="P45" s="11" t="n">
        <f aca="false">MAX(1,ROUNDUP(H45*O45/N45,0))</f>
        <v>3</v>
      </c>
      <c r="Q45" s="43" t="n">
        <f aca="false">IF(P45*N45=0,0,F45/(P45*N45))</f>
        <v>2.58933333333333</v>
      </c>
      <c r="R45" s="11" t="s">
        <v>122</v>
      </c>
      <c r="S45" s="48" t="n">
        <f aca="false">L45+P45*N45</f>
        <v>3.04531333333333</v>
      </c>
      <c r="T45" s="11" t="n">
        <f aca="false">Datos!M91</f>
        <v>250</v>
      </c>
      <c r="U45" s="43" t="n">
        <f aca="false">IF(T45=0,0,S45/T45)</f>
        <v>0.0121812533333333</v>
      </c>
      <c r="V45" s="11" t="str">
        <f aca="false">IFERROR(VLOOKUP(R45,Almacenes!$A$19:$I$32,9,FALSE()),"")</f>
        <v>Granalla en el piso del rack; alambre y pintura arriba; insumos chicos en caja.</v>
      </c>
      <c r="W45" s="11" t="s">
        <v>107</v>
      </c>
    </row>
    <row r="46" customFormat="false" ht="15" hidden="false" customHeight="true" outlineLevel="0" collapsed="false">
      <c r="A46" s="11" t="str">
        <f aca="false">Datos!A92</f>
        <v>P41</v>
      </c>
      <c r="B46" s="41" t="str">
        <f aca="false">Datos!C92</f>
        <v>MP-28</v>
      </c>
      <c r="C46" s="11" t="str">
        <f aca="false">Datos!B92</f>
        <v>Granalla de acero S330 / S390</v>
      </c>
      <c r="D46" s="11" t="str">
        <f aca="false">Datos!F92</f>
        <v>kg</v>
      </c>
      <c r="E46" s="11" t="str">
        <f aca="false">Datos!D92</f>
        <v>CyM Materiales</v>
      </c>
      <c r="F46" s="47" t="n">
        <f aca="false">Datos!E92</f>
        <v>22757.005</v>
      </c>
      <c r="G46" s="51" t="n">
        <f aca="false">F46/DIAS_ANIO</f>
        <v>94.8208541666667</v>
      </c>
      <c r="H46" s="51" t="n">
        <f aca="false">G46*FAC_MAN</f>
        <v>102.4065225</v>
      </c>
      <c r="I46" s="11" t="n">
        <f aca="false">Datos!G92</f>
        <v>1</v>
      </c>
      <c r="J46" s="11" t="n">
        <f aca="false">Datos!H92</f>
        <v>1</v>
      </c>
      <c r="K46" s="47" t="n">
        <f aca="false">G46*(I46+J46)/2</f>
        <v>94.8208541666667</v>
      </c>
      <c r="L46" s="47" t="n">
        <f aca="false">H46*J46-K46</f>
        <v>7.58566833333335</v>
      </c>
      <c r="M46" s="11" t="str">
        <f aca="false">Datos!I92</f>
        <v>Pallet de 1.000 kg (40 bolsas de 25 kg)</v>
      </c>
      <c r="N46" s="52" t="n">
        <f aca="false">Datos!J92</f>
        <v>1000</v>
      </c>
      <c r="O46" s="52" t="n">
        <f aca="false">Datos!K92</f>
        <v>20</v>
      </c>
      <c r="P46" s="11" t="n">
        <f aca="false">MAX(1,ROUNDUP(H46*O46/N46,0))</f>
        <v>3</v>
      </c>
      <c r="Q46" s="43" t="n">
        <f aca="false">IF(P46*N46=0,0,F46/(P46*N46))</f>
        <v>7.58566833333333</v>
      </c>
      <c r="R46" s="11" t="s">
        <v>122</v>
      </c>
      <c r="S46" s="48" t="n">
        <f aca="false">L46+P46*N46</f>
        <v>3007.58566833333</v>
      </c>
      <c r="T46" s="11" t="n">
        <f aca="false">Datos!M92</f>
        <v>1000</v>
      </c>
      <c r="U46" s="43" t="n">
        <f aca="false">IF(T46=0,0,S46/T46)</f>
        <v>3.00758566833333</v>
      </c>
      <c r="V46" s="11" t="str">
        <f aca="false">IFERROR(VLOOKUP(R46,Almacenes!$A$19:$I$32,9,FALSE()),"")</f>
        <v>Granalla en el piso del rack; alambre y pintura arriba; insumos chicos en caja.</v>
      </c>
      <c r="W46" s="11" t="s">
        <v>107</v>
      </c>
    </row>
    <row r="47" customFormat="false" ht="15" hidden="false" customHeight="true" outlineLevel="0" collapsed="false">
      <c r="A47" s="11" t="str">
        <f aca="false">Datos!A93</f>
        <v>P42</v>
      </c>
      <c r="B47" s="41" t="str">
        <f aca="false">Datos!C93</f>
        <v>MP-31</v>
      </c>
      <c r="C47" s="11" t="str">
        <f aca="false">Datos!B93</f>
        <v>Pintura en polvo poliéster rojo 03-1-050</v>
      </c>
      <c r="D47" s="11" t="str">
        <f aca="false">Datos!F93</f>
        <v>kg</v>
      </c>
      <c r="E47" s="11" t="str">
        <f aca="false">Datos!D93</f>
        <v>Sinteplast</v>
      </c>
      <c r="F47" s="47" t="n">
        <f aca="false">Datos!E93</f>
        <v>3581.935</v>
      </c>
      <c r="G47" s="51" t="n">
        <f aca="false">F47/DIAS_ANIO</f>
        <v>14.9247291666667</v>
      </c>
      <c r="H47" s="51" t="n">
        <f aca="false">G47*FAC_MAN</f>
        <v>16.1187075</v>
      </c>
      <c r="I47" s="11" t="n">
        <f aca="false">Datos!G93</f>
        <v>1</v>
      </c>
      <c r="J47" s="11" t="n">
        <f aca="false">Datos!H93</f>
        <v>1</v>
      </c>
      <c r="K47" s="47" t="n">
        <f aca="false">G47*(I47+J47)/2</f>
        <v>14.9247291666667</v>
      </c>
      <c r="L47" s="47" t="n">
        <f aca="false">H47*J47-K47</f>
        <v>1.19397833333334</v>
      </c>
      <c r="M47" s="11" t="str">
        <f aca="false">Datos!I93</f>
        <v>Caja de 25 kg</v>
      </c>
      <c r="N47" s="52" t="n">
        <f aca="false">Datos!J93</f>
        <v>25</v>
      </c>
      <c r="O47" s="52" t="n">
        <f aca="false">Datos!K93</f>
        <v>20</v>
      </c>
      <c r="P47" s="11" t="n">
        <f aca="false">MAX(1,ROUNDUP(H47*O47/N47,0))</f>
        <v>13</v>
      </c>
      <c r="Q47" s="43" t="n">
        <f aca="false">IF(P47*N47=0,0,F47/(P47*N47))</f>
        <v>11.0213384615385</v>
      </c>
      <c r="R47" s="11" t="s">
        <v>117</v>
      </c>
      <c r="S47" s="48" t="n">
        <f aca="false">L47+P47*N47</f>
        <v>326.193978333333</v>
      </c>
      <c r="T47" s="11" t="n">
        <f aca="false">Datos!M93</f>
        <v>600</v>
      </c>
      <c r="U47" s="43" t="n">
        <f aca="false">IF(T47=0,0,S47/T47)</f>
        <v>0.543656630555556</v>
      </c>
      <c r="V47" s="11" t="str">
        <f aca="false">IFERROR(VLOOKUP(R47,Almacenes!$A$19:$I$32,9,FALSE()),"")</f>
        <v>Big bags de 1 × 1 m en el piso, de a 2, por fecha de llegada; bolsas de 25 kg y cajas de pintura sobre pallet plástico. Depósito seco.</v>
      </c>
      <c r="W47" s="11" t="s">
        <v>107</v>
      </c>
    </row>
    <row r="48" customFormat="false" ht="15" hidden="false" customHeight="true" outlineLevel="0" collapsed="false">
      <c r="A48" s="11" t="str">
        <f aca="false">Datos!A94</f>
        <v>P43</v>
      </c>
      <c r="B48" s="41" t="str">
        <f aca="false">Datos!C94</f>
        <v>MP-33</v>
      </c>
      <c r="C48" s="11" t="str">
        <f aca="false">Datos!B94</f>
        <v>Polvo ABC 60 (manuales y sus recargas)</v>
      </c>
      <c r="D48" s="11" t="str">
        <f aca="false">Datos!F94</f>
        <v>kg</v>
      </c>
      <c r="E48" s="11" t="str">
        <f aca="false">Datos!D94</f>
        <v>DEMSA</v>
      </c>
      <c r="F48" s="47" t="n">
        <f aca="false">Datos!E94</f>
        <v>272378.17</v>
      </c>
      <c r="G48" s="51" t="n">
        <f aca="false">F48/DIAS_ANIO</f>
        <v>1134.90904166667</v>
      </c>
      <c r="H48" s="51" t="n">
        <f aca="false">G48*MAX(FAC_MAN,FAC_REC)</f>
        <v>1385.75745988054</v>
      </c>
      <c r="I48" s="11" t="n">
        <f aca="false">Datos!G94</f>
        <v>3</v>
      </c>
      <c r="J48" s="11" t="n">
        <f aca="false">Datos!H94</f>
        <v>6</v>
      </c>
      <c r="K48" s="47" t="n">
        <f aca="false">G48*(I48+J48)/2</f>
        <v>5107.0906875</v>
      </c>
      <c r="L48" s="47" t="n">
        <f aca="false">H48*J48-K48</f>
        <v>3207.45407178323</v>
      </c>
      <c r="M48" s="11" t="str">
        <f aca="false">Datos!I94</f>
        <v>Big bag de 1.000 kg</v>
      </c>
      <c r="N48" s="52" t="n">
        <f aca="false">Datos!J94</f>
        <v>1000</v>
      </c>
      <c r="O48" s="52" t="n">
        <f aca="false">Datos!K94</f>
        <v>5</v>
      </c>
      <c r="P48" s="11" t="n">
        <f aca="false">MAX(1,ROUNDUP(H48*O48/N48,0))</f>
        <v>7</v>
      </c>
      <c r="Q48" s="43" t="n">
        <f aca="false">IF(P48*N48=0,0,F48/(P48*N48))</f>
        <v>38.9111671428571</v>
      </c>
      <c r="R48" s="11" t="s">
        <v>117</v>
      </c>
      <c r="S48" s="48" t="n">
        <f aca="false">L48+P48*N48</f>
        <v>10207.4540717832</v>
      </c>
      <c r="T48" s="11" t="n">
        <f aca="false">Datos!M94</f>
        <v>2000</v>
      </c>
      <c r="U48" s="43" t="n">
        <f aca="false">IF(T48=0,0,S48/T48)</f>
        <v>5.10372703589161</v>
      </c>
      <c r="V48" s="11" t="str">
        <f aca="false">IFERROR(VLOOKUP(R48,Almacenes!$A$19:$I$32,9,FALSE()),"")</f>
        <v>Big bags de 1 × 1 m en el piso, de a 2, por fecha de llegada; bolsas de 25 kg y cajas de pintura sobre pallet plástico. Depósito seco.</v>
      </c>
      <c r="W48" s="11" t="s">
        <v>360</v>
      </c>
    </row>
    <row r="49" customFormat="false" ht="15" hidden="false" customHeight="true" outlineLevel="0" collapsed="false">
      <c r="A49" s="11" t="str">
        <f aca="false">Datos!A95</f>
        <v>P44</v>
      </c>
      <c r="B49" s="41" t="str">
        <f aca="false">Datos!C95</f>
        <v>MP-33B</v>
      </c>
      <c r="C49" s="11" t="str">
        <f aca="false">Datos!B95</f>
        <v>Polvo ABC 90 (carros y sus recargas)</v>
      </c>
      <c r="D49" s="11" t="str">
        <f aca="false">Datos!F95</f>
        <v>kg</v>
      </c>
      <c r="E49" s="11" t="str">
        <f aca="false">Datos!D95</f>
        <v>DEMSA</v>
      </c>
      <c r="F49" s="47" t="n">
        <f aca="false">Datos!E95</f>
        <v>102532.951</v>
      </c>
      <c r="G49" s="51" t="n">
        <f aca="false">F49/DIAS_ANIO</f>
        <v>427.220629166667</v>
      </c>
      <c r="H49" s="51" t="n">
        <f aca="false">G49*MAX(FAC_CAR,FAC_REC)</f>
        <v>521.649006349575</v>
      </c>
      <c r="I49" s="11" t="n">
        <f aca="false">Datos!G95</f>
        <v>3</v>
      </c>
      <c r="J49" s="11" t="n">
        <f aca="false">Datos!H95</f>
        <v>6</v>
      </c>
      <c r="K49" s="47" t="n">
        <f aca="false">G49*(I49+J49)/2</f>
        <v>1922.49283125</v>
      </c>
      <c r="L49" s="47" t="n">
        <f aca="false">H49*J49-K49</f>
        <v>1207.40120684745</v>
      </c>
      <c r="M49" s="11" t="str">
        <f aca="false">Datos!I95</f>
        <v>Big bag de 1.000 kg</v>
      </c>
      <c r="N49" s="52" t="n">
        <f aca="false">Datos!J95</f>
        <v>1000</v>
      </c>
      <c r="O49" s="52" t="n">
        <f aca="false">Datos!K95</f>
        <v>5</v>
      </c>
      <c r="P49" s="11" t="n">
        <f aca="false">MAX(1,ROUNDUP(H49*O49/N49,0))</f>
        <v>3</v>
      </c>
      <c r="Q49" s="43" t="n">
        <f aca="false">IF(P49*N49=0,0,F49/(P49*N49))</f>
        <v>34.1776503333333</v>
      </c>
      <c r="R49" s="11" t="s">
        <v>117</v>
      </c>
      <c r="S49" s="48" t="n">
        <f aca="false">L49+P49*N49</f>
        <v>4207.40120684745</v>
      </c>
      <c r="T49" s="11" t="n">
        <f aca="false">Datos!M95</f>
        <v>2000</v>
      </c>
      <c r="U49" s="43" t="n">
        <f aca="false">IF(T49=0,0,S49/T49)</f>
        <v>2.10370060342372</v>
      </c>
      <c r="V49" s="11" t="str">
        <f aca="false">IFERROR(VLOOKUP(R49,Almacenes!$A$19:$I$32,9,FALSE()),"")</f>
        <v>Big bags de 1 × 1 m en el piso, de a 2, por fecha de llegada; bolsas de 25 kg y cajas de pintura sobre pallet plástico. Depósito seco.</v>
      </c>
      <c r="W49" s="11" t="s">
        <v>365</v>
      </c>
    </row>
    <row r="50" customFormat="false" ht="15" hidden="false" customHeight="true" outlineLevel="0" collapsed="false">
      <c r="A50" s="11" t="str">
        <f aca="false">Datos!A96</f>
        <v>P45</v>
      </c>
      <c r="B50" s="41" t="str">
        <f aca="false">Datos!C96</f>
        <v>MP-34</v>
      </c>
      <c r="C50" s="11" t="str">
        <f aca="false">Datos!B96</f>
        <v>Nitrógeno seco</v>
      </c>
      <c r="D50" s="11" t="str">
        <f aca="false">Datos!F96</f>
        <v>m³</v>
      </c>
      <c r="E50" s="11" t="str">
        <f aca="false">Datos!D96</f>
        <v>Air Liquide</v>
      </c>
      <c r="F50" s="47" t="n">
        <f aca="false">Datos!E96</f>
        <v>3652.274</v>
      </c>
      <c r="G50" s="51" t="n">
        <f aca="false">F50/DIAS_ANIO</f>
        <v>15.2178083333333</v>
      </c>
      <c r="H50" s="51" t="n">
        <f aca="false">G50*MAX(FAC_MAN,FAC_REC)</f>
        <v>18.5813934392309</v>
      </c>
      <c r="I50" s="11" t="n">
        <f aca="false">Datos!G96</f>
        <v>1</v>
      </c>
      <c r="J50" s="11" t="n">
        <f aca="false">Datos!H96</f>
        <v>1</v>
      </c>
      <c r="K50" s="47" t="n">
        <f aca="false">G50*(I50+J50)/2</f>
        <v>15.2178083333333</v>
      </c>
      <c r="L50" s="47" t="n">
        <f aca="false">H50*J50-K50</f>
        <v>3.36358510589761</v>
      </c>
      <c r="M50" s="11" t="str">
        <f aca="false">Datos!I96</f>
        <v>Pack de 12 cilindros con manifold (110 m³)</v>
      </c>
      <c r="N50" s="52" t="n">
        <f aca="false">Datos!J96</f>
        <v>110</v>
      </c>
      <c r="O50" s="52" t="n">
        <f aca="false">Datos!K96</f>
        <v>5</v>
      </c>
      <c r="P50" s="11" t="n">
        <f aca="false">MAX(1,ROUNDUP(H50*O50/N50,0))</f>
        <v>1</v>
      </c>
      <c r="Q50" s="43" t="n">
        <f aca="false">IF(P50*N50=0,0,F50/(P50*N50))</f>
        <v>33.2024909090909</v>
      </c>
      <c r="R50" s="11" t="s">
        <v>123</v>
      </c>
      <c r="S50" s="48" t="n">
        <f aca="false">L50+P50*N50</f>
        <v>113.363585105898</v>
      </c>
      <c r="T50" s="11" t="n">
        <f aca="false">Datos!M96</f>
        <v>103</v>
      </c>
      <c r="U50" s="43" t="n">
        <f aca="false">IF(T50=0,0,S50/T50)</f>
        <v>1.10061733112522</v>
      </c>
      <c r="V50" s="11" t="str">
        <f aca="false">IFERROR(VLOOKUP(R50,Almacenes!$A$19:$I$32,9,FALSE()),"")</f>
        <v>Baterías y pack con manifold conectados a la cañería; cilindros sueltos encadenados en gabinete.</v>
      </c>
      <c r="W50" s="11" t="s">
        <v>360</v>
      </c>
    </row>
    <row r="51" customFormat="false" ht="15" hidden="false" customHeight="true" outlineLevel="0" collapsed="false">
      <c r="A51" s="11" t="str">
        <f aca="false">Datos!A97</f>
        <v>P46</v>
      </c>
      <c r="B51" s="41" t="str">
        <f aca="false">Datos!C97</f>
        <v>MP-35</v>
      </c>
      <c r="C51" s="11" t="str">
        <f aca="false">Datos!B97</f>
        <v>Polvo BC (recargas)</v>
      </c>
      <c r="D51" s="11" t="str">
        <f aca="false">Datos!F97</f>
        <v>kg</v>
      </c>
      <c r="E51" s="11" t="str">
        <f aca="false">Datos!D97</f>
        <v>Polvex</v>
      </c>
      <c r="F51" s="47" t="n">
        <f aca="false">Datos!E97</f>
        <v>727.985</v>
      </c>
      <c r="G51" s="51" t="n">
        <f aca="false">F51/DIAS_ANIO</f>
        <v>3.03327083333333</v>
      </c>
      <c r="H51" s="51" t="n">
        <f aca="false">G51*FAC_REC</f>
        <v>3.70371327640219</v>
      </c>
      <c r="I51" s="11" t="n">
        <f aca="false">Datos!G97</f>
        <v>3</v>
      </c>
      <c r="J51" s="11" t="n">
        <f aca="false">Datos!H97</f>
        <v>6</v>
      </c>
      <c r="K51" s="47" t="n">
        <f aca="false">G51*(I51+J51)/2</f>
        <v>13.64971875</v>
      </c>
      <c r="L51" s="47" t="n">
        <f aca="false">H51*J51-K51</f>
        <v>8.57256090841315</v>
      </c>
      <c r="M51" s="11" t="str">
        <f aca="false">Datos!I97</f>
        <v>Bolsa de 25 kg</v>
      </c>
      <c r="N51" s="52" t="n">
        <f aca="false">Datos!J97</f>
        <v>25</v>
      </c>
      <c r="O51" s="52" t="n">
        <f aca="false">Datos!K97</f>
        <v>20</v>
      </c>
      <c r="P51" s="11" t="n">
        <f aca="false">MAX(1,ROUNDUP(H51*O51/N51,0))</f>
        <v>3</v>
      </c>
      <c r="Q51" s="43" t="n">
        <f aca="false">IF(P51*N51=0,0,F51/(P51*N51))</f>
        <v>9.70646666666667</v>
      </c>
      <c r="R51" s="11" t="s">
        <v>117</v>
      </c>
      <c r="S51" s="48" t="n">
        <f aca="false">L51+P51*N51</f>
        <v>83.5725609084132</v>
      </c>
      <c r="T51" s="11" t="n">
        <f aca="false">Datos!M97</f>
        <v>1000</v>
      </c>
      <c r="U51" s="43" t="n">
        <f aca="false">IF(T51=0,0,S51/T51)</f>
        <v>0.0835725609084132</v>
      </c>
      <c r="V51" s="11" t="str">
        <f aca="false">IFERROR(VLOOKUP(R51,Almacenes!$A$19:$I$32,9,FALSE()),"")</f>
        <v>Big bags de 1 × 1 m en el piso, de a 2, por fecha de llegada; bolsas de 25 kg y cajas de pintura sobre pallet plástico. Depósito seco.</v>
      </c>
      <c r="W51" s="11" t="s">
        <v>109</v>
      </c>
    </row>
    <row r="52" customFormat="false" ht="15" hidden="false" customHeight="true" outlineLevel="0" collapsed="false">
      <c r="A52" s="11" t="str">
        <f aca="false">Datos!A98</f>
        <v>P47</v>
      </c>
      <c r="B52" s="41" t="str">
        <f aca="false">Datos!C98</f>
        <v>MP-36</v>
      </c>
      <c r="C52" s="11" t="str">
        <f aca="false">Datos!B98</f>
        <v>Polvo clase D (recargas)</v>
      </c>
      <c r="D52" s="11" t="str">
        <f aca="false">Datos!F98</f>
        <v>kg</v>
      </c>
      <c r="E52" s="11" t="str">
        <f aca="false">Datos!D98</f>
        <v>DEMSA</v>
      </c>
      <c r="F52" s="47" t="n">
        <f aca="false">Datos!E98</f>
        <v>1170.002</v>
      </c>
      <c r="G52" s="51" t="n">
        <f aca="false">F52/DIAS_ANIO</f>
        <v>4.87500833333333</v>
      </c>
      <c r="H52" s="51" t="n">
        <f aca="false">G52*FAC_REC</f>
        <v>5.95252916037709</v>
      </c>
      <c r="I52" s="11" t="n">
        <f aca="false">Datos!G98</f>
        <v>3</v>
      </c>
      <c r="J52" s="11" t="n">
        <f aca="false">Datos!H98</f>
        <v>6</v>
      </c>
      <c r="K52" s="47" t="n">
        <f aca="false">G52*(I52+J52)/2</f>
        <v>21.9375375</v>
      </c>
      <c r="L52" s="47" t="n">
        <f aca="false">H52*J52-K52</f>
        <v>13.7776374622625</v>
      </c>
      <c r="M52" s="11" t="str">
        <f aca="false">Datos!I98</f>
        <v>Bolsa de 25 kg</v>
      </c>
      <c r="N52" s="52" t="n">
        <f aca="false">Datos!J98</f>
        <v>25</v>
      </c>
      <c r="O52" s="52" t="n">
        <f aca="false">Datos!K98</f>
        <v>20</v>
      </c>
      <c r="P52" s="11" t="n">
        <f aca="false">MAX(1,ROUNDUP(H52*O52/N52,0))</f>
        <v>5</v>
      </c>
      <c r="Q52" s="43" t="n">
        <f aca="false">IF(P52*N52=0,0,F52/(P52*N52))</f>
        <v>9.360016</v>
      </c>
      <c r="R52" s="11" t="s">
        <v>117</v>
      </c>
      <c r="S52" s="48" t="n">
        <f aca="false">L52+P52*N52</f>
        <v>138.777637462263</v>
      </c>
      <c r="T52" s="11" t="n">
        <f aca="false">Datos!M98</f>
        <v>1000</v>
      </c>
      <c r="U52" s="43" t="n">
        <f aca="false">IF(T52=0,0,S52/T52)</f>
        <v>0.138777637462263</v>
      </c>
      <c r="V52" s="11" t="str">
        <f aca="false">IFERROR(VLOOKUP(R52,Almacenes!$A$19:$I$32,9,FALSE()),"")</f>
        <v>Big bags de 1 × 1 m en el piso, de a 2, por fecha de llegada; bolsas de 25 kg y cajas de pintura sobre pallet plástico. Depósito seco.</v>
      </c>
      <c r="W52" s="11" t="s">
        <v>109</v>
      </c>
    </row>
    <row r="53" customFormat="false" ht="15" hidden="false" customHeight="true" outlineLevel="0" collapsed="false">
      <c r="A53" s="11" t="str">
        <f aca="false">Datos!A99</f>
        <v>P48</v>
      </c>
      <c r="B53" s="41" t="str">
        <f aca="false">Datos!C99</f>
        <v>MP-37</v>
      </c>
      <c r="C53" s="11" t="str">
        <f aca="false">Datos!B99</f>
        <v>CO₂ líquido (recargas)</v>
      </c>
      <c r="D53" s="11" t="str">
        <f aca="false">Datos!F99</f>
        <v>kg</v>
      </c>
      <c r="E53" s="11" t="str">
        <f aca="false">Datos!D99</f>
        <v>Air Liquide</v>
      </c>
      <c r="F53" s="47" t="n">
        <f aca="false">Datos!E99</f>
        <v>2465.021</v>
      </c>
      <c r="G53" s="51" t="n">
        <f aca="false">F53/DIAS_ANIO</f>
        <v>10.2709208333333</v>
      </c>
      <c r="H53" s="51" t="n">
        <f aca="false">G53*FAC_REC</f>
        <v>12.5410976933731</v>
      </c>
      <c r="I53" s="11" t="n">
        <f aca="false">Datos!G99</f>
        <v>1</v>
      </c>
      <c r="J53" s="11" t="n">
        <f aca="false">Datos!H99</f>
        <v>1</v>
      </c>
      <c r="K53" s="47" t="n">
        <f aca="false">G53*(I53+J53)/2</f>
        <v>10.2709208333333</v>
      </c>
      <c r="L53" s="47" t="n">
        <f aca="false">H53*J53-K53</f>
        <v>2.27017686003975</v>
      </c>
      <c r="M53" s="11" t="str">
        <f aca="false">Datos!I99</f>
        <v>Cilindro de 25 kg</v>
      </c>
      <c r="N53" s="52" t="n">
        <f aca="false">Datos!J99</f>
        <v>25</v>
      </c>
      <c r="O53" s="52" t="n">
        <f aca="false">Datos!K99</f>
        <v>5</v>
      </c>
      <c r="P53" s="11" t="n">
        <f aca="false">MAX(1,ROUNDUP(H53*O53/N53,0))</f>
        <v>3</v>
      </c>
      <c r="Q53" s="43" t="n">
        <f aca="false">IF(P53*N53=0,0,F53/(P53*N53))</f>
        <v>32.8669466666667</v>
      </c>
      <c r="R53" s="11" t="s">
        <v>123</v>
      </c>
      <c r="S53" s="48" t="n">
        <f aca="false">L53+P53*N53</f>
        <v>77.2701768600398</v>
      </c>
      <c r="T53" s="11" t="n">
        <f aca="false">Datos!M99</f>
        <v>25</v>
      </c>
      <c r="U53" s="43" t="n">
        <f aca="false">IF(T53=0,0,S53/T53)</f>
        <v>3.09080707440159</v>
      </c>
      <c r="V53" s="11" t="str">
        <f aca="false">IFERROR(VLOOKUP(R53,Almacenes!$A$19:$I$32,9,FALSE()),"")</f>
        <v>Baterías y pack con manifold conectados a la cañería; cilindros sueltos encadenados en gabinete.</v>
      </c>
      <c r="W53" s="11" t="s">
        <v>109</v>
      </c>
    </row>
    <row r="54" customFormat="false" ht="15" hidden="false" customHeight="true" outlineLevel="0" collapsed="false">
      <c r="A54" s="11" t="str">
        <f aca="false">Datos!A100</f>
        <v>P49</v>
      </c>
      <c r="B54" s="41" t="str">
        <f aca="false">Datos!C100</f>
        <v>MP-38</v>
      </c>
      <c r="C54" s="11" t="str">
        <f aca="false">Datos!B100</f>
        <v>Agente limpio HCFC-123 (recargas)</v>
      </c>
      <c r="D54" s="11" t="str">
        <f aca="false">Datos!F100</f>
        <v>kg</v>
      </c>
      <c r="E54" s="11" t="str">
        <f aca="false">Datos!D100</f>
        <v>Polvex / DEMSA</v>
      </c>
      <c r="F54" s="47" t="n">
        <f aca="false">Datos!E100</f>
        <v>186.31</v>
      </c>
      <c r="G54" s="51" t="n">
        <f aca="false">F54/DIAS_ANIO</f>
        <v>0.776291666666667</v>
      </c>
      <c r="H54" s="51" t="n">
        <f aca="false">G54*FAC_REC</f>
        <v>0.947875053093803</v>
      </c>
      <c r="I54" s="11" t="n">
        <f aca="false">Datos!G100</f>
        <v>3</v>
      </c>
      <c r="J54" s="11" t="n">
        <f aca="false">Datos!H100</f>
        <v>6</v>
      </c>
      <c r="K54" s="47" t="n">
        <f aca="false">G54*(I54+J54)/2</f>
        <v>3.4933125</v>
      </c>
      <c r="L54" s="47" t="n">
        <f aca="false">H54*J54-K54</f>
        <v>2.19393781856282</v>
      </c>
      <c r="M54" s="11" t="str">
        <f aca="false">Datos!I100</f>
        <v>Cilindro de 50 kg</v>
      </c>
      <c r="N54" s="52" t="n">
        <f aca="false">Datos!J100</f>
        <v>50</v>
      </c>
      <c r="O54" s="52" t="n">
        <f aca="false">Datos!K100</f>
        <v>20</v>
      </c>
      <c r="P54" s="11" t="n">
        <f aca="false">MAX(1,ROUNDUP(H54*O54/N54,0))</f>
        <v>1</v>
      </c>
      <c r="Q54" s="43" t="n">
        <f aca="false">IF(P54*N54=0,0,F54/(P54*N54))</f>
        <v>3.7262</v>
      </c>
      <c r="R54" s="11" t="s">
        <v>121</v>
      </c>
      <c r="S54" s="48" t="n">
        <f aca="false">L54+P54*N54</f>
        <v>52.1939378185628</v>
      </c>
      <c r="T54" s="11" t="n">
        <f aca="false">Datos!M100</f>
        <v>50</v>
      </c>
      <c r="U54" s="43" t="n">
        <f aca="false">IF(T54=0,0,S54/T54)</f>
        <v>1.04387875637126</v>
      </c>
      <c r="V54" s="11" t="str">
        <f aca="false">IFERROR(VLOOKUP(R54,Almacenes!$A$19:$I$32,9,FALSE()),"")</f>
        <v>Tambores de 200 L en el piso sobre pallet antiderrame; bidones en bandeja; cajas en los niveles.</v>
      </c>
      <c r="W54" s="11" t="s">
        <v>109</v>
      </c>
    </row>
    <row r="55" customFormat="false" ht="15" hidden="false" customHeight="true" outlineLevel="0" collapsed="false">
      <c r="A55" s="11" t="str">
        <f aca="false">Datos!A101</f>
        <v>P50</v>
      </c>
      <c r="B55" s="41" t="str">
        <f aca="false">Datos!C101</f>
        <v>MP-40</v>
      </c>
      <c r="C55" s="11" t="str">
        <f aca="false">Datos!B101</f>
        <v>Concentrado AFFF 3 % (recargas)</v>
      </c>
      <c r="D55" s="11" t="str">
        <f aca="false">Datos!F101</f>
        <v>L</v>
      </c>
      <c r="E55" s="11" t="str">
        <f aca="false">Datos!D101</f>
        <v>Polvex</v>
      </c>
      <c r="F55" s="47" t="n">
        <f aca="false">Datos!E101</f>
        <v>506.638</v>
      </c>
      <c r="G55" s="51" t="n">
        <f aca="false">F55/DIAS_ANIO</f>
        <v>2.11099166666667</v>
      </c>
      <c r="H55" s="51" t="n">
        <f aca="false">G55*FAC_REC</f>
        <v>2.5775831740075</v>
      </c>
      <c r="I55" s="11" t="n">
        <f aca="false">Datos!G101</f>
        <v>1</v>
      </c>
      <c r="J55" s="11" t="n">
        <f aca="false">Datos!H101</f>
        <v>1</v>
      </c>
      <c r="K55" s="47" t="n">
        <f aca="false">G55*(I55+J55)/2</f>
        <v>2.11099166666667</v>
      </c>
      <c r="L55" s="47" t="n">
        <f aca="false">H55*J55-K55</f>
        <v>0.466591507340838</v>
      </c>
      <c r="M55" s="11" t="str">
        <f aca="false">Datos!I101</f>
        <v>Bidón de 20 L</v>
      </c>
      <c r="N55" s="52" t="n">
        <f aca="false">Datos!J101</f>
        <v>20</v>
      </c>
      <c r="O55" s="52" t="n">
        <f aca="false">Datos!K101</f>
        <v>20</v>
      </c>
      <c r="P55" s="11" t="n">
        <f aca="false">MAX(1,ROUNDUP(H55*O55/N55,0))</f>
        <v>3</v>
      </c>
      <c r="Q55" s="43" t="n">
        <f aca="false">IF(P55*N55=0,0,F55/(P55*N55))</f>
        <v>8.44396666666667</v>
      </c>
      <c r="R55" s="11" t="s">
        <v>121</v>
      </c>
      <c r="S55" s="48" t="n">
        <f aca="false">L55+P55*N55</f>
        <v>60.4665915073408</v>
      </c>
      <c r="T55" s="11" t="n">
        <f aca="false">Datos!M101</f>
        <v>480</v>
      </c>
      <c r="U55" s="43" t="n">
        <f aca="false">IF(T55=0,0,S55/T55)</f>
        <v>0.125972065640293</v>
      </c>
      <c r="V55" s="11" t="str">
        <f aca="false">IFERROR(VLOOKUP(R55,Almacenes!$A$19:$I$32,9,FALSE()),"")</f>
        <v>Tambores de 200 L en el piso sobre pallet antiderrame; bidones en bandeja; cajas en los niveles.</v>
      </c>
      <c r="W55" s="11" t="s">
        <v>109</v>
      </c>
    </row>
    <row r="56" customFormat="false" ht="15" hidden="false" customHeight="true" outlineLevel="0" collapsed="false">
      <c r="A56" s="11" t="str">
        <f aca="false">Datos!A102</f>
        <v>P51</v>
      </c>
      <c r="B56" s="41" t="str">
        <f aca="false">Datos!C102</f>
        <v>MP-41</v>
      </c>
      <c r="C56" s="11" t="str">
        <f aca="false">Datos!B102</f>
        <v>Acetato de potasio Gastro K (recargas)</v>
      </c>
      <c r="D56" s="11" t="str">
        <f aca="false">Datos!F102</f>
        <v>L</v>
      </c>
      <c r="E56" s="11" t="str">
        <f aca="false">Datos!D102</f>
        <v>Polvex</v>
      </c>
      <c r="F56" s="47" t="n">
        <f aca="false">Datos!E102</f>
        <v>7419.099</v>
      </c>
      <c r="G56" s="51" t="n">
        <f aca="false">F56/DIAS_ANIO</f>
        <v>30.9129125</v>
      </c>
      <c r="H56" s="51" t="n">
        <f aca="false">G56*FAC_REC</f>
        <v>37.7455791880907</v>
      </c>
      <c r="I56" s="11" t="n">
        <f aca="false">Datos!G102</f>
        <v>3</v>
      </c>
      <c r="J56" s="11" t="n">
        <f aca="false">Datos!H102</f>
        <v>6</v>
      </c>
      <c r="K56" s="47" t="n">
        <f aca="false">G56*(I56+J56)/2</f>
        <v>139.10810625</v>
      </c>
      <c r="L56" s="47" t="n">
        <f aca="false">H56*J56-K56</f>
        <v>87.3653688785443</v>
      </c>
      <c r="M56" s="11" t="str">
        <f aca="false">Datos!I102</f>
        <v>Tambor de 200 L (4 por pallet)</v>
      </c>
      <c r="N56" s="52" t="n">
        <f aca="false">Datos!J102</f>
        <v>200</v>
      </c>
      <c r="O56" s="52" t="n">
        <f aca="false">Datos!K102</f>
        <v>20</v>
      </c>
      <c r="P56" s="11" t="n">
        <f aca="false">MAX(1,ROUNDUP(H56*O56/N56,0))</f>
        <v>4</v>
      </c>
      <c r="Q56" s="43" t="n">
        <f aca="false">IF(P56*N56=0,0,F56/(P56*N56))</f>
        <v>9.27387375</v>
      </c>
      <c r="R56" s="11" t="s">
        <v>121</v>
      </c>
      <c r="S56" s="48" t="n">
        <f aca="false">L56+P56*N56</f>
        <v>887.365368878544</v>
      </c>
      <c r="T56" s="11" t="n">
        <f aca="false">Datos!M102</f>
        <v>800</v>
      </c>
      <c r="U56" s="43" t="n">
        <f aca="false">IF(T56=0,0,S56/T56)</f>
        <v>1.10920671109818</v>
      </c>
      <c r="V56" s="11" t="str">
        <f aca="false">IFERROR(VLOOKUP(R56,Almacenes!$A$19:$I$32,9,FALSE()),"")</f>
        <v>Tambores de 200 L en el piso sobre pallet antiderrame; bidones en bandeja; cajas en los niveles.</v>
      </c>
      <c r="W56" s="11" t="s">
        <v>109</v>
      </c>
    </row>
    <row r="57" customFormat="false" ht="15" hidden="false" customHeight="true" outlineLevel="0" collapsed="false">
      <c r="A57" s="11" t="str">
        <f aca="false">Datos!A103</f>
        <v>P52</v>
      </c>
      <c r="B57" s="41" t="str">
        <f aca="false">Datos!C103</f>
        <v>MP-42</v>
      </c>
      <c r="C57" s="11" t="str">
        <f aca="false">Datos!B103</f>
        <v>Válvula HZ M-22 con tubo de pesca (1 kg)</v>
      </c>
      <c r="D57" s="11" t="str">
        <f aca="false">Datos!F103</f>
        <v>u</v>
      </c>
      <c r="E57" s="11" t="str">
        <f aca="false">Datos!D103</f>
        <v>Polvex (HZ)</v>
      </c>
      <c r="F57" s="47" t="n">
        <f aca="false">Datos!E103</f>
        <v>32072.639</v>
      </c>
      <c r="G57" s="51" t="n">
        <f aca="false">F57/DIAS_ANIO</f>
        <v>133.635995833333</v>
      </c>
      <c r="H57" s="51" t="n">
        <f aca="false">G57*FAC_MAN</f>
        <v>144.3268755</v>
      </c>
      <c r="I57" s="11" t="n">
        <f aca="false">Datos!G103</f>
        <v>4</v>
      </c>
      <c r="J57" s="11" t="n">
        <f aca="false">Datos!H103</f>
        <v>7</v>
      </c>
      <c r="K57" s="47" t="n">
        <f aca="false">G57*(I57+J57)/2</f>
        <v>734.997977083333</v>
      </c>
      <c r="L57" s="47" t="n">
        <f aca="false">H57*J57-K57</f>
        <v>275.290151416667</v>
      </c>
      <c r="M57" s="11" t="str">
        <f aca="false">Datos!I103</f>
        <v>Pallet de 3.000 u</v>
      </c>
      <c r="N57" s="52" t="n">
        <f aca="false">Datos!J103</f>
        <v>3000</v>
      </c>
      <c r="O57" s="52" t="n">
        <f aca="false">Datos!K103</f>
        <v>20</v>
      </c>
      <c r="P57" s="11" t="n">
        <f aca="false">MAX(1,ROUNDUP(H57*O57/N57,0))</f>
        <v>1</v>
      </c>
      <c r="Q57" s="43" t="n">
        <f aca="false">IF(P57*N57=0,0,F57/(P57*N57))</f>
        <v>10.6908796666667</v>
      </c>
      <c r="R57" s="11" t="s">
        <v>120</v>
      </c>
      <c r="S57" s="48" t="n">
        <f aca="false">L57+P57*N57</f>
        <v>3275.29015141667</v>
      </c>
      <c r="T57" s="11" t="n">
        <f aca="false">Datos!M103</f>
        <v>3000</v>
      </c>
      <c r="U57" s="43" t="n">
        <f aca="false">IF(T57=0,0,S57/T57)</f>
        <v>1.09176338380556</v>
      </c>
      <c r="V57" s="11" t="str">
        <f aca="false">IFERROR(VLOOKUP(R57,Almacenes!$A$19:$I$32,9,FALSE()),"")</f>
        <v>Abajo el pallet o la caja en uso (de ahí sale el carro de abastecimiento), arriba la reposición del pedido mensual.</v>
      </c>
      <c r="W57" s="11" t="s">
        <v>107</v>
      </c>
    </row>
    <row r="58" customFormat="false" ht="15" hidden="false" customHeight="true" outlineLevel="0" collapsed="false">
      <c r="A58" s="11" t="str">
        <f aca="false">Datos!A104</f>
        <v>P53</v>
      </c>
      <c r="B58" s="41" t="str">
        <f aca="false">Datos!C104</f>
        <v>MP-43</v>
      </c>
      <c r="C58" s="11" t="str">
        <f aca="false">Datos!B104</f>
        <v>Válvula HZ M-30 con resorte, sin tubo pescante (2,5 a 10 kg)</v>
      </c>
      <c r="D58" s="11" t="str">
        <f aca="false">Datos!F104</f>
        <v>u</v>
      </c>
      <c r="E58" s="11" t="str">
        <f aca="false">Datos!D104</f>
        <v>Polvex (HZ)</v>
      </c>
      <c r="F58" s="47" t="n">
        <f aca="false">Datos!E104</f>
        <v>40096.365</v>
      </c>
      <c r="G58" s="51" t="n">
        <f aca="false">F58/DIAS_ANIO</f>
        <v>167.0681875</v>
      </c>
      <c r="H58" s="51" t="n">
        <f aca="false">G58*FAC_MAN</f>
        <v>180.4336425</v>
      </c>
      <c r="I58" s="11" t="n">
        <f aca="false">Datos!G104</f>
        <v>4</v>
      </c>
      <c r="J58" s="11" t="n">
        <f aca="false">Datos!H104</f>
        <v>7</v>
      </c>
      <c r="K58" s="47" t="n">
        <f aca="false">G58*(I58+J58)/2</f>
        <v>918.87503125</v>
      </c>
      <c r="L58" s="47" t="n">
        <f aca="false">H58*J58-K58</f>
        <v>344.16046625</v>
      </c>
      <c r="M58" s="11" t="str">
        <f aca="false">Datos!I104</f>
        <v>Pallet de 1.500 u</v>
      </c>
      <c r="N58" s="52" t="n">
        <f aca="false">Datos!J104</f>
        <v>1500</v>
      </c>
      <c r="O58" s="52" t="n">
        <f aca="false">Datos!K104</f>
        <v>20</v>
      </c>
      <c r="P58" s="11" t="n">
        <f aca="false">MAX(1,ROUNDUP(H58*O58/N58,0))</f>
        <v>3</v>
      </c>
      <c r="Q58" s="43" t="n">
        <f aca="false">IF(P58*N58=0,0,F58/(P58*N58))</f>
        <v>8.91030333333333</v>
      </c>
      <c r="R58" s="11" t="s">
        <v>120</v>
      </c>
      <c r="S58" s="48" t="n">
        <f aca="false">L58+P58*N58</f>
        <v>4844.16046625</v>
      </c>
      <c r="T58" s="11" t="n">
        <f aca="false">Datos!M104</f>
        <v>1500</v>
      </c>
      <c r="U58" s="43" t="n">
        <f aca="false">IF(T58=0,0,S58/T58)</f>
        <v>3.22944031083333</v>
      </c>
      <c r="V58" s="11" t="str">
        <f aca="false">IFERROR(VLOOKUP(R58,Almacenes!$A$19:$I$32,9,FALSE()),"")</f>
        <v>Abajo el pallet o la caja en uso (de ahí sale el carro de abastecimiento), arriba la reposición del pedido mensual.</v>
      </c>
      <c r="W58" s="11" t="s">
        <v>107</v>
      </c>
    </row>
    <row r="59" customFormat="false" ht="15" hidden="false" customHeight="true" outlineLevel="0" collapsed="false">
      <c r="A59" s="11" t="str">
        <f aca="false">Datos!A105</f>
        <v>P54</v>
      </c>
      <c r="B59" s="41" t="str">
        <f aca="false">Datos!C105</f>
        <v>MP-44/25</v>
      </c>
      <c r="C59" s="11" t="str">
        <f aca="false">Datos!B105</f>
        <v>Válvula HZ de carro 25 kg, sin tubo pescante</v>
      </c>
      <c r="D59" s="11" t="str">
        <f aca="false">Datos!F105</f>
        <v>u</v>
      </c>
      <c r="E59" s="11" t="str">
        <f aca="false">Datos!D105</f>
        <v>Polvex (HZ)</v>
      </c>
      <c r="F59" s="47" t="n">
        <f aca="false">Datos!E105</f>
        <v>453.671</v>
      </c>
      <c r="G59" s="51" t="n">
        <f aca="false">F59/DIAS_ANIO</f>
        <v>1.89029583333333</v>
      </c>
      <c r="H59" s="51" t="n">
        <f aca="false">G59*FAC_CAR</f>
        <v>2.04151949998686</v>
      </c>
      <c r="I59" s="11" t="n">
        <f aca="false">Datos!G105</f>
        <v>4</v>
      </c>
      <c r="J59" s="11" t="n">
        <f aca="false">Datos!H105</f>
        <v>7</v>
      </c>
      <c r="K59" s="47" t="n">
        <f aca="false">G59*(I59+J59)/2</f>
        <v>10.3966270833333</v>
      </c>
      <c r="L59" s="47" t="n">
        <f aca="false">H59*J59-K59</f>
        <v>3.89400941657468</v>
      </c>
      <c r="M59" s="11" t="str">
        <f aca="false">Datos!I105</f>
        <v>Caja de 10 u</v>
      </c>
      <c r="N59" s="52" t="n">
        <f aca="false">Datos!J105</f>
        <v>10</v>
      </c>
      <c r="O59" s="52" t="n">
        <f aca="false">Datos!K105</f>
        <v>20</v>
      </c>
      <c r="P59" s="11" t="n">
        <f aca="false">MAX(1,ROUNDUP(H59*O59/N59,0))</f>
        <v>5</v>
      </c>
      <c r="Q59" s="43" t="n">
        <f aca="false">IF(P59*N59=0,0,F59/(P59*N59))</f>
        <v>9.07342</v>
      </c>
      <c r="R59" s="11" t="s">
        <v>125</v>
      </c>
      <c r="S59" s="48" t="n">
        <f aca="false">L59+P59*N59</f>
        <v>53.8940094165747</v>
      </c>
      <c r="T59" s="11" t="n">
        <f aca="false">Datos!M105</f>
        <v>200</v>
      </c>
      <c r="U59" s="43" t="n">
        <f aca="false">IF(T59=0,0,S59/T59)</f>
        <v>0.269470047082873</v>
      </c>
      <c r="V59" s="11" t="str">
        <f aca="false">IFERROR(VLOOKUP(R59,Almacenes!$A$19:$I$32,9,FALSE()),"")</f>
        <v>Ruedas en pallet abajo; cajas arriba.</v>
      </c>
      <c r="W59" s="11" t="s">
        <v>108</v>
      </c>
    </row>
    <row r="60" customFormat="false" ht="15" hidden="false" customHeight="true" outlineLevel="0" collapsed="false">
      <c r="A60" s="11" t="str">
        <f aca="false">Datos!A106</f>
        <v>P55</v>
      </c>
      <c r="B60" s="41" t="str">
        <f aca="false">Datos!C106</f>
        <v>MP-44/50</v>
      </c>
      <c r="C60" s="11" t="str">
        <f aca="false">Datos!B106</f>
        <v>Válvula HZ de carro 50-70-100 kg, sin tubo pescante</v>
      </c>
      <c r="D60" s="11" t="str">
        <f aca="false">Datos!F106</f>
        <v>u</v>
      </c>
      <c r="E60" s="11" t="str">
        <f aca="false">Datos!D106</f>
        <v>Polvex (HZ)</v>
      </c>
      <c r="F60" s="47" t="n">
        <f aca="false">Datos!E106</f>
        <v>1361.012</v>
      </c>
      <c r="G60" s="51" t="n">
        <f aca="false">F60/DIAS_ANIO</f>
        <v>5.67088333333333</v>
      </c>
      <c r="H60" s="51" t="n">
        <f aca="false">G60*FAC_CAR</f>
        <v>6.12455399996058</v>
      </c>
      <c r="I60" s="11" t="n">
        <f aca="false">Datos!G106</f>
        <v>4</v>
      </c>
      <c r="J60" s="11" t="n">
        <f aca="false">Datos!H106</f>
        <v>7</v>
      </c>
      <c r="K60" s="47" t="n">
        <f aca="false">G60*(I60+J60)/2</f>
        <v>31.1898583333333</v>
      </c>
      <c r="L60" s="47" t="n">
        <f aca="false">H60*J60-K60</f>
        <v>11.6820196663907</v>
      </c>
      <c r="M60" s="11" t="str">
        <f aca="false">Datos!I106</f>
        <v>Caja de 10 u</v>
      </c>
      <c r="N60" s="52" t="n">
        <f aca="false">Datos!J106</f>
        <v>10</v>
      </c>
      <c r="O60" s="52" t="n">
        <f aca="false">Datos!K106</f>
        <v>20</v>
      </c>
      <c r="P60" s="11" t="n">
        <f aca="false">MAX(1,ROUNDUP(H60*O60/N60,0))</f>
        <v>13</v>
      </c>
      <c r="Q60" s="43" t="n">
        <f aca="false">IF(P60*N60=0,0,F60/(P60*N60))</f>
        <v>10.4693230769231</v>
      </c>
      <c r="R60" s="11" t="s">
        <v>125</v>
      </c>
      <c r="S60" s="48" t="n">
        <f aca="false">L60+P60*N60</f>
        <v>141.682019666391</v>
      </c>
      <c r="T60" s="11" t="n">
        <f aca="false">Datos!M106</f>
        <v>200</v>
      </c>
      <c r="U60" s="43" t="n">
        <f aca="false">IF(T60=0,0,S60/T60)</f>
        <v>0.708410098331954</v>
      </c>
      <c r="V60" s="11" t="str">
        <f aca="false">IFERROR(VLOOKUP(R60,Almacenes!$A$19:$I$32,9,FALSE()),"")</f>
        <v>Ruedas en pallet abajo; cajas arriba.</v>
      </c>
      <c r="W60" s="11" t="s">
        <v>108</v>
      </c>
    </row>
    <row r="61" customFormat="false" ht="15" hidden="false" customHeight="true" outlineLevel="0" collapsed="false">
      <c r="A61" s="11" t="str">
        <f aca="false">Datos!A107</f>
        <v>P56</v>
      </c>
      <c r="B61" s="41" t="str">
        <f aca="false">Datos!C107</f>
        <v>MP-45</v>
      </c>
      <c r="C61" s="11" t="str">
        <f aca="false">Datos!B107</f>
        <v>Manómetro 1,4 MPa</v>
      </c>
      <c r="D61" s="11" t="str">
        <f aca="false">Datos!F107</f>
        <v>u</v>
      </c>
      <c r="E61" s="11" t="str">
        <f aca="false">Datos!D107</f>
        <v>Yukon</v>
      </c>
      <c r="F61" s="47" t="n">
        <f aca="false">Datos!E107</f>
        <v>73983.687</v>
      </c>
      <c r="G61" s="51" t="n">
        <f aca="false">F61/DIAS_ANIO</f>
        <v>308.2653625</v>
      </c>
      <c r="H61" s="51" t="n">
        <f aca="false">G61*FAC_MAN</f>
        <v>332.9265915</v>
      </c>
      <c r="I61" s="11" t="n">
        <f aca="false">Datos!G107</f>
        <v>4</v>
      </c>
      <c r="J61" s="11" t="n">
        <f aca="false">Datos!H107</f>
        <v>7</v>
      </c>
      <c r="K61" s="47" t="n">
        <f aca="false">G61*(I61+J61)/2</f>
        <v>1695.45949375</v>
      </c>
      <c r="L61" s="47" t="n">
        <f aca="false">H61*J61-K61</f>
        <v>635.026646750001</v>
      </c>
      <c r="M61" s="11" t="str">
        <f aca="false">Datos!I107</f>
        <v>Caja de 100 u</v>
      </c>
      <c r="N61" s="52" t="n">
        <f aca="false">Datos!J107</f>
        <v>100</v>
      </c>
      <c r="O61" s="52" t="n">
        <f aca="false">Datos!K107</f>
        <v>20</v>
      </c>
      <c r="P61" s="11" t="n">
        <f aca="false">MAX(1,ROUNDUP(H61*O61/N61,0))</f>
        <v>67</v>
      </c>
      <c r="Q61" s="43" t="n">
        <f aca="false">IF(P61*N61=0,0,F61/(P61*N61))</f>
        <v>11.0423413432836</v>
      </c>
      <c r="R61" s="11" t="s">
        <v>120</v>
      </c>
      <c r="S61" s="48" t="n">
        <f aca="false">L61+P61*N61</f>
        <v>7335.02664675</v>
      </c>
      <c r="T61" s="11" t="n">
        <f aca="false">Datos!M107</f>
        <v>3000</v>
      </c>
      <c r="U61" s="43" t="n">
        <f aca="false">IF(T61=0,0,S61/T61)</f>
        <v>2.44500888225</v>
      </c>
      <c r="V61" s="11" t="str">
        <f aca="false">IFERROR(VLOOKUP(R61,Almacenes!$A$19:$I$32,9,FALSE()),"")</f>
        <v>Abajo el pallet o la caja en uso (de ahí sale el carro de abastecimiento), arriba la reposición del pedido mensual.</v>
      </c>
      <c r="W61" s="11" t="s">
        <v>107</v>
      </c>
    </row>
    <row r="62" customFormat="false" ht="15" hidden="false" customHeight="true" outlineLevel="0" collapsed="false">
      <c r="A62" s="11" t="str">
        <f aca="false">Datos!A108</f>
        <v>P57</v>
      </c>
      <c r="B62" s="41" t="str">
        <f aca="false">Datos!C108</f>
        <v>MP-46/ABC2.5</v>
      </c>
      <c r="C62" s="11" t="str">
        <f aca="false">Datos!B108</f>
        <v>Tubo pescante de PVC rígido, ABC 2,5 kg</v>
      </c>
      <c r="D62" s="11" t="str">
        <f aca="false">Datos!F108</f>
        <v>u</v>
      </c>
      <c r="E62" s="11" t="str">
        <f aca="false">Datos!D108</f>
        <v>Alt. 1 Esinex (Billinghurst) / Alt. 2 Securitá</v>
      </c>
      <c r="F62" s="47" t="n">
        <f aca="false">Datos!E108</f>
        <v>7436.458</v>
      </c>
      <c r="G62" s="51" t="n">
        <f aca="false">F62/DIAS_ANIO</f>
        <v>30.9852416666667</v>
      </c>
      <c r="H62" s="51" t="n">
        <f aca="false">G62*FAC_MAN</f>
        <v>33.464061</v>
      </c>
      <c r="I62" s="11" t="n">
        <f aca="false">Datos!G108</f>
        <v>4</v>
      </c>
      <c r="J62" s="11" t="n">
        <f aca="false">Datos!H108</f>
        <v>7</v>
      </c>
      <c r="K62" s="47" t="n">
        <f aca="false">G62*(I62+J62)/2</f>
        <v>170.418829166667</v>
      </c>
      <c r="L62" s="47" t="n">
        <f aca="false">H62*J62-K62</f>
        <v>63.8295978333333</v>
      </c>
      <c r="M62" s="11" t="str">
        <f aca="false">Datos!I108</f>
        <v>Caja de 200 u</v>
      </c>
      <c r="N62" s="52" t="n">
        <f aca="false">Datos!J108</f>
        <v>200</v>
      </c>
      <c r="O62" s="52" t="n">
        <f aca="false">Datos!K108</f>
        <v>20</v>
      </c>
      <c r="P62" s="11" t="n">
        <f aca="false">MAX(1,ROUNDUP(H62*O62/N62,0))</f>
        <v>4</v>
      </c>
      <c r="Q62" s="43" t="n">
        <f aca="false">IF(P62*N62=0,0,F62/(P62*N62))</f>
        <v>9.2955725</v>
      </c>
      <c r="R62" s="11" t="s">
        <v>120</v>
      </c>
      <c r="S62" s="48" t="n">
        <f aca="false">L62+P62*N62</f>
        <v>863.829597833333</v>
      </c>
      <c r="T62" s="11" t="n">
        <f aca="false">Datos!M108</f>
        <v>6000</v>
      </c>
      <c r="U62" s="43" t="n">
        <f aca="false">IF(T62=0,0,S62/T62)</f>
        <v>0.143971599638889</v>
      </c>
      <c r="V62" s="11" t="str">
        <f aca="false">IFERROR(VLOOKUP(R62,Almacenes!$A$19:$I$32,9,FALSE()),"")</f>
        <v>Abajo el pallet o la caja en uso (de ahí sale el carro de abastecimiento), arriba la reposición del pedido mensual.</v>
      </c>
      <c r="W62" s="11" t="s">
        <v>107</v>
      </c>
    </row>
    <row r="63" customFormat="false" ht="15" hidden="false" customHeight="true" outlineLevel="0" collapsed="false">
      <c r="A63" s="11" t="str">
        <f aca="false">Datos!A109</f>
        <v>P58</v>
      </c>
      <c r="B63" s="41" t="str">
        <f aca="false">Datos!C109</f>
        <v>MP-46/ABC5</v>
      </c>
      <c r="C63" s="11" t="str">
        <f aca="false">Datos!B109</f>
        <v>Tubo pescante de PVC rígido, ABC 5 kg</v>
      </c>
      <c r="D63" s="11" t="str">
        <f aca="false">Datos!F109</f>
        <v>u</v>
      </c>
      <c r="E63" s="11" t="str">
        <f aca="false">Datos!D109</f>
        <v>Alt. 1 Esinex (Billinghurst) / Alt. 2 Securitá</v>
      </c>
      <c r="F63" s="47" t="n">
        <f aca="false">Datos!E109</f>
        <v>30814.979</v>
      </c>
      <c r="G63" s="51" t="n">
        <f aca="false">F63/DIAS_ANIO</f>
        <v>128.395745833333</v>
      </c>
      <c r="H63" s="51" t="n">
        <f aca="false">G63*FAC_MAN</f>
        <v>138.6674055</v>
      </c>
      <c r="I63" s="11" t="n">
        <f aca="false">Datos!G109</f>
        <v>4</v>
      </c>
      <c r="J63" s="11" t="n">
        <f aca="false">Datos!H109</f>
        <v>7</v>
      </c>
      <c r="K63" s="47" t="n">
        <f aca="false">G63*(I63+J63)/2</f>
        <v>706.176602083333</v>
      </c>
      <c r="L63" s="47" t="n">
        <f aca="false">H63*J63-K63</f>
        <v>264.495236416667</v>
      </c>
      <c r="M63" s="11" t="str">
        <f aca="false">Datos!I109</f>
        <v>Caja de 200 u</v>
      </c>
      <c r="N63" s="52" t="n">
        <f aca="false">Datos!J109</f>
        <v>200</v>
      </c>
      <c r="O63" s="52" t="n">
        <f aca="false">Datos!K109</f>
        <v>20</v>
      </c>
      <c r="P63" s="11" t="n">
        <f aca="false">MAX(1,ROUNDUP(H63*O63/N63,0))</f>
        <v>14</v>
      </c>
      <c r="Q63" s="43" t="n">
        <f aca="false">IF(P63*N63=0,0,F63/(P63*N63))</f>
        <v>11.0053496428571</v>
      </c>
      <c r="R63" s="11" t="s">
        <v>120</v>
      </c>
      <c r="S63" s="48" t="n">
        <f aca="false">L63+P63*N63</f>
        <v>3064.49523641667</v>
      </c>
      <c r="T63" s="11" t="n">
        <f aca="false">Datos!M109</f>
        <v>6000</v>
      </c>
      <c r="U63" s="43" t="n">
        <f aca="false">IF(T63=0,0,S63/T63)</f>
        <v>0.510749206069444</v>
      </c>
      <c r="V63" s="11" t="str">
        <f aca="false">IFERROR(VLOOKUP(R63,Almacenes!$A$19:$I$32,9,FALSE()),"")</f>
        <v>Abajo el pallet o la caja en uso (de ahí sale el carro de abastecimiento), arriba la reposición del pedido mensual.</v>
      </c>
      <c r="W63" s="11" t="s">
        <v>107</v>
      </c>
    </row>
    <row r="64" customFormat="false" ht="15" hidden="false" customHeight="true" outlineLevel="0" collapsed="false">
      <c r="A64" s="11" t="str">
        <f aca="false">Datos!A110</f>
        <v>P59</v>
      </c>
      <c r="B64" s="41" t="str">
        <f aca="false">Datos!C110</f>
        <v>MP-46/ABC10</v>
      </c>
      <c r="C64" s="11" t="str">
        <f aca="false">Datos!B110</f>
        <v>Tubo pescante de PVC rígido, ABC 10 kg</v>
      </c>
      <c r="D64" s="11" t="str">
        <f aca="false">Datos!F110</f>
        <v>u</v>
      </c>
      <c r="E64" s="11" t="str">
        <f aca="false">Datos!D110</f>
        <v>Alt. 1 Esinex (Billinghurst) / Alt. 2 Securitá</v>
      </c>
      <c r="F64" s="47" t="n">
        <f aca="false">Datos!E110</f>
        <v>1844.928</v>
      </c>
      <c r="G64" s="51" t="n">
        <f aca="false">F64/DIAS_ANIO</f>
        <v>7.6872</v>
      </c>
      <c r="H64" s="51" t="n">
        <f aca="false">G64*FAC_MAN</f>
        <v>8.302176</v>
      </c>
      <c r="I64" s="11" t="n">
        <f aca="false">Datos!G110</f>
        <v>4</v>
      </c>
      <c r="J64" s="11" t="n">
        <f aca="false">Datos!H110</f>
        <v>7</v>
      </c>
      <c r="K64" s="47" t="n">
        <f aca="false">G64*(I64+J64)/2</f>
        <v>42.2796</v>
      </c>
      <c r="L64" s="47" t="n">
        <f aca="false">H64*J64-K64</f>
        <v>15.835632</v>
      </c>
      <c r="M64" s="11" t="str">
        <f aca="false">Datos!I110</f>
        <v>Caja de 200 u</v>
      </c>
      <c r="N64" s="52" t="n">
        <f aca="false">Datos!J110</f>
        <v>200</v>
      </c>
      <c r="O64" s="52" t="n">
        <f aca="false">Datos!K110</f>
        <v>20</v>
      </c>
      <c r="P64" s="11" t="n">
        <f aca="false">MAX(1,ROUNDUP(H64*O64/N64,0))</f>
        <v>1</v>
      </c>
      <c r="Q64" s="43" t="n">
        <f aca="false">IF(P64*N64=0,0,F64/(P64*N64))</f>
        <v>9.22464</v>
      </c>
      <c r="R64" s="11" t="s">
        <v>120</v>
      </c>
      <c r="S64" s="48" t="n">
        <f aca="false">L64+P64*N64</f>
        <v>215.835632</v>
      </c>
      <c r="T64" s="11" t="n">
        <f aca="false">Datos!M110</f>
        <v>6000</v>
      </c>
      <c r="U64" s="43" t="n">
        <f aca="false">IF(T64=0,0,S64/T64)</f>
        <v>0.0359726053333333</v>
      </c>
      <c r="V64" s="11" t="str">
        <f aca="false">IFERROR(VLOOKUP(R64,Almacenes!$A$19:$I$32,9,FALSE()),"")</f>
        <v>Abajo el pallet o la caja en uso (de ahí sale el carro de abastecimiento), arriba la reposición del pedido mensual.</v>
      </c>
      <c r="W64" s="11" t="s">
        <v>107</v>
      </c>
    </row>
    <row r="65" customFormat="false" ht="15" hidden="false" customHeight="true" outlineLevel="0" collapsed="false">
      <c r="A65" s="11" t="str">
        <f aca="false">Datos!A111</f>
        <v>P60</v>
      </c>
      <c r="B65" s="41" t="str">
        <f aca="false">Datos!C111</f>
        <v>MP-47/ABC25</v>
      </c>
      <c r="C65" s="11" t="str">
        <f aca="false">Datos!B111</f>
        <v>Tubo pescante de acero SAE 1010, carro 25 kg</v>
      </c>
      <c r="D65" s="11" t="str">
        <f aca="false">Datos!F111</f>
        <v>u</v>
      </c>
      <c r="E65" s="11" t="str">
        <f aca="false">Datos!D111</f>
        <v>Alt. 1 Mozart (V. Alsina) / Alt. 2 Georgia (CABA)</v>
      </c>
      <c r="F65" s="47" t="n">
        <f aca="false">Datos!E111</f>
        <v>453.671</v>
      </c>
      <c r="G65" s="51" t="n">
        <f aca="false">F65/DIAS_ANIO</f>
        <v>1.89029583333333</v>
      </c>
      <c r="H65" s="51" t="n">
        <f aca="false">G65*FAC_CAR</f>
        <v>2.04151949998686</v>
      </c>
      <c r="I65" s="11" t="n">
        <f aca="false">Datos!G111</f>
        <v>4</v>
      </c>
      <c r="J65" s="11" t="n">
        <f aca="false">Datos!H111</f>
        <v>7</v>
      </c>
      <c r="K65" s="47" t="n">
        <f aca="false">G65*(I65+J65)/2</f>
        <v>10.3966270833333</v>
      </c>
      <c r="L65" s="47" t="n">
        <f aca="false">H65*J65-K65</f>
        <v>3.89400941657468</v>
      </c>
      <c r="M65" s="11" t="str">
        <f aca="false">Datos!I111</f>
        <v>Caja de 20 u</v>
      </c>
      <c r="N65" s="52" t="n">
        <f aca="false">Datos!J111</f>
        <v>20</v>
      </c>
      <c r="O65" s="52" t="n">
        <f aca="false">Datos!K111</f>
        <v>20</v>
      </c>
      <c r="P65" s="11" t="n">
        <f aca="false">MAX(1,ROUNDUP(H65*O65/N65,0))</f>
        <v>3</v>
      </c>
      <c r="Q65" s="43" t="n">
        <f aca="false">IF(P65*N65=0,0,F65/(P65*N65))</f>
        <v>7.56118333333333</v>
      </c>
      <c r="R65" s="11" t="s">
        <v>125</v>
      </c>
      <c r="S65" s="48" t="n">
        <f aca="false">L65+P65*N65</f>
        <v>63.8940094165747</v>
      </c>
      <c r="T65" s="11" t="n">
        <f aca="false">Datos!M111</f>
        <v>200</v>
      </c>
      <c r="U65" s="43" t="n">
        <f aca="false">IF(T65=0,0,S65/T65)</f>
        <v>0.319470047082873</v>
      </c>
      <c r="V65" s="11" t="str">
        <f aca="false">IFERROR(VLOOKUP(R65,Almacenes!$A$19:$I$32,9,FALSE()),"")</f>
        <v>Ruedas en pallet abajo; cajas arriba.</v>
      </c>
      <c r="W65" s="11" t="s">
        <v>108</v>
      </c>
    </row>
    <row r="66" customFormat="false" ht="15" hidden="false" customHeight="true" outlineLevel="0" collapsed="false">
      <c r="A66" s="11" t="str">
        <f aca="false">Datos!A112</f>
        <v>P61</v>
      </c>
      <c r="B66" s="41" t="str">
        <f aca="false">Datos!C112</f>
        <v>MP-47/ABC50</v>
      </c>
      <c r="C66" s="11" t="str">
        <f aca="false">Datos!B112</f>
        <v>Tubo pescante de acero SAE 1010, carro 50 kg</v>
      </c>
      <c r="D66" s="11" t="str">
        <f aca="false">Datos!F112</f>
        <v>u</v>
      </c>
      <c r="E66" s="11" t="str">
        <f aca="false">Datos!D112</f>
        <v>Alt. 1 Mozart (V. Alsina) / Alt. 2 Georgia (CABA)</v>
      </c>
      <c r="F66" s="47" t="n">
        <f aca="false">Datos!E112</f>
        <v>997.995</v>
      </c>
      <c r="G66" s="51" t="n">
        <f aca="false">F66/DIAS_ANIO</f>
        <v>4.1583125</v>
      </c>
      <c r="H66" s="51" t="n">
        <f aca="false">G66*FAC_CAR</f>
        <v>4.49097749997109</v>
      </c>
      <c r="I66" s="11" t="n">
        <f aca="false">Datos!G112</f>
        <v>4</v>
      </c>
      <c r="J66" s="11" t="n">
        <f aca="false">Datos!H112</f>
        <v>7</v>
      </c>
      <c r="K66" s="47" t="n">
        <f aca="false">G66*(I66+J66)/2</f>
        <v>22.87071875</v>
      </c>
      <c r="L66" s="47" t="n">
        <f aca="false">H66*J66-K66</f>
        <v>8.56612374979765</v>
      </c>
      <c r="M66" s="11" t="str">
        <f aca="false">Datos!I112</f>
        <v>Caja de 20 u</v>
      </c>
      <c r="N66" s="52" t="n">
        <f aca="false">Datos!J112</f>
        <v>20</v>
      </c>
      <c r="O66" s="52" t="n">
        <f aca="false">Datos!K112</f>
        <v>20</v>
      </c>
      <c r="P66" s="11" t="n">
        <f aca="false">MAX(1,ROUNDUP(H66*O66/N66,0))</f>
        <v>5</v>
      </c>
      <c r="Q66" s="43" t="n">
        <f aca="false">IF(P66*N66=0,0,F66/(P66*N66))</f>
        <v>9.97995</v>
      </c>
      <c r="R66" s="11" t="s">
        <v>125</v>
      </c>
      <c r="S66" s="48" t="n">
        <f aca="false">L66+P66*N66</f>
        <v>108.566123749798</v>
      </c>
      <c r="T66" s="11" t="n">
        <f aca="false">Datos!M112</f>
        <v>200</v>
      </c>
      <c r="U66" s="43" t="n">
        <f aca="false">IF(T66=0,0,S66/T66)</f>
        <v>0.542830618748988</v>
      </c>
      <c r="V66" s="11" t="str">
        <f aca="false">IFERROR(VLOOKUP(R66,Almacenes!$A$19:$I$32,9,FALSE()),"")</f>
        <v>Ruedas en pallet abajo; cajas arriba.</v>
      </c>
      <c r="W66" s="11" t="s">
        <v>108</v>
      </c>
    </row>
    <row r="67" customFormat="false" ht="15" hidden="false" customHeight="true" outlineLevel="0" collapsed="false">
      <c r="A67" s="11" t="str">
        <f aca="false">Datos!A113</f>
        <v>P62</v>
      </c>
      <c r="B67" s="41" t="str">
        <f aca="false">Datos!C113</f>
        <v>MP-47/ABC70</v>
      </c>
      <c r="C67" s="11" t="str">
        <f aca="false">Datos!B113</f>
        <v>Tubo pescante de acero SAE 1010, carro 70 kg</v>
      </c>
      <c r="D67" s="11" t="str">
        <f aca="false">Datos!F113</f>
        <v>u</v>
      </c>
      <c r="E67" s="11" t="str">
        <f aca="false">Datos!D113</f>
        <v>Alt. 1 Mozart (V. Alsina) / Alt. 2 Georgia (CABA)</v>
      </c>
      <c r="F67" s="47" t="n">
        <f aca="false">Datos!E113</f>
        <v>217.81</v>
      </c>
      <c r="G67" s="51" t="n">
        <f aca="false">F67/DIAS_ANIO</f>
        <v>0.907541666666667</v>
      </c>
      <c r="H67" s="51" t="n">
        <f aca="false">G67*FAC_CAR</f>
        <v>0.980144999993691</v>
      </c>
      <c r="I67" s="11" t="n">
        <f aca="false">Datos!G113</f>
        <v>4</v>
      </c>
      <c r="J67" s="11" t="n">
        <f aca="false">Datos!H113</f>
        <v>7</v>
      </c>
      <c r="K67" s="47" t="n">
        <f aca="false">G67*(I67+J67)/2</f>
        <v>4.99147916666667</v>
      </c>
      <c r="L67" s="47" t="n">
        <f aca="false">H67*J67-K67</f>
        <v>1.86953583328917</v>
      </c>
      <c r="M67" s="11" t="str">
        <f aca="false">Datos!I113</f>
        <v>Caja de 20 u</v>
      </c>
      <c r="N67" s="52" t="n">
        <f aca="false">Datos!J113</f>
        <v>20</v>
      </c>
      <c r="O67" s="52" t="n">
        <f aca="false">Datos!K113</f>
        <v>20</v>
      </c>
      <c r="P67" s="11" t="n">
        <f aca="false">MAX(1,ROUNDUP(H67*O67/N67,0))</f>
        <v>1</v>
      </c>
      <c r="Q67" s="43" t="n">
        <f aca="false">IF(P67*N67=0,0,F67/(P67*N67))</f>
        <v>10.8905</v>
      </c>
      <c r="R67" s="11" t="s">
        <v>125</v>
      </c>
      <c r="S67" s="48" t="n">
        <f aca="false">L67+P67*N67</f>
        <v>21.8695358332892</v>
      </c>
      <c r="T67" s="11" t="n">
        <f aca="false">Datos!M113</f>
        <v>200</v>
      </c>
      <c r="U67" s="43" t="n">
        <f aca="false">IF(T67=0,0,S67/T67)</f>
        <v>0.109347679166446</v>
      </c>
      <c r="V67" s="11" t="str">
        <f aca="false">IFERROR(VLOOKUP(R67,Almacenes!$A$19:$I$32,9,FALSE()),"")</f>
        <v>Ruedas en pallet abajo; cajas arriba.</v>
      </c>
      <c r="W67" s="11" t="s">
        <v>108</v>
      </c>
    </row>
    <row r="68" customFormat="false" ht="15" hidden="false" customHeight="true" outlineLevel="0" collapsed="false">
      <c r="A68" s="11" t="str">
        <f aca="false">Datos!A114</f>
        <v>P63</v>
      </c>
      <c r="B68" s="41" t="str">
        <f aca="false">Datos!C114</f>
        <v>MP-47/ABC100</v>
      </c>
      <c r="C68" s="11" t="str">
        <f aca="false">Datos!B114</f>
        <v>Tubo pescante de acero SAE 1010, carro 100 kg</v>
      </c>
      <c r="D68" s="11" t="str">
        <f aca="false">Datos!F114</f>
        <v>u</v>
      </c>
      <c r="E68" s="11" t="str">
        <f aca="false">Datos!D114</f>
        <v>Alt. 1 Mozart (V. Alsina) / Alt. 2 Georgia (CABA)</v>
      </c>
      <c r="F68" s="47" t="n">
        <f aca="false">Datos!E114</f>
        <v>145.207</v>
      </c>
      <c r="G68" s="51" t="n">
        <f aca="false">F68/DIAS_ANIO</f>
        <v>0.605029166666667</v>
      </c>
      <c r="H68" s="51" t="n">
        <f aca="false">G68*FAC_CAR</f>
        <v>0.653431499995794</v>
      </c>
      <c r="I68" s="11" t="n">
        <f aca="false">Datos!G114</f>
        <v>4</v>
      </c>
      <c r="J68" s="11" t="n">
        <f aca="false">Datos!H114</f>
        <v>7</v>
      </c>
      <c r="K68" s="47" t="n">
        <f aca="false">G68*(I68+J68)/2</f>
        <v>3.32766041666667</v>
      </c>
      <c r="L68" s="47" t="n">
        <f aca="false">H68*J68-K68</f>
        <v>1.24636008330389</v>
      </c>
      <c r="M68" s="11" t="str">
        <f aca="false">Datos!I114</f>
        <v>Caja de 20 u</v>
      </c>
      <c r="N68" s="52" t="n">
        <f aca="false">Datos!J114</f>
        <v>20</v>
      </c>
      <c r="O68" s="52" t="n">
        <f aca="false">Datos!K114</f>
        <v>20</v>
      </c>
      <c r="P68" s="11" t="n">
        <f aca="false">MAX(1,ROUNDUP(H68*O68/N68,0))</f>
        <v>1</v>
      </c>
      <c r="Q68" s="43" t="n">
        <f aca="false">IF(P68*N68=0,0,F68/(P68*N68))</f>
        <v>7.26035</v>
      </c>
      <c r="R68" s="11" t="s">
        <v>125</v>
      </c>
      <c r="S68" s="48" t="n">
        <f aca="false">L68+P68*N68</f>
        <v>21.2463600833039</v>
      </c>
      <c r="T68" s="11" t="n">
        <f aca="false">Datos!M114</f>
        <v>200</v>
      </c>
      <c r="U68" s="43" t="n">
        <f aca="false">IF(T68=0,0,S68/T68)</f>
        <v>0.106231800416519</v>
      </c>
      <c r="V68" s="11" t="str">
        <f aca="false">IFERROR(VLOOKUP(R68,Almacenes!$A$19:$I$32,9,FALSE()),"")</f>
        <v>Ruedas en pallet abajo; cajas arriba.</v>
      </c>
      <c r="W68" s="11" t="s">
        <v>108</v>
      </c>
    </row>
    <row r="69" customFormat="false" ht="15" hidden="false" customHeight="true" outlineLevel="0" collapsed="false">
      <c r="A69" s="11" t="str">
        <f aca="false">Datos!A115</f>
        <v>P64</v>
      </c>
      <c r="B69" s="41" t="str">
        <f aca="false">Datos!C115</f>
        <v>MP-48/ABC1</v>
      </c>
      <c r="C69" s="11" t="str">
        <f aca="false">Datos!B115</f>
        <v>Tobera ABC 1 kg</v>
      </c>
      <c r="D69" s="11" t="str">
        <f aca="false">Datos!F115</f>
        <v>u</v>
      </c>
      <c r="E69" s="11" t="str">
        <f aca="false">Datos!D115</f>
        <v>Yukon</v>
      </c>
      <c r="F69" s="47" t="n">
        <f aca="false">Datos!E115</f>
        <v>32072.639</v>
      </c>
      <c r="G69" s="51" t="n">
        <f aca="false">F69/DIAS_ANIO</f>
        <v>133.635995833333</v>
      </c>
      <c r="H69" s="51" t="n">
        <f aca="false">G69*FAC_MAN</f>
        <v>144.3268755</v>
      </c>
      <c r="I69" s="11" t="n">
        <f aca="false">Datos!G115</f>
        <v>4</v>
      </c>
      <c r="J69" s="11" t="n">
        <f aca="false">Datos!H115</f>
        <v>7</v>
      </c>
      <c r="K69" s="47" t="n">
        <f aca="false">G69*(I69+J69)/2</f>
        <v>734.997977083333</v>
      </c>
      <c r="L69" s="47" t="n">
        <f aca="false">H69*J69-K69</f>
        <v>275.290151416667</v>
      </c>
      <c r="M69" s="11" t="str">
        <f aca="false">Datos!I115</f>
        <v>Caja de 50 u</v>
      </c>
      <c r="N69" s="52" t="n">
        <f aca="false">Datos!J115</f>
        <v>50</v>
      </c>
      <c r="O69" s="52" t="n">
        <f aca="false">Datos!K115</f>
        <v>20</v>
      </c>
      <c r="P69" s="11" t="n">
        <f aca="false">MAX(1,ROUNDUP(H69*O69/N69,0))</f>
        <v>58</v>
      </c>
      <c r="Q69" s="43" t="n">
        <f aca="false">IF(P69*N69=0,0,F69/(P69*N69))</f>
        <v>11.0595306896552</v>
      </c>
      <c r="R69" s="11" t="s">
        <v>120</v>
      </c>
      <c r="S69" s="48" t="n">
        <f aca="false">L69+P69*N69</f>
        <v>3175.29015141667</v>
      </c>
      <c r="T69" s="11" t="n">
        <f aca="false">Datos!M115</f>
        <v>1500</v>
      </c>
      <c r="U69" s="43" t="n">
        <f aca="false">IF(T69=0,0,S69/T69)</f>
        <v>2.11686010094444</v>
      </c>
      <c r="V69" s="11" t="str">
        <f aca="false">IFERROR(VLOOKUP(R69,Almacenes!$A$19:$I$32,9,FALSE()),"")</f>
        <v>Abajo el pallet o la caja en uso (de ahí sale el carro de abastecimiento), arriba la reposición del pedido mensual.</v>
      </c>
      <c r="W69" s="11" t="s">
        <v>107</v>
      </c>
    </row>
    <row r="70" customFormat="false" ht="15" hidden="false" customHeight="true" outlineLevel="0" collapsed="false">
      <c r="A70" s="11" t="str">
        <f aca="false">Datos!A116</f>
        <v>P65</v>
      </c>
      <c r="B70" s="41" t="str">
        <f aca="false">Datos!C116</f>
        <v>MP-48/ABC2.5</v>
      </c>
      <c r="C70" s="11" t="str">
        <f aca="false">Datos!B116</f>
        <v>Manguera con tobera ABC 2,5 kg</v>
      </c>
      <c r="D70" s="11" t="str">
        <f aca="false">Datos!F116</f>
        <v>u</v>
      </c>
      <c r="E70" s="11" t="str">
        <f aca="false">Datos!D116</f>
        <v>Yukon</v>
      </c>
      <c r="F70" s="47" t="n">
        <f aca="false">Datos!E116</f>
        <v>7436.458</v>
      </c>
      <c r="G70" s="51" t="n">
        <f aca="false">F70/DIAS_ANIO</f>
        <v>30.9852416666667</v>
      </c>
      <c r="H70" s="51" t="n">
        <f aca="false">G70*FAC_MAN</f>
        <v>33.464061</v>
      </c>
      <c r="I70" s="11" t="n">
        <f aca="false">Datos!G116</f>
        <v>4</v>
      </c>
      <c r="J70" s="11" t="n">
        <f aca="false">Datos!H116</f>
        <v>7</v>
      </c>
      <c r="K70" s="47" t="n">
        <f aca="false">G70*(I70+J70)/2</f>
        <v>170.418829166667</v>
      </c>
      <c r="L70" s="47" t="n">
        <f aca="false">H70*J70-K70</f>
        <v>63.8295978333333</v>
      </c>
      <c r="M70" s="11" t="str">
        <f aca="false">Datos!I116</f>
        <v>Caja de 50 u</v>
      </c>
      <c r="N70" s="52" t="n">
        <f aca="false">Datos!J116</f>
        <v>50</v>
      </c>
      <c r="O70" s="52" t="n">
        <f aca="false">Datos!K116</f>
        <v>20</v>
      </c>
      <c r="P70" s="11" t="n">
        <f aca="false">MAX(1,ROUNDUP(H70*O70/N70,0))</f>
        <v>14</v>
      </c>
      <c r="Q70" s="43" t="n">
        <f aca="false">IF(P70*N70=0,0,F70/(P70*N70))</f>
        <v>10.6235114285714</v>
      </c>
      <c r="R70" s="11" t="s">
        <v>120</v>
      </c>
      <c r="S70" s="48" t="n">
        <f aca="false">L70+P70*N70</f>
        <v>763.829597833333</v>
      </c>
      <c r="T70" s="11" t="n">
        <f aca="false">Datos!M116</f>
        <v>1500</v>
      </c>
      <c r="U70" s="43" t="n">
        <f aca="false">IF(T70=0,0,S70/T70)</f>
        <v>0.509219731888889</v>
      </c>
      <c r="V70" s="11" t="str">
        <f aca="false">IFERROR(VLOOKUP(R70,Almacenes!$A$19:$I$32,9,FALSE()),"")</f>
        <v>Abajo el pallet o la caja en uso (de ahí sale el carro de abastecimiento), arriba la reposición del pedido mensual.</v>
      </c>
      <c r="W70" s="11" t="s">
        <v>107</v>
      </c>
    </row>
    <row r="71" customFormat="false" ht="15" hidden="false" customHeight="true" outlineLevel="0" collapsed="false">
      <c r="A71" s="11" t="str">
        <f aca="false">Datos!A117</f>
        <v>P66</v>
      </c>
      <c r="B71" s="41" t="str">
        <f aca="false">Datos!C117</f>
        <v>MP-48/ABC5</v>
      </c>
      <c r="C71" s="11" t="str">
        <f aca="false">Datos!B117</f>
        <v>Manguera con tobera ABC 5 kg</v>
      </c>
      <c r="D71" s="11" t="str">
        <f aca="false">Datos!F117</f>
        <v>u</v>
      </c>
      <c r="E71" s="11" t="str">
        <f aca="false">Datos!D117</f>
        <v>Yukon</v>
      </c>
      <c r="F71" s="47" t="n">
        <f aca="false">Datos!E117</f>
        <v>30814.979</v>
      </c>
      <c r="G71" s="51" t="n">
        <f aca="false">F71/DIAS_ANIO</f>
        <v>128.395745833333</v>
      </c>
      <c r="H71" s="51" t="n">
        <f aca="false">G71*FAC_MAN</f>
        <v>138.6674055</v>
      </c>
      <c r="I71" s="11" t="n">
        <f aca="false">Datos!G117</f>
        <v>4</v>
      </c>
      <c r="J71" s="11" t="n">
        <f aca="false">Datos!H117</f>
        <v>7</v>
      </c>
      <c r="K71" s="47" t="n">
        <f aca="false">G71*(I71+J71)/2</f>
        <v>706.176602083333</v>
      </c>
      <c r="L71" s="47" t="n">
        <f aca="false">H71*J71-K71</f>
        <v>264.495236416667</v>
      </c>
      <c r="M71" s="11" t="str">
        <f aca="false">Datos!I117</f>
        <v>Caja de 50 u</v>
      </c>
      <c r="N71" s="52" t="n">
        <f aca="false">Datos!J117</f>
        <v>50</v>
      </c>
      <c r="O71" s="52" t="n">
        <f aca="false">Datos!K117</f>
        <v>20</v>
      </c>
      <c r="P71" s="11" t="n">
        <f aca="false">MAX(1,ROUNDUP(H71*O71/N71,0))</f>
        <v>56</v>
      </c>
      <c r="Q71" s="43" t="n">
        <f aca="false">IF(P71*N71=0,0,F71/(P71*N71))</f>
        <v>11.0053496428571</v>
      </c>
      <c r="R71" s="11" t="s">
        <v>120</v>
      </c>
      <c r="S71" s="48" t="n">
        <f aca="false">L71+P71*N71</f>
        <v>3064.49523641667</v>
      </c>
      <c r="T71" s="11" t="n">
        <f aca="false">Datos!M117</f>
        <v>1500</v>
      </c>
      <c r="U71" s="43" t="n">
        <f aca="false">IF(T71=0,0,S71/T71)</f>
        <v>2.04299682427778</v>
      </c>
      <c r="V71" s="11" t="str">
        <f aca="false">IFERROR(VLOOKUP(R71,Almacenes!$A$19:$I$32,9,FALSE()),"")</f>
        <v>Abajo el pallet o la caja en uso (de ahí sale el carro de abastecimiento), arriba la reposición del pedido mensual.</v>
      </c>
      <c r="W71" s="11" t="s">
        <v>107</v>
      </c>
    </row>
    <row r="72" customFormat="false" ht="15" hidden="false" customHeight="true" outlineLevel="0" collapsed="false">
      <c r="A72" s="11" t="str">
        <f aca="false">Datos!A118</f>
        <v>P67</v>
      </c>
      <c r="B72" s="41" t="str">
        <f aca="false">Datos!C118</f>
        <v>MP-48/ABC10</v>
      </c>
      <c r="C72" s="11" t="str">
        <f aca="false">Datos!B118</f>
        <v>Manguera con tobera ABC 10 kg</v>
      </c>
      <c r="D72" s="11" t="str">
        <f aca="false">Datos!F118</f>
        <v>u</v>
      </c>
      <c r="E72" s="11" t="str">
        <f aca="false">Datos!D118</f>
        <v>Yukon</v>
      </c>
      <c r="F72" s="47" t="n">
        <f aca="false">Datos!E118</f>
        <v>1844.928</v>
      </c>
      <c r="G72" s="51" t="n">
        <f aca="false">F72/DIAS_ANIO</f>
        <v>7.6872</v>
      </c>
      <c r="H72" s="51" t="n">
        <f aca="false">G72*FAC_MAN</f>
        <v>8.302176</v>
      </c>
      <c r="I72" s="11" t="n">
        <f aca="false">Datos!G118</f>
        <v>4</v>
      </c>
      <c r="J72" s="11" t="n">
        <f aca="false">Datos!H118</f>
        <v>7</v>
      </c>
      <c r="K72" s="47" t="n">
        <f aca="false">G72*(I72+J72)/2</f>
        <v>42.2796</v>
      </c>
      <c r="L72" s="47" t="n">
        <f aca="false">H72*J72-K72</f>
        <v>15.835632</v>
      </c>
      <c r="M72" s="11" t="str">
        <f aca="false">Datos!I118</f>
        <v>Caja de 50 u</v>
      </c>
      <c r="N72" s="52" t="n">
        <f aca="false">Datos!J118</f>
        <v>50</v>
      </c>
      <c r="O72" s="52" t="n">
        <f aca="false">Datos!K118</f>
        <v>20</v>
      </c>
      <c r="P72" s="11" t="n">
        <f aca="false">MAX(1,ROUNDUP(H72*O72/N72,0))</f>
        <v>4</v>
      </c>
      <c r="Q72" s="43" t="n">
        <f aca="false">IF(P72*N72=0,0,F72/(P72*N72))</f>
        <v>9.22464</v>
      </c>
      <c r="R72" s="11" t="s">
        <v>120</v>
      </c>
      <c r="S72" s="48" t="n">
        <f aca="false">L72+P72*N72</f>
        <v>215.835632</v>
      </c>
      <c r="T72" s="11" t="n">
        <f aca="false">Datos!M118</f>
        <v>1500</v>
      </c>
      <c r="U72" s="43" t="n">
        <f aca="false">IF(T72=0,0,S72/T72)</f>
        <v>0.143890421333333</v>
      </c>
      <c r="V72" s="11" t="str">
        <f aca="false">IFERROR(VLOOKUP(R72,Almacenes!$A$19:$I$32,9,FALSE()),"")</f>
        <v>Abajo el pallet o la caja en uso (de ahí sale el carro de abastecimiento), arriba la reposición del pedido mensual.</v>
      </c>
      <c r="W72" s="11" t="s">
        <v>107</v>
      </c>
    </row>
    <row r="73" customFormat="false" ht="15" hidden="false" customHeight="true" outlineLevel="0" collapsed="false">
      <c r="A73" s="11" t="str">
        <f aca="false">Datos!A119</f>
        <v>P68</v>
      </c>
      <c r="B73" s="41" t="str">
        <f aca="false">Datos!C119</f>
        <v>MP-49/ABC25</v>
      </c>
      <c r="C73" s="11" t="str">
        <f aca="false">Datos!B119</f>
        <v>Manguera con válvula esférica y tobera, carro 25 kg</v>
      </c>
      <c r="D73" s="11" t="str">
        <f aca="false">Datos!F119</f>
        <v>u</v>
      </c>
      <c r="E73" s="11" t="str">
        <f aca="false">Datos!D119</f>
        <v>Yukon</v>
      </c>
      <c r="F73" s="47" t="n">
        <f aca="false">Datos!E119</f>
        <v>453.671</v>
      </c>
      <c r="G73" s="51" t="n">
        <f aca="false">F73/DIAS_ANIO</f>
        <v>1.89029583333333</v>
      </c>
      <c r="H73" s="51" t="n">
        <f aca="false">G73*FAC_CAR</f>
        <v>2.04151949998686</v>
      </c>
      <c r="I73" s="11" t="n">
        <f aca="false">Datos!G119</f>
        <v>4</v>
      </c>
      <c r="J73" s="11" t="n">
        <f aca="false">Datos!H119</f>
        <v>7</v>
      </c>
      <c r="K73" s="47" t="n">
        <f aca="false">G73*(I73+J73)/2</f>
        <v>10.3966270833333</v>
      </c>
      <c r="L73" s="47" t="n">
        <f aca="false">H73*J73-K73</f>
        <v>3.89400941657468</v>
      </c>
      <c r="M73" s="11" t="str">
        <f aca="false">Datos!I119</f>
        <v>Caja de 10 u</v>
      </c>
      <c r="N73" s="52" t="n">
        <f aca="false">Datos!J119</f>
        <v>10</v>
      </c>
      <c r="O73" s="52" t="n">
        <f aca="false">Datos!K119</f>
        <v>20</v>
      </c>
      <c r="P73" s="11" t="n">
        <f aca="false">MAX(1,ROUNDUP(H73*O73/N73,0))</f>
        <v>5</v>
      </c>
      <c r="Q73" s="43" t="n">
        <f aca="false">IF(P73*N73=0,0,F73/(P73*N73))</f>
        <v>9.07342</v>
      </c>
      <c r="R73" s="11" t="s">
        <v>125</v>
      </c>
      <c r="S73" s="48" t="n">
        <f aca="false">L73+P73*N73</f>
        <v>53.8940094165747</v>
      </c>
      <c r="T73" s="11" t="n">
        <f aca="false">Datos!M119</f>
        <v>120</v>
      </c>
      <c r="U73" s="43" t="n">
        <f aca="false">IF(T73=0,0,S73/T73)</f>
        <v>0.449116745138122</v>
      </c>
      <c r="V73" s="11" t="str">
        <f aca="false">IFERROR(VLOOKUP(R73,Almacenes!$A$19:$I$32,9,FALSE()),"")</f>
        <v>Ruedas en pallet abajo; cajas arriba.</v>
      </c>
      <c r="W73" s="11" t="s">
        <v>108</v>
      </c>
    </row>
    <row r="74" customFormat="false" ht="15" hidden="false" customHeight="true" outlineLevel="0" collapsed="false">
      <c r="A74" s="11" t="str">
        <f aca="false">Datos!A120</f>
        <v>P69</v>
      </c>
      <c r="B74" s="41" t="str">
        <f aca="false">Datos!C120</f>
        <v>MP-49/ABC50</v>
      </c>
      <c r="C74" s="11" t="str">
        <f aca="false">Datos!B120</f>
        <v>Manguera con válvula esférica y tobera, carro 50 kg</v>
      </c>
      <c r="D74" s="11" t="str">
        <f aca="false">Datos!F120</f>
        <v>u</v>
      </c>
      <c r="E74" s="11" t="str">
        <f aca="false">Datos!D120</f>
        <v>Yukon</v>
      </c>
      <c r="F74" s="47" t="n">
        <f aca="false">Datos!E120</f>
        <v>997.995</v>
      </c>
      <c r="G74" s="51" t="n">
        <f aca="false">F74/DIAS_ANIO</f>
        <v>4.1583125</v>
      </c>
      <c r="H74" s="51" t="n">
        <f aca="false">G74*FAC_CAR</f>
        <v>4.49097749997109</v>
      </c>
      <c r="I74" s="11" t="n">
        <f aca="false">Datos!G120</f>
        <v>4</v>
      </c>
      <c r="J74" s="11" t="n">
        <f aca="false">Datos!H120</f>
        <v>7</v>
      </c>
      <c r="K74" s="47" t="n">
        <f aca="false">G74*(I74+J74)/2</f>
        <v>22.87071875</v>
      </c>
      <c r="L74" s="47" t="n">
        <f aca="false">H74*J74-K74</f>
        <v>8.56612374979765</v>
      </c>
      <c r="M74" s="11" t="str">
        <f aca="false">Datos!I120</f>
        <v>Caja de 10 u</v>
      </c>
      <c r="N74" s="52" t="n">
        <f aca="false">Datos!J120</f>
        <v>10</v>
      </c>
      <c r="O74" s="52" t="n">
        <f aca="false">Datos!K120</f>
        <v>20</v>
      </c>
      <c r="P74" s="11" t="n">
        <f aca="false">MAX(1,ROUNDUP(H74*O74/N74,0))</f>
        <v>9</v>
      </c>
      <c r="Q74" s="43" t="n">
        <f aca="false">IF(P74*N74=0,0,F74/(P74*N74))</f>
        <v>11.0888333333333</v>
      </c>
      <c r="R74" s="11" t="s">
        <v>125</v>
      </c>
      <c r="S74" s="48" t="n">
        <f aca="false">L74+P74*N74</f>
        <v>98.5661237497977</v>
      </c>
      <c r="T74" s="11" t="n">
        <f aca="false">Datos!M120</f>
        <v>120</v>
      </c>
      <c r="U74" s="43" t="n">
        <f aca="false">IF(T74=0,0,S74/T74)</f>
        <v>0.821384364581647</v>
      </c>
      <c r="V74" s="11" t="str">
        <f aca="false">IFERROR(VLOOKUP(R74,Almacenes!$A$19:$I$32,9,FALSE()),"")</f>
        <v>Ruedas en pallet abajo; cajas arriba.</v>
      </c>
      <c r="W74" s="11" t="s">
        <v>108</v>
      </c>
    </row>
    <row r="75" customFormat="false" ht="15" hidden="false" customHeight="true" outlineLevel="0" collapsed="false">
      <c r="A75" s="11" t="str">
        <f aca="false">Datos!A121</f>
        <v>P70</v>
      </c>
      <c r="B75" s="41" t="str">
        <f aca="false">Datos!C121</f>
        <v>MP-49/ABC70</v>
      </c>
      <c r="C75" s="11" t="str">
        <f aca="false">Datos!B121</f>
        <v>Manguera con válvula esférica y tobera, carro 70 kg</v>
      </c>
      <c r="D75" s="11" t="str">
        <f aca="false">Datos!F121</f>
        <v>u</v>
      </c>
      <c r="E75" s="11" t="str">
        <f aca="false">Datos!D121</f>
        <v>Yukon</v>
      </c>
      <c r="F75" s="47" t="n">
        <f aca="false">Datos!E121</f>
        <v>217.81</v>
      </c>
      <c r="G75" s="51" t="n">
        <f aca="false">F75/DIAS_ANIO</f>
        <v>0.907541666666667</v>
      </c>
      <c r="H75" s="51" t="n">
        <f aca="false">G75*FAC_CAR</f>
        <v>0.980144999993691</v>
      </c>
      <c r="I75" s="11" t="n">
        <f aca="false">Datos!G121</f>
        <v>4</v>
      </c>
      <c r="J75" s="11" t="n">
        <f aca="false">Datos!H121</f>
        <v>7</v>
      </c>
      <c r="K75" s="47" t="n">
        <f aca="false">G75*(I75+J75)/2</f>
        <v>4.99147916666667</v>
      </c>
      <c r="L75" s="47" t="n">
        <f aca="false">H75*J75-K75</f>
        <v>1.86953583328917</v>
      </c>
      <c r="M75" s="11" t="str">
        <f aca="false">Datos!I121</f>
        <v>Caja de 10 u</v>
      </c>
      <c r="N75" s="52" t="n">
        <f aca="false">Datos!J121</f>
        <v>10</v>
      </c>
      <c r="O75" s="52" t="n">
        <f aca="false">Datos!K121</f>
        <v>20</v>
      </c>
      <c r="P75" s="11" t="n">
        <f aca="false">MAX(1,ROUNDUP(H75*O75/N75,0))</f>
        <v>2</v>
      </c>
      <c r="Q75" s="43" t="n">
        <f aca="false">IF(P75*N75=0,0,F75/(P75*N75))</f>
        <v>10.8905</v>
      </c>
      <c r="R75" s="11" t="s">
        <v>125</v>
      </c>
      <c r="S75" s="48" t="n">
        <f aca="false">L75+P75*N75</f>
        <v>21.8695358332892</v>
      </c>
      <c r="T75" s="11" t="n">
        <f aca="false">Datos!M121</f>
        <v>120</v>
      </c>
      <c r="U75" s="43" t="n">
        <f aca="false">IF(T75=0,0,S75/T75)</f>
        <v>0.182246131944076</v>
      </c>
      <c r="V75" s="11" t="str">
        <f aca="false">IFERROR(VLOOKUP(R75,Almacenes!$A$19:$I$32,9,FALSE()),"")</f>
        <v>Ruedas en pallet abajo; cajas arriba.</v>
      </c>
      <c r="W75" s="11" t="s">
        <v>108</v>
      </c>
    </row>
    <row r="76" customFormat="false" ht="15" hidden="false" customHeight="true" outlineLevel="0" collapsed="false">
      <c r="A76" s="11" t="str">
        <f aca="false">Datos!A122</f>
        <v>P71</v>
      </c>
      <c r="B76" s="41" t="str">
        <f aca="false">Datos!C122</f>
        <v>MP-49/ABC100</v>
      </c>
      <c r="C76" s="11" t="str">
        <f aca="false">Datos!B122</f>
        <v>Manguera con válvula esférica y tobera, carro 100 kg</v>
      </c>
      <c r="D76" s="11" t="str">
        <f aca="false">Datos!F122</f>
        <v>u</v>
      </c>
      <c r="E76" s="11" t="str">
        <f aca="false">Datos!D122</f>
        <v>Yukon</v>
      </c>
      <c r="F76" s="47" t="n">
        <f aca="false">Datos!E122</f>
        <v>145.207</v>
      </c>
      <c r="G76" s="51" t="n">
        <f aca="false">F76/DIAS_ANIO</f>
        <v>0.605029166666667</v>
      </c>
      <c r="H76" s="51" t="n">
        <f aca="false">G76*FAC_CAR</f>
        <v>0.653431499995794</v>
      </c>
      <c r="I76" s="11" t="n">
        <f aca="false">Datos!G122</f>
        <v>4</v>
      </c>
      <c r="J76" s="11" t="n">
        <f aca="false">Datos!H122</f>
        <v>7</v>
      </c>
      <c r="K76" s="47" t="n">
        <f aca="false">G76*(I76+J76)/2</f>
        <v>3.32766041666667</v>
      </c>
      <c r="L76" s="47" t="n">
        <f aca="false">H76*J76-K76</f>
        <v>1.24636008330389</v>
      </c>
      <c r="M76" s="11" t="str">
        <f aca="false">Datos!I122</f>
        <v>Caja de 10 u</v>
      </c>
      <c r="N76" s="52" t="n">
        <f aca="false">Datos!J122</f>
        <v>10</v>
      </c>
      <c r="O76" s="52" t="n">
        <f aca="false">Datos!K122</f>
        <v>20</v>
      </c>
      <c r="P76" s="11" t="n">
        <f aca="false">MAX(1,ROUNDUP(H76*O76/N76,0))</f>
        <v>2</v>
      </c>
      <c r="Q76" s="43" t="n">
        <f aca="false">IF(P76*N76=0,0,F76/(P76*N76))</f>
        <v>7.26035</v>
      </c>
      <c r="R76" s="11" t="s">
        <v>125</v>
      </c>
      <c r="S76" s="48" t="n">
        <f aca="false">L76+P76*N76</f>
        <v>21.2463600833039</v>
      </c>
      <c r="T76" s="11" t="n">
        <f aca="false">Datos!M122</f>
        <v>120</v>
      </c>
      <c r="U76" s="43" t="n">
        <f aca="false">IF(T76=0,0,S76/T76)</f>
        <v>0.177053000694199</v>
      </c>
      <c r="V76" s="11" t="str">
        <f aca="false">IFERROR(VLOOKUP(R76,Almacenes!$A$19:$I$32,9,FALSE()),"")</f>
        <v>Ruedas en pallet abajo; cajas arriba.</v>
      </c>
      <c r="W76" s="11" t="s">
        <v>108</v>
      </c>
    </row>
    <row r="77" customFormat="false" ht="15" hidden="false" customHeight="true" outlineLevel="0" collapsed="false">
      <c r="A77" s="11" t="str">
        <f aca="false">Datos!A123</f>
        <v>P72</v>
      </c>
      <c r="B77" s="41" t="str">
        <f aca="false">Datos!C123</f>
        <v>MP-50/M22</v>
      </c>
      <c r="C77" s="11" t="str">
        <f aca="false">Datos!B123</f>
        <v>Junta tórica del cuello M22</v>
      </c>
      <c r="D77" s="11" t="str">
        <f aca="false">Datos!F123</f>
        <v>u</v>
      </c>
      <c r="E77" s="11" t="str">
        <f aca="false">Datos!D123</f>
        <v>Argensold</v>
      </c>
      <c r="F77" s="47" t="n">
        <f aca="false">Datos!E123</f>
        <v>32072.639</v>
      </c>
      <c r="G77" s="51" t="n">
        <f aca="false">F77/DIAS_ANIO</f>
        <v>133.635995833333</v>
      </c>
      <c r="H77" s="51" t="n">
        <f aca="false">G77*FAC_MAN</f>
        <v>144.3268755</v>
      </c>
      <c r="I77" s="11" t="n">
        <f aca="false">Datos!G123</f>
        <v>3</v>
      </c>
      <c r="J77" s="11" t="n">
        <f aca="false">Datos!H123</f>
        <v>5</v>
      </c>
      <c r="K77" s="47" t="n">
        <f aca="false">G77*(I77+J77)/2</f>
        <v>534.543983333333</v>
      </c>
      <c r="L77" s="47" t="n">
        <f aca="false">H77*J77-K77</f>
        <v>187.090394166667</v>
      </c>
      <c r="M77" s="11" t="str">
        <f aca="false">Datos!I123</f>
        <v>Bolsa de 1.000 u</v>
      </c>
      <c r="N77" s="52" t="n">
        <f aca="false">Datos!J123</f>
        <v>1000</v>
      </c>
      <c r="O77" s="52" t="n">
        <f aca="false">Datos!K123</f>
        <v>20</v>
      </c>
      <c r="P77" s="11" t="n">
        <f aca="false">MAX(1,ROUNDUP(H77*O77/N77,0))</f>
        <v>3</v>
      </c>
      <c r="Q77" s="43" t="n">
        <f aca="false">IF(P77*N77=0,0,F77/(P77*N77))</f>
        <v>10.6908796666667</v>
      </c>
      <c r="R77" s="11" t="s">
        <v>120</v>
      </c>
      <c r="S77" s="48" t="n">
        <f aca="false">L77+P77*N77</f>
        <v>3187.09039416667</v>
      </c>
      <c r="T77" s="11" t="n">
        <f aca="false">Datos!M123</f>
        <v>20000</v>
      </c>
      <c r="U77" s="43" t="n">
        <f aca="false">IF(T77=0,0,S77/T77)</f>
        <v>0.159354519708333</v>
      </c>
      <c r="V77" s="11" t="str">
        <f aca="false">IFERROR(VLOOKUP(R77,Almacenes!$A$19:$I$32,9,FALSE()),"")</f>
        <v>Abajo el pallet o la caja en uso (de ahí sale el carro de abastecimiento), arriba la reposición del pedido mensual.</v>
      </c>
      <c r="W77" s="11" t="s">
        <v>107</v>
      </c>
    </row>
    <row r="78" customFormat="false" ht="15" hidden="false" customHeight="true" outlineLevel="0" collapsed="false">
      <c r="A78" s="11" t="str">
        <f aca="false">Datos!A124</f>
        <v>P73</v>
      </c>
      <c r="B78" s="41" t="str">
        <f aca="false">Datos!C124</f>
        <v>MP-50/M30</v>
      </c>
      <c r="C78" s="11" t="str">
        <f aca="false">Datos!B124</f>
        <v>Junta tórica del cuello M30</v>
      </c>
      <c r="D78" s="11" t="str">
        <f aca="false">Datos!F124</f>
        <v>u</v>
      </c>
      <c r="E78" s="11" t="str">
        <f aca="false">Datos!D124</f>
        <v>Argensold</v>
      </c>
      <c r="F78" s="47" t="n">
        <f aca="false">Datos!E124</f>
        <v>41548.031</v>
      </c>
      <c r="G78" s="51" t="n">
        <f aca="false">F78/DIAS_ANIO</f>
        <v>173.116795833333</v>
      </c>
      <c r="H78" s="51" t="n">
        <f aca="false">G78*FAC_MAN</f>
        <v>186.9661395</v>
      </c>
      <c r="I78" s="11" t="n">
        <f aca="false">Datos!G124</f>
        <v>3</v>
      </c>
      <c r="J78" s="11" t="n">
        <f aca="false">Datos!H124</f>
        <v>5</v>
      </c>
      <c r="K78" s="47" t="n">
        <f aca="false">G78*(I78+J78)/2</f>
        <v>692.467183333333</v>
      </c>
      <c r="L78" s="47" t="n">
        <f aca="false">H78*J78-K78</f>
        <v>242.363514166667</v>
      </c>
      <c r="M78" s="11" t="str">
        <f aca="false">Datos!I124</f>
        <v>Bolsa de 1.000 u</v>
      </c>
      <c r="N78" s="52" t="n">
        <f aca="false">Datos!J124</f>
        <v>1000</v>
      </c>
      <c r="O78" s="52" t="n">
        <f aca="false">Datos!K124</f>
        <v>20</v>
      </c>
      <c r="P78" s="11" t="n">
        <f aca="false">MAX(1,ROUNDUP(H78*O78/N78,0))</f>
        <v>4</v>
      </c>
      <c r="Q78" s="43" t="n">
        <f aca="false">IF(P78*N78=0,0,F78/(P78*N78))</f>
        <v>10.38700775</v>
      </c>
      <c r="R78" s="11" t="s">
        <v>120</v>
      </c>
      <c r="S78" s="48" t="n">
        <f aca="false">L78+P78*N78</f>
        <v>4242.36351416667</v>
      </c>
      <c r="T78" s="11" t="n">
        <f aca="false">Datos!M124</f>
        <v>20000</v>
      </c>
      <c r="U78" s="43" t="n">
        <f aca="false">IF(T78=0,0,S78/T78)</f>
        <v>0.212118175708333</v>
      </c>
      <c r="V78" s="11" t="str">
        <f aca="false">IFERROR(VLOOKUP(R78,Almacenes!$A$19:$I$32,9,FALSE()),"")</f>
        <v>Abajo el pallet o la caja en uso (de ahí sale el carro de abastecimiento), arriba la reposición del pedido mensual.</v>
      </c>
      <c r="W78" s="11" t="s">
        <v>107</v>
      </c>
    </row>
    <row r="79" customFormat="false" ht="15" hidden="false" customHeight="true" outlineLevel="0" collapsed="false">
      <c r="A79" s="11" t="str">
        <f aca="false">Datos!A125</f>
        <v>P74</v>
      </c>
      <c r="B79" s="41" t="str">
        <f aca="false">Datos!C125</f>
        <v>MP-50/2½</v>
      </c>
      <c r="C79" s="11" t="str">
        <f aca="false">Datos!B125</f>
        <v>Junta tórica del cuello 2½"</v>
      </c>
      <c r="D79" s="11" t="str">
        <f aca="false">Datos!F125</f>
        <v>u</v>
      </c>
      <c r="E79" s="11" t="str">
        <f aca="false">Datos!D125</f>
        <v>Argensold</v>
      </c>
      <c r="F79" s="47" t="n">
        <f aca="false">Datos!E125</f>
        <v>363.016</v>
      </c>
      <c r="G79" s="51" t="n">
        <f aca="false">F79/DIAS_ANIO</f>
        <v>1.51256666666667</v>
      </c>
      <c r="H79" s="51" t="n">
        <f aca="false">G79*FAC_CAR</f>
        <v>1.63357199998949</v>
      </c>
      <c r="I79" s="11" t="n">
        <f aca="false">Datos!G125</f>
        <v>3</v>
      </c>
      <c r="J79" s="11" t="n">
        <f aca="false">Datos!H125</f>
        <v>5</v>
      </c>
      <c r="K79" s="47" t="n">
        <f aca="false">G79*(I79+J79)/2</f>
        <v>6.05026666666667</v>
      </c>
      <c r="L79" s="47" t="n">
        <f aca="false">H79*J79-K79</f>
        <v>2.11759333328076</v>
      </c>
      <c r="M79" s="11" t="str">
        <f aca="false">Datos!I125</f>
        <v>Bolsa de 100 u</v>
      </c>
      <c r="N79" s="52" t="n">
        <f aca="false">Datos!J125</f>
        <v>100</v>
      </c>
      <c r="O79" s="52" t="n">
        <f aca="false">Datos!K125</f>
        <v>60</v>
      </c>
      <c r="P79" s="11" t="n">
        <f aca="false">MAX(1,ROUNDUP(H79*O79/N79,0))</f>
        <v>1</v>
      </c>
      <c r="Q79" s="43" t="n">
        <f aca="false">IF(P79*N79=0,0,F79/(P79*N79))</f>
        <v>3.63016</v>
      </c>
      <c r="R79" s="11" t="s">
        <v>125</v>
      </c>
      <c r="S79" s="48" t="n">
        <f aca="false">L79+P79*N79</f>
        <v>102.117593333281</v>
      </c>
      <c r="T79" s="11" t="n">
        <f aca="false">Datos!M125</f>
        <v>20000</v>
      </c>
      <c r="U79" s="43" t="n">
        <f aca="false">IF(T79=0,0,S79/T79)</f>
        <v>0.00510587966666404</v>
      </c>
      <c r="V79" s="11" t="str">
        <f aca="false">IFERROR(VLOOKUP(R79,Almacenes!$A$19:$I$32,9,FALSE()),"")</f>
        <v>Ruedas en pallet abajo; cajas arriba.</v>
      </c>
      <c r="W79" s="11" t="s">
        <v>108</v>
      </c>
    </row>
    <row r="80" customFormat="false" ht="15" hidden="false" customHeight="true" outlineLevel="0" collapsed="false">
      <c r="A80" s="11" t="str">
        <f aca="false">Datos!A126</f>
        <v>P75</v>
      </c>
      <c r="B80" s="41" t="str">
        <f aca="false">Datos!C126</f>
        <v>MP-50/OT</v>
      </c>
      <c r="C80" s="11" t="str">
        <f aca="false">Datos!B126</f>
        <v>Junta tórica del cuello (recargas, surtido por medida)</v>
      </c>
      <c r="D80" s="11" t="str">
        <f aca="false">Datos!F126</f>
        <v>u</v>
      </c>
      <c r="E80" s="11" t="str">
        <f aca="false">Datos!D126</f>
        <v>Würth Argentina</v>
      </c>
      <c r="F80" s="47" t="n">
        <f aca="false">Datos!E126</f>
        <v>101887.567</v>
      </c>
      <c r="G80" s="51" t="n">
        <f aca="false">F80/DIAS_ANIO</f>
        <v>424.531529166667</v>
      </c>
      <c r="H80" s="51" t="n">
        <f aca="false">G80*FAC_REC</f>
        <v>518.3655358259</v>
      </c>
      <c r="I80" s="11" t="n">
        <f aca="false">Datos!G126</f>
        <v>3</v>
      </c>
      <c r="J80" s="11" t="n">
        <f aca="false">Datos!H126</f>
        <v>5</v>
      </c>
      <c r="K80" s="47" t="n">
        <f aca="false">G80*(I80+J80)/2</f>
        <v>1698.12611666667</v>
      </c>
      <c r="L80" s="47" t="n">
        <f aca="false">H80*J80-K80</f>
        <v>893.701562462833</v>
      </c>
      <c r="M80" s="11" t="str">
        <f aca="false">Datos!I126</f>
        <v>Bolsa de 1.000 u (surtido por medida)</v>
      </c>
      <c r="N80" s="52" t="n">
        <f aca="false">Datos!J126</f>
        <v>1000</v>
      </c>
      <c r="O80" s="52" t="n">
        <f aca="false">Datos!K126</f>
        <v>20</v>
      </c>
      <c r="P80" s="11" t="n">
        <f aca="false">MAX(1,ROUNDUP(H80*O80/N80,0))</f>
        <v>11</v>
      </c>
      <c r="Q80" s="43" t="n">
        <f aca="false">IF(P80*N80=0,0,F80/(P80*N80))</f>
        <v>9.26250609090909</v>
      </c>
      <c r="R80" s="11" t="s">
        <v>121</v>
      </c>
      <c r="S80" s="48" t="n">
        <f aca="false">L80+P80*N80</f>
        <v>11893.7015624628</v>
      </c>
      <c r="T80" s="11" t="n">
        <f aca="false">Datos!M126</f>
        <v>20000</v>
      </c>
      <c r="U80" s="43" t="n">
        <f aca="false">IF(T80=0,0,S80/T80)</f>
        <v>0.594685078123142</v>
      </c>
      <c r="V80" s="11" t="str">
        <f aca="false">IFERROR(VLOOKUP(R80,Almacenes!$A$19:$I$32,9,FALSE()),"")</f>
        <v>Tambores de 200 L en el piso sobre pallet antiderrame; bidones en bandeja; cajas en los niveles.</v>
      </c>
      <c r="W80" s="11" t="s">
        <v>109</v>
      </c>
    </row>
    <row r="81" customFormat="false" ht="15" hidden="false" customHeight="true" outlineLevel="0" collapsed="false">
      <c r="A81" s="11" t="str">
        <f aca="false">Datos!A127</f>
        <v>P76</v>
      </c>
      <c r="B81" s="41" t="str">
        <f aca="false">Datos!C127</f>
        <v>MP-52/ABC2.5</v>
      </c>
      <c r="C81" s="11" t="str">
        <f aca="false">Datos!B127</f>
        <v>Soporte de pared ABC 2,5 kg</v>
      </c>
      <c r="D81" s="11" t="str">
        <f aca="false">Datos!F127</f>
        <v>u</v>
      </c>
      <c r="E81" s="11" t="str">
        <f aca="false">Datos!D127</f>
        <v>Matafuegos Aconcagua (J. C. Paz)</v>
      </c>
      <c r="F81" s="47" t="n">
        <f aca="false">Datos!E127</f>
        <v>7436.458</v>
      </c>
      <c r="G81" s="51" t="n">
        <f aca="false">F81/DIAS_ANIO</f>
        <v>30.9852416666667</v>
      </c>
      <c r="H81" s="51" t="n">
        <f aca="false">G81*FAC_MAN</f>
        <v>33.464061</v>
      </c>
      <c r="I81" s="11" t="n">
        <f aca="false">Datos!G127</f>
        <v>3</v>
      </c>
      <c r="J81" s="11" t="n">
        <f aca="false">Datos!H127</f>
        <v>7</v>
      </c>
      <c r="K81" s="47" t="n">
        <f aca="false">G81*(I81+J81)/2</f>
        <v>154.926208333333</v>
      </c>
      <c r="L81" s="47" t="n">
        <f aca="false">H81*J81-K81</f>
        <v>79.3222186666667</v>
      </c>
      <c r="M81" s="11" t="str">
        <f aca="false">Datos!I127</f>
        <v>Caja de 100 u</v>
      </c>
      <c r="N81" s="52" t="n">
        <f aca="false">Datos!J127</f>
        <v>100</v>
      </c>
      <c r="O81" s="52" t="n">
        <f aca="false">Datos!K127</f>
        <v>20</v>
      </c>
      <c r="P81" s="11" t="n">
        <f aca="false">MAX(1,ROUNDUP(H81*O81/N81,0))</f>
        <v>7</v>
      </c>
      <c r="Q81" s="43" t="n">
        <f aca="false">IF(P81*N81=0,0,F81/(P81*N81))</f>
        <v>10.6235114285714</v>
      </c>
      <c r="R81" s="11" t="s">
        <v>120</v>
      </c>
      <c r="S81" s="48" t="n">
        <f aca="false">L81+P81*N81</f>
        <v>779.322218666667</v>
      </c>
      <c r="T81" s="11" t="n">
        <f aca="false">Datos!M127</f>
        <v>3000</v>
      </c>
      <c r="U81" s="43" t="n">
        <f aca="false">IF(T81=0,0,S81/T81)</f>
        <v>0.259774072888889</v>
      </c>
      <c r="V81" s="11" t="str">
        <f aca="false">IFERROR(VLOOKUP(R81,Almacenes!$A$19:$I$32,9,FALSE()),"")</f>
        <v>Abajo el pallet o la caja en uso (de ahí sale el carro de abastecimiento), arriba la reposición del pedido mensual.</v>
      </c>
      <c r="W81" s="11" t="s">
        <v>107</v>
      </c>
    </row>
    <row r="82" customFormat="false" ht="15" hidden="false" customHeight="true" outlineLevel="0" collapsed="false">
      <c r="A82" s="11" t="str">
        <f aca="false">Datos!A128</f>
        <v>P77</v>
      </c>
      <c r="B82" s="41" t="str">
        <f aca="false">Datos!C128</f>
        <v>MP-52/ABC5</v>
      </c>
      <c r="C82" s="11" t="str">
        <f aca="false">Datos!B128</f>
        <v>Soporte de pared ABC 5 kg</v>
      </c>
      <c r="D82" s="11" t="str">
        <f aca="false">Datos!F128</f>
        <v>u</v>
      </c>
      <c r="E82" s="11" t="str">
        <f aca="false">Datos!D128</f>
        <v>Matafuegos Aconcagua (J. C. Paz)</v>
      </c>
      <c r="F82" s="47" t="n">
        <f aca="false">Datos!E128</f>
        <v>30814.979</v>
      </c>
      <c r="G82" s="51" t="n">
        <f aca="false">F82/DIAS_ANIO</f>
        <v>128.395745833333</v>
      </c>
      <c r="H82" s="51" t="n">
        <f aca="false">G82*FAC_MAN</f>
        <v>138.6674055</v>
      </c>
      <c r="I82" s="11" t="n">
        <f aca="false">Datos!G128</f>
        <v>3</v>
      </c>
      <c r="J82" s="11" t="n">
        <f aca="false">Datos!H128</f>
        <v>7</v>
      </c>
      <c r="K82" s="47" t="n">
        <f aca="false">G82*(I82+J82)/2</f>
        <v>641.978729166667</v>
      </c>
      <c r="L82" s="47" t="n">
        <f aca="false">H82*J82-K82</f>
        <v>328.693109333333</v>
      </c>
      <c r="M82" s="11" t="str">
        <f aca="false">Datos!I128</f>
        <v>Caja de 100 u</v>
      </c>
      <c r="N82" s="52" t="n">
        <f aca="false">Datos!J128</f>
        <v>100</v>
      </c>
      <c r="O82" s="52" t="n">
        <f aca="false">Datos!K128</f>
        <v>20</v>
      </c>
      <c r="P82" s="11" t="n">
        <f aca="false">MAX(1,ROUNDUP(H82*O82/N82,0))</f>
        <v>28</v>
      </c>
      <c r="Q82" s="43" t="n">
        <f aca="false">IF(P82*N82=0,0,F82/(P82*N82))</f>
        <v>11.0053496428571</v>
      </c>
      <c r="R82" s="11" t="s">
        <v>120</v>
      </c>
      <c r="S82" s="48" t="n">
        <f aca="false">L82+P82*N82</f>
        <v>3128.69310933333</v>
      </c>
      <c r="T82" s="11" t="n">
        <f aca="false">Datos!M128</f>
        <v>3000</v>
      </c>
      <c r="U82" s="43" t="n">
        <f aca="false">IF(T82=0,0,S82/T82)</f>
        <v>1.04289770311111</v>
      </c>
      <c r="V82" s="11" t="str">
        <f aca="false">IFERROR(VLOOKUP(R82,Almacenes!$A$19:$I$32,9,FALSE()),"")</f>
        <v>Abajo el pallet o la caja en uso (de ahí sale el carro de abastecimiento), arriba la reposición del pedido mensual.</v>
      </c>
      <c r="W82" s="11" t="s">
        <v>107</v>
      </c>
    </row>
    <row r="83" customFormat="false" ht="15" hidden="false" customHeight="true" outlineLevel="0" collapsed="false">
      <c r="A83" s="11" t="str">
        <f aca="false">Datos!A129</f>
        <v>P78</v>
      </c>
      <c r="B83" s="41" t="str">
        <f aca="false">Datos!C129</f>
        <v>MP-52/ABC10</v>
      </c>
      <c r="C83" s="11" t="str">
        <f aca="false">Datos!B129</f>
        <v>Soporte de pared ABC 10 kg</v>
      </c>
      <c r="D83" s="11" t="str">
        <f aca="false">Datos!F129</f>
        <v>u</v>
      </c>
      <c r="E83" s="11" t="str">
        <f aca="false">Datos!D129</f>
        <v>Matafuegos Aconcagua (J. C. Paz)</v>
      </c>
      <c r="F83" s="47" t="n">
        <f aca="false">Datos!E129</f>
        <v>1844.928</v>
      </c>
      <c r="G83" s="51" t="n">
        <f aca="false">F83/DIAS_ANIO</f>
        <v>7.6872</v>
      </c>
      <c r="H83" s="51" t="n">
        <f aca="false">G83*FAC_MAN</f>
        <v>8.302176</v>
      </c>
      <c r="I83" s="11" t="n">
        <f aca="false">Datos!G129</f>
        <v>3</v>
      </c>
      <c r="J83" s="11" t="n">
        <f aca="false">Datos!H129</f>
        <v>7</v>
      </c>
      <c r="K83" s="47" t="n">
        <f aca="false">G83*(I83+J83)/2</f>
        <v>38.436</v>
      </c>
      <c r="L83" s="47" t="n">
        <f aca="false">H83*J83-K83</f>
        <v>19.679232</v>
      </c>
      <c r="M83" s="11" t="str">
        <f aca="false">Datos!I129</f>
        <v>Caja de 100 u</v>
      </c>
      <c r="N83" s="52" t="n">
        <f aca="false">Datos!J129</f>
        <v>100</v>
      </c>
      <c r="O83" s="52" t="n">
        <f aca="false">Datos!K129</f>
        <v>20</v>
      </c>
      <c r="P83" s="11" t="n">
        <f aca="false">MAX(1,ROUNDUP(H83*O83/N83,0))</f>
        <v>2</v>
      </c>
      <c r="Q83" s="43" t="n">
        <f aca="false">IF(P83*N83=0,0,F83/(P83*N83))</f>
        <v>9.22464</v>
      </c>
      <c r="R83" s="11" t="s">
        <v>120</v>
      </c>
      <c r="S83" s="48" t="n">
        <f aca="false">L83+P83*N83</f>
        <v>219.679232</v>
      </c>
      <c r="T83" s="11" t="n">
        <f aca="false">Datos!M129</f>
        <v>3000</v>
      </c>
      <c r="U83" s="43" t="n">
        <f aca="false">IF(T83=0,0,S83/T83)</f>
        <v>0.0732264106666667</v>
      </c>
      <c r="V83" s="11" t="str">
        <f aca="false">IFERROR(VLOOKUP(R83,Almacenes!$A$19:$I$32,9,FALSE()),"")</f>
        <v>Abajo el pallet o la caja en uso (de ahí sale el carro de abastecimiento), arriba la reposición del pedido mensual.</v>
      </c>
      <c r="W83" s="11" t="s">
        <v>107</v>
      </c>
    </row>
    <row r="84" customFormat="false" ht="15" hidden="false" customHeight="true" outlineLevel="0" collapsed="false">
      <c r="A84" s="11" t="str">
        <f aca="false">Datos!A130</f>
        <v>P79</v>
      </c>
      <c r="B84" s="41" t="str">
        <f aca="false">Datos!C130</f>
        <v>MP-87</v>
      </c>
      <c r="C84" s="11" t="str">
        <f aca="false">Datos!B130</f>
        <v>Soporte vehicular (1 kg)</v>
      </c>
      <c r="D84" s="11" t="str">
        <f aca="false">Datos!F130</f>
        <v>u</v>
      </c>
      <c r="E84" s="11" t="str">
        <f aca="false">Datos!D130</f>
        <v>Matafuegos Aconcagua (J. C. Paz)</v>
      </c>
      <c r="F84" s="47" t="n">
        <f aca="false">Datos!E130</f>
        <v>32072.639</v>
      </c>
      <c r="G84" s="51" t="n">
        <f aca="false">F84/DIAS_ANIO</f>
        <v>133.635995833333</v>
      </c>
      <c r="H84" s="51" t="n">
        <f aca="false">G84*FAC_MAN</f>
        <v>144.3268755</v>
      </c>
      <c r="I84" s="11" t="n">
        <f aca="false">Datos!G130</f>
        <v>3</v>
      </c>
      <c r="J84" s="11" t="n">
        <f aca="false">Datos!H130</f>
        <v>7</v>
      </c>
      <c r="K84" s="47" t="n">
        <f aca="false">G84*(I84+J84)/2</f>
        <v>668.179979166667</v>
      </c>
      <c r="L84" s="47" t="n">
        <f aca="false">H84*J84-K84</f>
        <v>342.108149333334</v>
      </c>
      <c r="M84" s="11" t="str">
        <f aca="false">Datos!I130</f>
        <v>Caja de 100 u</v>
      </c>
      <c r="N84" s="52" t="n">
        <f aca="false">Datos!J130</f>
        <v>100</v>
      </c>
      <c r="O84" s="52" t="n">
        <f aca="false">Datos!K130</f>
        <v>20</v>
      </c>
      <c r="P84" s="11" t="n">
        <f aca="false">MAX(1,ROUNDUP(H84*O84/N84,0))</f>
        <v>29</v>
      </c>
      <c r="Q84" s="43" t="n">
        <f aca="false">IF(P84*N84=0,0,F84/(P84*N84))</f>
        <v>11.0595306896552</v>
      </c>
      <c r="R84" s="11" t="s">
        <v>120</v>
      </c>
      <c r="S84" s="48" t="n">
        <f aca="false">L84+P84*N84</f>
        <v>3242.10814933333</v>
      </c>
      <c r="T84" s="11" t="n">
        <f aca="false">Datos!M130</f>
        <v>3000</v>
      </c>
      <c r="U84" s="43" t="n">
        <f aca="false">IF(T84=0,0,S84/T84)</f>
        <v>1.08070271644444</v>
      </c>
      <c r="V84" s="11" t="str">
        <f aca="false">IFERROR(VLOOKUP(R84,Almacenes!$A$19:$I$32,9,FALSE()),"")</f>
        <v>Abajo el pallet o la caja en uso (de ahí sale el carro de abastecimiento), arriba la reposición del pedido mensual.</v>
      </c>
      <c r="W84" s="11" t="s">
        <v>107</v>
      </c>
    </row>
    <row r="85" customFormat="false" ht="15" hidden="false" customHeight="true" outlineLevel="0" collapsed="false">
      <c r="A85" s="11" t="str">
        <f aca="false">Datos!A131</f>
        <v>P80</v>
      </c>
      <c r="B85" s="41" t="str">
        <f aca="false">Datos!C131</f>
        <v>MP-86</v>
      </c>
      <c r="C85" s="11" t="str">
        <f aca="false">Datos!B131</f>
        <v>Tornillo y tarugo de fijación</v>
      </c>
      <c r="D85" s="11" t="str">
        <f aca="false">Datos!F131</f>
        <v>u</v>
      </c>
      <c r="E85" s="11" t="str">
        <f aca="false">Datos!D131</f>
        <v>Würth Argentina</v>
      </c>
      <c r="F85" s="47" t="n">
        <f aca="false">Datos!E131</f>
        <v>80192.73</v>
      </c>
      <c r="G85" s="51" t="n">
        <f aca="false">F85/DIAS_ANIO</f>
        <v>334.136375</v>
      </c>
      <c r="H85" s="51" t="n">
        <f aca="false">G85*FAC_MAN</f>
        <v>360.867285</v>
      </c>
      <c r="I85" s="11" t="n">
        <f aca="false">Datos!G131</f>
        <v>3</v>
      </c>
      <c r="J85" s="11" t="n">
        <f aca="false">Datos!H131</f>
        <v>5</v>
      </c>
      <c r="K85" s="47" t="n">
        <f aca="false">G85*(I85+J85)/2</f>
        <v>1336.5455</v>
      </c>
      <c r="L85" s="47" t="n">
        <f aca="false">H85*J85-K85</f>
        <v>467.790925</v>
      </c>
      <c r="M85" s="11" t="str">
        <f aca="false">Datos!I131</f>
        <v>Bolsa de 1.000 u</v>
      </c>
      <c r="N85" s="52" t="n">
        <f aca="false">Datos!J131</f>
        <v>1000</v>
      </c>
      <c r="O85" s="52" t="n">
        <f aca="false">Datos!K131</f>
        <v>20</v>
      </c>
      <c r="P85" s="11" t="n">
        <f aca="false">MAX(1,ROUNDUP(H85*O85/N85,0))</f>
        <v>8</v>
      </c>
      <c r="Q85" s="43" t="n">
        <f aca="false">IF(P85*N85=0,0,F85/(P85*N85))</f>
        <v>10.02409125</v>
      </c>
      <c r="R85" s="11" t="s">
        <v>120</v>
      </c>
      <c r="S85" s="48" t="n">
        <f aca="false">L85+P85*N85</f>
        <v>8467.790925</v>
      </c>
      <c r="T85" s="11" t="n">
        <f aca="false">Datos!M131</f>
        <v>20000</v>
      </c>
      <c r="U85" s="43" t="n">
        <f aca="false">IF(T85=0,0,S85/T85)</f>
        <v>0.42338954625</v>
      </c>
      <c r="V85" s="11" t="str">
        <f aca="false">IFERROR(VLOOKUP(R85,Almacenes!$A$19:$I$32,9,FALSE()),"")</f>
        <v>Abajo el pallet o la caja en uso (de ahí sale el carro de abastecimiento), arriba la reposición del pedido mensual.</v>
      </c>
      <c r="W85" s="11" t="s">
        <v>107</v>
      </c>
    </row>
    <row r="86" customFormat="false" ht="15" hidden="false" customHeight="true" outlineLevel="0" collapsed="false">
      <c r="A86" s="11" t="str">
        <f aca="false">Datos!A132</f>
        <v>P81</v>
      </c>
      <c r="B86" s="41" t="str">
        <f aca="false">Datos!C132</f>
        <v>MP-55</v>
      </c>
      <c r="C86" s="11" t="str">
        <f aca="false">Datos!B132</f>
        <v>Conjunto de seguridad de CO₂ (recargas)</v>
      </c>
      <c r="D86" s="11" t="str">
        <f aca="false">Datos!F132</f>
        <v>u</v>
      </c>
      <c r="E86" s="11" t="str">
        <f aca="false">Datos!D132</f>
        <v>Georgia</v>
      </c>
      <c r="F86" s="47" t="n">
        <f aca="false">Datos!E132</f>
        <v>3121.786</v>
      </c>
      <c r="G86" s="51" t="n">
        <f aca="false">F86/DIAS_ANIO</f>
        <v>13.0074416666667</v>
      </c>
      <c r="H86" s="51" t="n">
        <f aca="false">G86*FAC_REC</f>
        <v>15.8824704551419</v>
      </c>
      <c r="I86" s="11" t="n">
        <f aca="false">Datos!G132</f>
        <v>4</v>
      </c>
      <c r="J86" s="11" t="n">
        <f aca="false">Datos!H132</f>
        <v>7</v>
      </c>
      <c r="K86" s="47" t="n">
        <f aca="false">G86*(I86+J86)/2</f>
        <v>71.5409291666667</v>
      </c>
      <c r="L86" s="47" t="n">
        <f aca="false">H86*J86-K86</f>
        <v>39.6363640193268</v>
      </c>
      <c r="M86" s="11" t="str">
        <f aca="false">Datos!I132</f>
        <v>Bolsa de 100 u</v>
      </c>
      <c r="N86" s="52" t="n">
        <f aca="false">Datos!J132</f>
        <v>100</v>
      </c>
      <c r="O86" s="52" t="n">
        <f aca="false">Datos!K132</f>
        <v>20</v>
      </c>
      <c r="P86" s="11" t="n">
        <f aca="false">MAX(1,ROUNDUP(H86*O86/N86,0))</f>
        <v>4</v>
      </c>
      <c r="Q86" s="43" t="n">
        <f aca="false">IF(P86*N86=0,0,F86/(P86*N86))</f>
        <v>7.804465</v>
      </c>
      <c r="R86" s="11" t="s">
        <v>121</v>
      </c>
      <c r="S86" s="48" t="n">
        <f aca="false">L86+P86*N86</f>
        <v>439.636364019327</v>
      </c>
      <c r="T86" s="11" t="n">
        <f aca="false">Datos!M132</f>
        <v>2000</v>
      </c>
      <c r="U86" s="43" t="n">
        <f aca="false">IF(T86=0,0,S86/T86)</f>
        <v>0.219818182009663</v>
      </c>
      <c r="V86" s="11" t="str">
        <f aca="false">IFERROR(VLOOKUP(R86,Almacenes!$A$19:$I$32,9,FALSE()),"")</f>
        <v>Tambores de 200 L en el piso sobre pallet antiderrame; bidones en bandeja; cajas en los niveles.</v>
      </c>
      <c r="W86" s="11" t="s">
        <v>109</v>
      </c>
    </row>
    <row r="87" customFormat="false" ht="15" hidden="false" customHeight="true" outlineLevel="0" collapsed="false">
      <c r="A87" s="11" t="str">
        <f aca="false">Datos!A133</f>
        <v>P82</v>
      </c>
      <c r="B87" s="41" t="str">
        <f aca="false">Datos!C133</f>
        <v>MP-56/ABC1</v>
      </c>
      <c r="C87" s="11" t="str">
        <f aca="false">Datos!B133</f>
        <v>Etiqueta de características ABC 1 kg</v>
      </c>
      <c r="D87" s="11" t="str">
        <f aca="false">Datos!F133</f>
        <v>u</v>
      </c>
      <c r="E87" s="11" t="str">
        <f aca="false">Datos!D133</f>
        <v>Rotolan (Lanús)</v>
      </c>
      <c r="F87" s="47" t="n">
        <f aca="false">Datos!E133</f>
        <v>32072.639</v>
      </c>
      <c r="G87" s="51" t="n">
        <f aca="false">F87/DIAS_ANIO</f>
        <v>133.635995833333</v>
      </c>
      <c r="H87" s="51" t="n">
        <f aca="false">G87*FAC_MAN</f>
        <v>144.3268755</v>
      </c>
      <c r="I87" s="11" t="n">
        <f aca="false">Datos!G133</f>
        <v>3</v>
      </c>
      <c r="J87" s="11" t="n">
        <f aca="false">Datos!H133</f>
        <v>7</v>
      </c>
      <c r="K87" s="47" t="n">
        <f aca="false">G87*(I87+J87)/2</f>
        <v>668.179979166667</v>
      </c>
      <c r="L87" s="47" t="n">
        <f aca="false">H87*J87-K87</f>
        <v>342.108149333334</v>
      </c>
      <c r="M87" s="11" t="str">
        <f aca="false">Datos!I133</f>
        <v>Rollo de 1.000 u</v>
      </c>
      <c r="N87" s="52" t="n">
        <f aca="false">Datos!J133</f>
        <v>1000</v>
      </c>
      <c r="O87" s="52" t="n">
        <f aca="false">Datos!K133</f>
        <v>20</v>
      </c>
      <c r="P87" s="11" t="n">
        <f aca="false">MAX(1,ROUNDUP(H87*O87/N87,0))</f>
        <v>3</v>
      </c>
      <c r="Q87" s="43" t="n">
        <f aca="false">IF(P87*N87=0,0,F87/(P87*N87))</f>
        <v>10.6908796666667</v>
      </c>
      <c r="R87" s="11" t="s">
        <v>119</v>
      </c>
      <c r="S87" s="48" t="n">
        <f aca="false">L87+P87*N87</f>
        <v>3342.10814933333</v>
      </c>
      <c r="T87" s="11" t="n">
        <f aca="false">Datos!M133</f>
        <v>20000</v>
      </c>
      <c r="U87" s="43" t="n">
        <f aca="false">IF(T87=0,0,S87/T87)</f>
        <v>0.167105407466667</v>
      </c>
      <c r="V87" s="11" t="str">
        <f aca="false">IFERROR(VLOOKUP(R87,Almacenes!$A$19:$I$32,9,FALSE()),"")</f>
        <v>Un estante por familia; obleas y estampillas (valores) en estante con candado.</v>
      </c>
      <c r="W87" s="11" t="s">
        <v>107</v>
      </c>
    </row>
    <row r="88" customFormat="false" ht="15" hidden="false" customHeight="true" outlineLevel="0" collapsed="false">
      <c r="A88" s="11" t="str">
        <f aca="false">Datos!A134</f>
        <v>P83</v>
      </c>
      <c r="B88" s="41" t="str">
        <f aca="false">Datos!C134</f>
        <v>MP-56/ABC2.5</v>
      </c>
      <c r="C88" s="11" t="str">
        <f aca="false">Datos!B134</f>
        <v>Etiqueta de características ABC 2,5 kg</v>
      </c>
      <c r="D88" s="11" t="str">
        <f aca="false">Datos!F134</f>
        <v>u</v>
      </c>
      <c r="E88" s="11" t="str">
        <f aca="false">Datos!D134</f>
        <v>Rotolan (Lanús)</v>
      </c>
      <c r="F88" s="47" t="n">
        <f aca="false">Datos!E134</f>
        <v>7436.458</v>
      </c>
      <c r="G88" s="51" t="n">
        <f aca="false">F88/DIAS_ANIO</f>
        <v>30.9852416666667</v>
      </c>
      <c r="H88" s="51" t="n">
        <f aca="false">G88*FAC_MAN</f>
        <v>33.464061</v>
      </c>
      <c r="I88" s="11" t="n">
        <f aca="false">Datos!G134</f>
        <v>3</v>
      </c>
      <c r="J88" s="11" t="n">
        <f aca="false">Datos!H134</f>
        <v>7</v>
      </c>
      <c r="K88" s="47" t="n">
        <f aca="false">G88*(I88+J88)/2</f>
        <v>154.926208333333</v>
      </c>
      <c r="L88" s="47" t="n">
        <f aca="false">H88*J88-K88</f>
        <v>79.3222186666667</v>
      </c>
      <c r="M88" s="11" t="str">
        <f aca="false">Datos!I134</f>
        <v>Rollo de 1.000 u</v>
      </c>
      <c r="N88" s="52" t="n">
        <f aca="false">Datos!J134</f>
        <v>1000</v>
      </c>
      <c r="O88" s="52" t="n">
        <f aca="false">Datos!K134</f>
        <v>20</v>
      </c>
      <c r="P88" s="11" t="n">
        <f aca="false">MAX(1,ROUNDUP(H88*O88/N88,0))</f>
        <v>1</v>
      </c>
      <c r="Q88" s="43" t="n">
        <f aca="false">IF(P88*N88=0,0,F88/(P88*N88))</f>
        <v>7.436458</v>
      </c>
      <c r="R88" s="11" t="s">
        <v>119</v>
      </c>
      <c r="S88" s="48" t="n">
        <f aca="false">L88+P88*N88</f>
        <v>1079.32221866667</v>
      </c>
      <c r="T88" s="11" t="n">
        <f aca="false">Datos!M134</f>
        <v>20000</v>
      </c>
      <c r="U88" s="43" t="n">
        <f aca="false">IF(T88=0,0,S88/T88)</f>
        <v>0.0539661109333333</v>
      </c>
      <c r="V88" s="11" t="str">
        <f aca="false">IFERROR(VLOOKUP(R88,Almacenes!$A$19:$I$32,9,FALSE()),"")</f>
        <v>Un estante por familia; obleas y estampillas (valores) en estante con candado.</v>
      </c>
      <c r="W88" s="11" t="s">
        <v>107</v>
      </c>
    </row>
    <row r="89" customFormat="false" ht="15" hidden="false" customHeight="true" outlineLevel="0" collapsed="false">
      <c r="A89" s="11" t="str">
        <f aca="false">Datos!A135</f>
        <v>P84</v>
      </c>
      <c r="B89" s="41" t="str">
        <f aca="false">Datos!C135</f>
        <v>MP-56/ABC5</v>
      </c>
      <c r="C89" s="11" t="str">
        <f aca="false">Datos!B135</f>
        <v>Etiqueta de características ABC 5 kg</v>
      </c>
      <c r="D89" s="11" t="str">
        <f aca="false">Datos!F135</f>
        <v>u</v>
      </c>
      <c r="E89" s="11" t="str">
        <f aca="false">Datos!D135</f>
        <v>Rotolan (Lanús)</v>
      </c>
      <c r="F89" s="47" t="n">
        <f aca="false">Datos!E135</f>
        <v>30814.979</v>
      </c>
      <c r="G89" s="51" t="n">
        <f aca="false">F89/DIAS_ANIO</f>
        <v>128.395745833333</v>
      </c>
      <c r="H89" s="51" t="n">
        <f aca="false">G89*FAC_MAN</f>
        <v>138.6674055</v>
      </c>
      <c r="I89" s="11" t="n">
        <f aca="false">Datos!G135</f>
        <v>3</v>
      </c>
      <c r="J89" s="11" t="n">
        <f aca="false">Datos!H135</f>
        <v>7</v>
      </c>
      <c r="K89" s="47" t="n">
        <f aca="false">G89*(I89+J89)/2</f>
        <v>641.978729166667</v>
      </c>
      <c r="L89" s="47" t="n">
        <f aca="false">H89*J89-K89</f>
        <v>328.693109333333</v>
      </c>
      <c r="M89" s="11" t="str">
        <f aca="false">Datos!I135</f>
        <v>Rollo de 1.000 u</v>
      </c>
      <c r="N89" s="52" t="n">
        <f aca="false">Datos!J135</f>
        <v>1000</v>
      </c>
      <c r="O89" s="52" t="n">
        <f aca="false">Datos!K135</f>
        <v>20</v>
      </c>
      <c r="P89" s="11" t="n">
        <f aca="false">MAX(1,ROUNDUP(H89*O89/N89,0))</f>
        <v>3</v>
      </c>
      <c r="Q89" s="43" t="n">
        <f aca="false">IF(P89*N89=0,0,F89/(P89*N89))</f>
        <v>10.2716596666667</v>
      </c>
      <c r="R89" s="11" t="s">
        <v>119</v>
      </c>
      <c r="S89" s="48" t="n">
        <f aca="false">L89+P89*N89</f>
        <v>3328.69310933333</v>
      </c>
      <c r="T89" s="11" t="n">
        <f aca="false">Datos!M135</f>
        <v>20000</v>
      </c>
      <c r="U89" s="43" t="n">
        <f aca="false">IF(T89=0,0,S89/T89)</f>
        <v>0.166434655466667</v>
      </c>
      <c r="V89" s="11" t="str">
        <f aca="false">IFERROR(VLOOKUP(R89,Almacenes!$A$19:$I$32,9,FALSE()),"")</f>
        <v>Un estante por familia; obleas y estampillas (valores) en estante con candado.</v>
      </c>
      <c r="W89" s="11" t="s">
        <v>107</v>
      </c>
    </row>
    <row r="90" customFormat="false" ht="15" hidden="false" customHeight="true" outlineLevel="0" collapsed="false">
      <c r="A90" s="11" t="str">
        <f aca="false">Datos!A136</f>
        <v>P85</v>
      </c>
      <c r="B90" s="41" t="str">
        <f aca="false">Datos!C136</f>
        <v>MP-56/ABC10</v>
      </c>
      <c r="C90" s="11" t="str">
        <f aca="false">Datos!B136</f>
        <v>Etiqueta de características ABC 10 kg</v>
      </c>
      <c r="D90" s="11" t="str">
        <f aca="false">Datos!F136</f>
        <v>u</v>
      </c>
      <c r="E90" s="11" t="str">
        <f aca="false">Datos!D136</f>
        <v>RotulArte (CABA)</v>
      </c>
      <c r="F90" s="47" t="n">
        <f aca="false">Datos!E136</f>
        <v>1844.928</v>
      </c>
      <c r="G90" s="51" t="n">
        <f aca="false">F90/DIAS_ANIO</f>
        <v>7.6872</v>
      </c>
      <c r="H90" s="51" t="n">
        <f aca="false">G90*FAC_MAN</f>
        <v>8.302176</v>
      </c>
      <c r="I90" s="11" t="n">
        <f aca="false">Datos!G136</f>
        <v>1</v>
      </c>
      <c r="J90" s="11" t="n">
        <f aca="false">Datos!H136</f>
        <v>2</v>
      </c>
      <c r="K90" s="47" t="n">
        <f aca="false">G90*(I90+J90)/2</f>
        <v>11.5308</v>
      </c>
      <c r="L90" s="47" t="n">
        <f aca="false">H90*J90-K90</f>
        <v>5.073552</v>
      </c>
      <c r="M90" s="11" t="str">
        <f aca="false">Datos!I136</f>
        <v>Rollo de 1.000 u</v>
      </c>
      <c r="N90" s="52" t="n">
        <f aca="false">Datos!J136</f>
        <v>1000</v>
      </c>
      <c r="O90" s="52" t="n">
        <f aca="false">Datos!K136</f>
        <v>60</v>
      </c>
      <c r="P90" s="11" t="n">
        <f aca="false">MAX(1,ROUNDUP(H90*O90/N90,0))</f>
        <v>1</v>
      </c>
      <c r="Q90" s="43" t="n">
        <f aca="false">IF(P90*N90=0,0,F90/(P90*N90))</f>
        <v>1.844928</v>
      </c>
      <c r="R90" s="11" t="s">
        <v>119</v>
      </c>
      <c r="S90" s="48" t="n">
        <f aca="false">L90+P90*N90</f>
        <v>1005.073552</v>
      </c>
      <c r="T90" s="11" t="n">
        <f aca="false">Datos!M136</f>
        <v>20000</v>
      </c>
      <c r="U90" s="43" t="n">
        <f aca="false">IF(T90=0,0,S90/T90)</f>
        <v>0.0502536776</v>
      </c>
      <c r="V90" s="11" t="str">
        <f aca="false">IFERROR(VLOOKUP(R90,Almacenes!$A$19:$I$32,9,FALSE()),"")</f>
        <v>Un estante por familia; obleas y estampillas (valores) en estante con candado.</v>
      </c>
      <c r="W90" s="11" t="s">
        <v>107</v>
      </c>
    </row>
    <row r="91" customFormat="false" ht="15" hidden="false" customHeight="true" outlineLevel="0" collapsed="false">
      <c r="A91" s="11" t="str">
        <f aca="false">Datos!A137</f>
        <v>P86</v>
      </c>
      <c r="B91" s="41" t="str">
        <f aca="false">Datos!C137</f>
        <v>MP-56/ABC25</v>
      </c>
      <c r="C91" s="11" t="str">
        <f aca="false">Datos!B137</f>
        <v>Etiqueta de características ABC 25 kg</v>
      </c>
      <c r="D91" s="11" t="str">
        <f aca="false">Datos!F137</f>
        <v>u</v>
      </c>
      <c r="E91" s="11" t="str">
        <f aca="false">Datos!D137</f>
        <v>RotulArte (CABA)</v>
      </c>
      <c r="F91" s="47" t="n">
        <f aca="false">Datos!E137</f>
        <v>453.671</v>
      </c>
      <c r="G91" s="51" t="n">
        <f aca="false">F91/DIAS_ANIO</f>
        <v>1.89029583333333</v>
      </c>
      <c r="H91" s="51" t="n">
        <f aca="false">G91*FAC_CAR</f>
        <v>2.04151949998686</v>
      </c>
      <c r="I91" s="11" t="n">
        <f aca="false">Datos!G137</f>
        <v>1</v>
      </c>
      <c r="J91" s="11" t="n">
        <f aca="false">Datos!H137</f>
        <v>2</v>
      </c>
      <c r="K91" s="47" t="n">
        <f aca="false">G91*(I91+J91)/2</f>
        <v>2.83544375</v>
      </c>
      <c r="L91" s="47" t="n">
        <f aca="false">H91*J91-K91</f>
        <v>1.24759524997372</v>
      </c>
      <c r="M91" s="11" t="str">
        <f aca="false">Datos!I137</f>
        <v>Rollo de 500 u</v>
      </c>
      <c r="N91" s="52" t="n">
        <f aca="false">Datos!J137</f>
        <v>500</v>
      </c>
      <c r="O91" s="52" t="n">
        <f aca="false">Datos!K137</f>
        <v>60</v>
      </c>
      <c r="P91" s="11" t="n">
        <f aca="false">MAX(1,ROUNDUP(H91*O91/N91,0))</f>
        <v>1</v>
      </c>
      <c r="Q91" s="43" t="n">
        <f aca="false">IF(P91*N91=0,0,F91/(P91*N91))</f>
        <v>0.907342</v>
      </c>
      <c r="R91" s="11" t="s">
        <v>119</v>
      </c>
      <c r="S91" s="48" t="n">
        <f aca="false">L91+P91*N91</f>
        <v>501.247595249974</v>
      </c>
      <c r="T91" s="11" t="n">
        <f aca="false">Datos!M137</f>
        <v>20000</v>
      </c>
      <c r="U91" s="43" t="n">
        <f aca="false">IF(T91=0,0,S91/T91)</f>
        <v>0.0250623797624987</v>
      </c>
      <c r="V91" s="11" t="str">
        <f aca="false">IFERROR(VLOOKUP(R91,Almacenes!$A$19:$I$32,9,FALSE()),"")</f>
        <v>Un estante por familia; obleas y estampillas (valores) en estante con candado.</v>
      </c>
      <c r="W91" s="11" t="s">
        <v>108</v>
      </c>
    </row>
    <row r="92" customFormat="false" ht="15" hidden="false" customHeight="true" outlineLevel="0" collapsed="false">
      <c r="A92" s="11" t="str">
        <f aca="false">Datos!A138</f>
        <v>P87</v>
      </c>
      <c r="B92" s="41" t="str">
        <f aca="false">Datos!C138</f>
        <v>MP-56/ABC50</v>
      </c>
      <c r="C92" s="11" t="str">
        <f aca="false">Datos!B138</f>
        <v>Etiqueta de características ABC 50 kg</v>
      </c>
      <c r="D92" s="11" t="str">
        <f aca="false">Datos!F138</f>
        <v>u</v>
      </c>
      <c r="E92" s="11" t="str">
        <f aca="false">Datos!D138</f>
        <v>RotulArte (CABA)</v>
      </c>
      <c r="F92" s="47" t="n">
        <f aca="false">Datos!E138</f>
        <v>997.995</v>
      </c>
      <c r="G92" s="51" t="n">
        <f aca="false">F92/DIAS_ANIO</f>
        <v>4.1583125</v>
      </c>
      <c r="H92" s="51" t="n">
        <f aca="false">G92*FAC_CAR</f>
        <v>4.49097749997109</v>
      </c>
      <c r="I92" s="11" t="n">
        <f aca="false">Datos!G138</f>
        <v>1</v>
      </c>
      <c r="J92" s="11" t="n">
        <f aca="false">Datos!H138</f>
        <v>2</v>
      </c>
      <c r="K92" s="47" t="n">
        <f aca="false">G92*(I92+J92)/2</f>
        <v>6.23746875</v>
      </c>
      <c r="L92" s="47" t="n">
        <f aca="false">H92*J92-K92</f>
        <v>2.74448624994219</v>
      </c>
      <c r="M92" s="11" t="str">
        <f aca="false">Datos!I138</f>
        <v>Rollo de 1.000 u</v>
      </c>
      <c r="N92" s="52" t="n">
        <f aca="false">Datos!J138</f>
        <v>1000</v>
      </c>
      <c r="O92" s="52" t="n">
        <f aca="false">Datos!K138</f>
        <v>60</v>
      </c>
      <c r="P92" s="11" t="n">
        <f aca="false">MAX(1,ROUNDUP(H92*O92/N92,0))</f>
        <v>1</v>
      </c>
      <c r="Q92" s="43" t="n">
        <f aca="false">IF(P92*N92=0,0,F92/(P92*N92))</f>
        <v>0.997995</v>
      </c>
      <c r="R92" s="11" t="s">
        <v>119</v>
      </c>
      <c r="S92" s="48" t="n">
        <f aca="false">L92+P92*N92</f>
        <v>1002.74448624994</v>
      </c>
      <c r="T92" s="11" t="n">
        <f aca="false">Datos!M138</f>
        <v>20000</v>
      </c>
      <c r="U92" s="43" t="n">
        <f aca="false">IF(T92=0,0,S92/T92)</f>
        <v>0.0501372243124971</v>
      </c>
      <c r="V92" s="11" t="str">
        <f aca="false">IFERROR(VLOOKUP(R92,Almacenes!$A$19:$I$32,9,FALSE()),"")</f>
        <v>Un estante por familia; obleas y estampillas (valores) en estante con candado.</v>
      </c>
      <c r="W92" s="11" t="s">
        <v>108</v>
      </c>
    </row>
    <row r="93" customFormat="false" ht="15" hidden="false" customHeight="true" outlineLevel="0" collapsed="false">
      <c r="A93" s="11" t="str">
        <f aca="false">Datos!A139</f>
        <v>P88</v>
      </c>
      <c r="B93" s="41" t="str">
        <f aca="false">Datos!C139</f>
        <v>MP-56/ABC70</v>
      </c>
      <c r="C93" s="11" t="str">
        <f aca="false">Datos!B139</f>
        <v>Etiqueta de características ABC 70 kg</v>
      </c>
      <c r="D93" s="11" t="str">
        <f aca="false">Datos!F139</f>
        <v>u</v>
      </c>
      <c r="E93" s="11" t="str">
        <f aca="false">Datos!D139</f>
        <v>RotulArte (CABA)</v>
      </c>
      <c r="F93" s="47" t="n">
        <f aca="false">Datos!E139</f>
        <v>217.81</v>
      </c>
      <c r="G93" s="51" t="n">
        <f aca="false">F93/DIAS_ANIO</f>
        <v>0.907541666666667</v>
      </c>
      <c r="H93" s="51" t="n">
        <f aca="false">G93*FAC_CAR</f>
        <v>0.980144999993691</v>
      </c>
      <c r="I93" s="11" t="n">
        <f aca="false">Datos!G139</f>
        <v>1</v>
      </c>
      <c r="J93" s="11" t="n">
        <f aca="false">Datos!H139</f>
        <v>2</v>
      </c>
      <c r="K93" s="47" t="n">
        <f aca="false">G93*(I93+J93)/2</f>
        <v>1.3613125</v>
      </c>
      <c r="L93" s="47" t="n">
        <f aca="false">H93*J93-K93</f>
        <v>0.598977499987383</v>
      </c>
      <c r="M93" s="11" t="str">
        <f aca="false">Datos!I139</f>
        <v>Rollo de 250 u</v>
      </c>
      <c r="N93" s="52" t="n">
        <f aca="false">Datos!J139</f>
        <v>250</v>
      </c>
      <c r="O93" s="52" t="n">
        <f aca="false">Datos!K139</f>
        <v>60</v>
      </c>
      <c r="P93" s="11" t="n">
        <f aca="false">MAX(1,ROUNDUP(H93*O93/N93,0))</f>
        <v>1</v>
      </c>
      <c r="Q93" s="43" t="n">
        <f aca="false">IF(P93*N93=0,0,F93/(P93*N93))</f>
        <v>0.87124</v>
      </c>
      <c r="R93" s="11" t="s">
        <v>119</v>
      </c>
      <c r="S93" s="48" t="n">
        <f aca="false">L93+P93*N93</f>
        <v>250.598977499987</v>
      </c>
      <c r="T93" s="11" t="n">
        <f aca="false">Datos!M139</f>
        <v>20000</v>
      </c>
      <c r="U93" s="43" t="n">
        <f aca="false">IF(T93=0,0,S93/T93)</f>
        <v>0.0125299488749994</v>
      </c>
      <c r="V93" s="11" t="str">
        <f aca="false">IFERROR(VLOOKUP(R93,Almacenes!$A$19:$I$32,9,FALSE()),"")</f>
        <v>Un estante por familia; obleas y estampillas (valores) en estante con candado.</v>
      </c>
      <c r="W93" s="11" t="s">
        <v>108</v>
      </c>
    </row>
    <row r="94" customFormat="false" ht="15" hidden="false" customHeight="true" outlineLevel="0" collapsed="false">
      <c r="A94" s="11" t="str">
        <f aca="false">Datos!A140</f>
        <v>P89</v>
      </c>
      <c r="B94" s="41" t="str">
        <f aca="false">Datos!C140</f>
        <v>MP-56/ABC100</v>
      </c>
      <c r="C94" s="11" t="str">
        <f aca="false">Datos!B140</f>
        <v>Etiqueta de características ABC 100 kg</v>
      </c>
      <c r="D94" s="11" t="str">
        <f aca="false">Datos!F140</f>
        <v>u</v>
      </c>
      <c r="E94" s="11" t="str">
        <f aca="false">Datos!D140</f>
        <v>RotulArte (CABA)</v>
      </c>
      <c r="F94" s="47" t="n">
        <f aca="false">Datos!E140</f>
        <v>145.207</v>
      </c>
      <c r="G94" s="51" t="n">
        <f aca="false">F94/DIAS_ANIO</f>
        <v>0.605029166666667</v>
      </c>
      <c r="H94" s="51" t="n">
        <f aca="false">G94*FAC_CAR</f>
        <v>0.653431499995794</v>
      </c>
      <c r="I94" s="11" t="n">
        <f aca="false">Datos!G140</f>
        <v>1</v>
      </c>
      <c r="J94" s="11" t="n">
        <f aca="false">Datos!H140</f>
        <v>2</v>
      </c>
      <c r="K94" s="47" t="n">
        <f aca="false">G94*(I94+J94)/2</f>
        <v>0.90754375</v>
      </c>
      <c r="L94" s="47" t="n">
        <f aca="false">H94*J94-K94</f>
        <v>0.399319249991588</v>
      </c>
      <c r="M94" s="11" t="str">
        <f aca="false">Datos!I140</f>
        <v>Rollo de 250 u</v>
      </c>
      <c r="N94" s="52" t="n">
        <f aca="false">Datos!J140</f>
        <v>250</v>
      </c>
      <c r="O94" s="52" t="n">
        <f aca="false">Datos!K140</f>
        <v>60</v>
      </c>
      <c r="P94" s="11" t="n">
        <f aca="false">MAX(1,ROUNDUP(H94*O94/N94,0))</f>
        <v>1</v>
      </c>
      <c r="Q94" s="43" t="n">
        <f aca="false">IF(P94*N94=0,0,F94/(P94*N94))</f>
        <v>0.580828</v>
      </c>
      <c r="R94" s="11" t="s">
        <v>119</v>
      </c>
      <c r="S94" s="48" t="n">
        <f aca="false">L94+P94*N94</f>
        <v>250.399319249992</v>
      </c>
      <c r="T94" s="11" t="n">
        <f aca="false">Datos!M140</f>
        <v>20000</v>
      </c>
      <c r="U94" s="43" t="n">
        <f aca="false">IF(T94=0,0,S94/T94)</f>
        <v>0.0125199659624996</v>
      </c>
      <c r="V94" s="11" t="str">
        <f aca="false">IFERROR(VLOOKUP(R94,Almacenes!$A$19:$I$32,9,FALSE()),"")</f>
        <v>Un estante por familia; obleas y estampillas (valores) en estante con candado.</v>
      </c>
      <c r="W94" s="11" t="s">
        <v>108</v>
      </c>
    </row>
    <row r="95" customFormat="false" ht="15" hidden="false" customHeight="true" outlineLevel="0" collapsed="false">
      <c r="A95" s="11" t="str">
        <f aca="false">Datos!A141</f>
        <v>P90</v>
      </c>
      <c r="B95" s="41" t="str">
        <f aca="false">Datos!C141</f>
        <v>MP-78</v>
      </c>
      <c r="C95" s="11" t="str">
        <f aca="false">Datos!B141</f>
        <v>Oblea de fabricación (PBA)</v>
      </c>
      <c r="D95" s="11" t="str">
        <f aca="false">Datos!F141</f>
        <v>u</v>
      </c>
      <c r="E95" s="11" t="str">
        <f aca="false">Datos!D141</f>
        <v>DPS (PBA)</v>
      </c>
      <c r="F95" s="47" t="n">
        <f aca="false">Datos!E141</f>
        <v>56507.618</v>
      </c>
      <c r="G95" s="51" t="n">
        <f aca="false">F95/DIAS_ANIO</f>
        <v>235.448408333333</v>
      </c>
      <c r="H95" s="51" t="n">
        <f aca="false">G95*FAC_MAN</f>
        <v>254.284281</v>
      </c>
      <c r="I95" s="11" t="n">
        <f aca="false">Datos!G141</f>
        <v>1</v>
      </c>
      <c r="J95" s="11" t="n">
        <f aca="false">Datos!H141</f>
        <v>1</v>
      </c>
      <c r="K95" s="47" t="n">
        <f aca="false">G95*(I95+J95)/2</f>
        <v>235.448408333333</v>
      </c>
      <c r="L95" s="47" t="n">
        <f aca="false">H95*J95-K95</f>
        <v>18.8358726666667</v>
      </c>
      <c r="M95" s="11" t="str">
        <f aca="false">Datos!I141</f>
        <v>Paquete de 500 u</v>
      </c>
      <c r="N95" s="52" t="n">
        <f aca="false">Datos!J141</f>
        <v>500</v>
      </c>
      <c r="O95" s="52" t="n">
        <f aca="false">Datos!K141</f>
        <v>20</v>
      </c>
      <c r="P95" s="11" t="n">
        <f aca="false">MAX(1,ROUNDUP(H95*O95/N95,0))</f>
        <v>11</v>
      </c>
      <c r="Q95" s="43" t="n">
        <f aca="false">IF(P95*N95=0,0,F95/(P95*N95))</f>
        <v>10.2741123636364</v>
      </c>
      <c r="R95" s="11" t="s">
        <v>119</v>
      </c>
      <c r="S95" s="48" t="n">
        <f aca="false">L95+P95*N95</f>
        <v>5518.83587266667</v>
      </c>
      <c r="T95" s="11" t="n">
        <f aca="false">Datos!M141</f>
        <v>10000</v>
      </c>
      <c r="U95" s="43" t="n">
        <f aca="false">IF(T95=0,0,S95/T95)</f>
        <v>0.551883587266667</v>
      </c>
      <c r="V95" s="11" t="str">
        <f aca="false">IFERROR(VLOOKUP(R95,Almacenes!$A$19:$I$32,9,FALSE()),"")</f>
        <v>Un estante por familia; obleas y estampillas (valores) en estante con candado.</v>
      </c>
      <c r="W95" s="11" t="s">
        <v>107</v>
      </c>
    </row>
    <row r="96" customFormat="false" ht="15" hidden="false" customHeight="true" outlineLevel="0" collapsed="false">
      <c r="A96" s="11" t="str">
        <f aca="false">Datos!A142</f>
        <v>P91</v>
      </c>
      <c r="B96" s="41" t="str">
        <f aca="false">Datos!C142</f>
        <v>MP-79</v>
      </c>
      <c r="C96" s="11" t="str">
        <f aca="false">Datos!B142</f>
        <v>Estampilla IRAM de conformidad</v>
      </c>
      <c r="D96" s="11" t="str">
        <f aca="false">Datos!F142</f>
        <v>u</v>
      </c>
      <c r="E96" s="11" t="str">
        <f aca="false">Datos!D142</f>
        <v>IRAM</v>
      </c>
      <c r="F96" s="47" t="n">
        <f aca="false">Datos!E142</f>
        <v>73983.687</v>
      </c>
      <c r="G96" s="51" t="n">
        <f aca="false">F96/DIAS_ANIO</f>
        <v>308.2653625</v>
      </c>
      <c r="H96" s="51" t="n">
        <f aca="false">G96*FAC_MAN</f>
        <v>332.9265915</v>
      </c>
      <c r="I96" s="11" t="n">
        <f aca="false">Datos!G142</f>
        <v>21</v>
      </c>
      <c r="J96" s="11" t="n">
        <f aca="false">Datos!H142</f>
        <v>21</v>
      </c>
      <c r="K96" s="47" t="n">
        <f aca="false">G96*(I96+J96)/2</f>
        <v>6473.5726125</v>
      </c>
      <c r="L96" s="47" t="n">
        <f aca="false">H96*J96-K96</f>
        <v>517.885809</v>
      </c>
      <c r="M96" s="11" t="str">
        <f aca="false">Datos!I142</f>
        <v>Paquete de 500 u</v>
      </c>
      <c r="N96" s="52" t="n">
        <f aca="false">Datos!J142</f>
        <v>500</v>
      </c>
      <c r="O96" s="52" t="n">
        <f aca="false">Datos!K142</f>
        <v>20</v>
      </c>
      <c r="P96" s="11" t="n">
        <f aca="false">MAX(1,ROUNDUP(H96*O96/N96,0))</f>
        <v>14</v>
      </c>
      <c r="Q96" s="43" t="n">
        <f aca="false">IF(P96*N96=0,0,F96/(P96*N96))</f>
        <v>10.5690981428571</v>
      </c>
      <c r="R96" s="11" t="s">
        <v>119</v>
      </c>
      <c r="S96" s="48" t="n">
        <f aca="false">L96+P96*N96</f>
        <v>7517.885809</v>
      </c>
      <c r="T96" s="11" t="n">
        <f aca="false">Datos!M142</f>
        <v>10000</v>
      </c>
      <c r="U96" s="43" t="n">
        <f aca="false">IF(T96=0,0,S96/T96)</f>
        <v>0.7517885809</v>
      </c>
      <c r="V96" s="11" t="str">
        <f aca="false">IFERROR(VLOOKUP(R96,Almacenes!$A$19:$I$32,9,FALSE()),"")</f>
        <v>Un estante por familia; obleas y estampillas (valores) en estante con candado.</v>
      </c>
      <c r="W96" s="11" t="s">
        <v>107</v>
      </c>
    </row>
    <row r="97" customFormat="false" ht="15" hidden="false" customHeight="true" outlineLevel="0" collapsed="false">
      <c r="A97" s="11" t="str">
        <f aca="false">Datos!A143</f>
        <v>P92</v>
      </c>
      <c r="B97" s="41" t="str">
        <f aca="false">Datos!C143</f>
        <v>MP-77</v>
      </c>
      <c r="C97" s="11" t="str">
        <f aca="false">Datos!B143</f>
        <v>Tarjeta de identificación AGC (CABA)</v>
      </c>
      <c r="D97" s="11" t="str">
        <f aca="false">Datos!F143</f>
        <v>u</v>
      </c>
      <c r="E97" s="11" t="str">
        <f aca="false">Datos!D143</f>
        <v>AGC (CABA)</v>
      </c>
      <c r="F97" s="47" t="n">
        <f aca="false">Datos!E143</f>
        <v>36556.377</v>
      </c>
      <c r="G97" s="51" t="n">
        <f aca="false">F97/DIAS_ANIO</f>
        <v>152.3182375</v>
      </c>
      <c r="H97" s="51" t="n">
        <f aca="false">G97*FAC_MAN</f>
        <v>164.5036965</v>
      </c>
      <c r="I97" s="11" t="n">
        <f aca="false">Datos!G143</f>
        <v>1</v>
      </c>
      <c r="J97" s="11" t="n">
        <f aca="false">Datos!H143</f>
        <v>1</v>
      </c>
      <c r="K97" s="47" t="n">
        <f aca="false">G97*(I97+J97)/2</f>
        <v>152.3182375</v>
      </c>
      <c r="L97" s="47" t="n">
        <f aca="false">H97*J97-K97</f>
        <v>12.185459</v>
      </c>
      <c r="M97" s="11" t="str">
        <f aca="false">Datos!I143</f>
        <v>Paquete de 500 u</v>
      </c>
      <c r="N97" s="52" t="n">
        <f aca="false">Datos!J143</f>
        <v>500</v>
      </c>
      <c r="O97" s="52" t="n">
        <f aca="false">Datos!K143</f>
        <v>20</v>
      </c>
      <c r="P97" s="11" t="n">
        <f aca="false">MAX(1,ROUNDUP(H97*O97/N97,0))</f>
        <v>7</v>
      </c>
      <c r="Q97" s="43" t="n">
        <f aca="false">IF(P97*N97=0,0,F97/(P97*N97))</f>
        <v>10.4446791428571</v>
      </c>
      <c r="R97" s="11" t="s">
        <v>119</v>
      </c>
      <c r="S97" s="48" t="n">
        <f aca="false">L97+P97*N97</f>
        <v>3512.185459</v>
      </c>
      <c r="T97" s="11" t="n">
        <f aca="false">Datos!M143</f>
        <v>10000</v>
      </c>
      <c r="U97" s="43" t="n">
        <f aca="false">IF(T97=0,0,S97/T97)</f>
        <v>0.3512185459</v>
      </c>
      <c r="V97" s="11" t="str">
        <f aca="false">IFERROR(VLOOKUP(R97,Almacenes!$A$19:$I$32,9,FALSE()),"")</f>
        <v>Un estante por familia; obleas y estampillas (valores) en estante con candado.</v>
      </c>
      <c r="W97" s="11" t="s">
        <v>107</v>
      </c>
    </row>
    <row r="98" customFormat="false" ht="15" hidden="false" customHeight="true" outlineLevel="0" collapsed="false">
      <c r="A98" s="11" t="str">
        <f aca="false">Datos!A144</f>
        <v>P93</v>
      </c>
      <c r="B98" s="41" t="str">
        <f aca="false">Datos!C144</f>
        <v>MP-80</v>
      </c>
      <c r="C98" s="11" t="str">
        <f aca="false">Datos!B144</f>
        <v>Etiqueta de n° de serie GS1</v>
      </c>
      <c r="D98" s="11" t="str">
        <f aca="false">Datos!F144</f>
        <v>u</v>
      </c>
      <c r="E98" s="11" t="str">
        <f aca="false">Datos!D144</f>
        <v>Rotolan (Lanús)</v>
      </c>
      <c r="F98" s="47" t="n">
        <f aca="false">Datos!E144</f>
        <v>73983.687</v>
      </c>
      <c r="G98" s="51" t="n">
        <f aca="false">F98/DIAS_ANIO</f>
        <v>308.2653625</v>
      </c>
      <c r="H98" s="51" t="n">
        <f aca="false">G98*FAC_MAN</f>
        <v>332.9265915</v>
      </c>
      <c r="I98" s="11" t="n">
        <f aca="false">Datos!G144</f>
        <v>3</v>
      </c>
      <c r="J98" s="11" t="n">
        <f aca="false">Datos!H144</f>
        <v>7</v>
      </c>
      <c r="K98" s="47" t="n">
        <f aca="false">G98*(I98+J98)/2</f>
        <v>1541.3268125</v>
      </c>
      <c r="L98" s="47" t="n">
        <f aca="false">H98*J98-K98</f>
        <v>789.159328</v>
      </c>
      <c r="M98" s="11" t="str">
        <f aca="false">Datos!I144</f>
        <v>Rollo de 1.000 u</v>
      </c>
      <c r="N98" s="52" t="n">
        <f aca="false">Datos!J144</f>
        <v>1000</v>
      </c>
      <c r="O98" s="52" t="n">
        <f aca="false">Datos!K144</f>
        <v>20</v>
      </c>
      <c r="P98" s="11" t="n">
        <f aca="false">MAX(1,ROUNDUP(H98*O98/N98,0))</f>
        <v>7</v>
      </c>
      <c r="Q98" s="43" t="n">
        <f aca="false">IF(P98*N98=0,0,F98/(P98*N98))</f>
        <v>10.5690981428571</v>
      </c>
      <c r="R98" s="11" t="s">
        <v>119</v>
      </c>
      <c r="S98" s="48" t="n">
        <f aca="false">L98+P98*N98</f>
        <v>7789.159328</v>
      </c>
      <c r="T98" s="11" t="n">
        <f aca="false">Datos!M144</f>
        <v>20000</v>
      </c>
      <c r="U98" s="43" t="n">
        <f aca="false">IF(T98=0,0,S98/T98)</f>
        <v>0.3894579664</v>
      </c>
      <c r="V98" s="11" t="str">
        <f aca="false">IFERROR(VLOOKUP(R98,Almacenes!$A$19:$I$32,9,FALSE()),"")</f>
        <v>Un estante por familia; obleas y estampillas (valores) en estante con candado.</v>
      </c>
      <c r="W98" s="11" t="s">
        <v>107</v>
      </c>
    </row>
    <row r="99" customFormat="false" ht="15" hidden="false" customHeight="true" outlineLevel="0" collapsed="false">
      <c r="A99" s="11" t="str">
        <f aca="false">Datos!A145</f>
        <v>P94</v>
      </c>
      <c r="B99" s="41" t="str">
        <f aca="false">Datos!C145</f>
        <v>MP-81</v>
      </c>
      <c r="C99" s="11" t="str">
        <f aca="false">Datos!B145</f>
        <v>Faja de garantía válvula-cuello</v>
      </c>
      <c r="D99" s="11" t="str">
        <f aca="false">Datos!F145</f>
        <v>u</v>
      </c>
      <c r="E99" s="11" t="str">
        <f aca="false">Datos!D145</f>
        <v>Rotolan (Lanús)</v>
      </c>
      <c r="F99" s="47" t="n">
        <f aca="false">Datos!E145</f>
        <v>73983.687</v>
      </c>
      <c r="G99" s="51" t="n">
        <f aca="false">F99/DIAS_ANIO</f>
        <v>308.2653625</v>
      </c>
      <c r="H99" s="51" t="n">
        <f aca="false">G99*FAC_MAN</f>
        <v>332.9265915</v>
      </c>
      <c r="I99" s="11" t="n">
        <f aca="false">Datos!G145</f>
        <v>3</v>
      </c>
      <c r="J99" s="11" t="n">
        <f aca="false">Datos!H145</f>
        <v>7</v>
      </c>
      <c r="K99" s="47" t="n">
        <f aca="false">G99*(I99+J99)/2</f>
        <v>1541.3268125</v>
      </c>
      <c r="L99" s="47" t="n">
        <f aca="false">H99*J99-K99</f>
        <v>789.159328</v>
      </c>
      <c r="M99" s="11" t="str">
        <f aca="false">Datos!I145</f>
        <v>Rollo de 1.000 u</v>
      </c>
      <c r="N99" s="52" t="n">
        <f aca="false">Datos!J145</f>
        <v>1000</v>
      </c>
      <c r="O99" s="52" t="n">
        <f aca="false">Datos!K145</f>
        <v>20</v>
      </c>
      <c r="P99" s="11" t="n">
        <f aca="false">MAX(1,ROUNDUP(H99*O99/N99,0))</f>
        <v>7</v>
      </c>
      <c r="Q99" s="43" t="n">
        <f aca="false">IF(P99*N99=0,0,F99/(P99*N99))</f>
        <v>10.5690981428571</v>
      </c>
      <c r="R99" s="11" t="s">
        <v>119</v>
      </c>
      <c r="S99" s="48" t="n">
        <f aca="false">L99+P99*N99</f>
        <v>7789.159328</v>
      </c>
      <c r="T99" s="11" t="n">
        <f aca="false">Datos!M145</f>
        <v>20000</v>
      </c>
      <c r="U99" s="43" t="n">
        <f aca="false">IF(T99=0,0,S99/T99)</f>
        <v>0.3894579664</v>
      </c>
      <c r="V99" s="11" t="str">
        <f aca="false">IFERROR(VLOOKUP(R99,Almacenes!$A$19:$I$32,9,FALSE()),"")</f>
        <v>Un estante por familia; obleas y estampillas (valores) en estante con candado.</v>
      </c>
      <c r="W99" s="11" t="s">
        <v>107</v>
      </c>
    </row>
    <row r="100" customFormat="false" ht="15" hidden="false" customHeight="true" outlineLevel="0" collapsed="false">
      <c r="A100" s="11" t="str">
        <f aca="false">Datos!A146</f>
        <v>P95</v>
      </c>
      <c r="B100" s="41" t="str">
        <f aca="false">Datos!C146</f>
        <v>MP-51</v>
      </c>
      <c r="C100" s="11" t="str">
        <f aca="false">Datos!B146</f>
        <v>Precinto de fábrica</v>
      </c>
      <c r="D100" s="11" t="str">
        <f aca="false">Datos!F146</f>
        <v>u</v>
      </c>
      <c r="E100" s="11" t="str">
        <f aca="false">Datos!D146</f>
        <v>SonFuertes</v>
      </c>
      <c r="F100" s="47" t="n">
        <f aca="false">Datos!E146</f>
        <v>73983.687</v>
      </c>
      <c r="G100" s="51" t="n">
        <f aca="false">F100/DIAS_ANIO</f>
        <v>308.2653625</v>
      </c>
      <c r="H100" s="51" t="n">
        <f aca="false">G100*FAC_MAN</f>
        <v>332.9265915</v>
      </c>
      <c r="I100" s="11" t="n">
        <f aca="false">Datos!G146</f>
        <v>3</v>
      </c>
      <c r="J100" s="11" t="n">
        <f aca="false">Datos!H146</f>
        <v>5</v>
      </c>
      <c r="K100" s="47" t="n">
        <f aca="false">G100*(I100+J100)/2</f>
        <v>1233.06145</v>
      </c>
      <c r="L100" s="47" t="n">
        <f aca="false">H100*J100-K100</f>
        <v>431.5715075</v>
      </c>
      <c r="M100" s="11" t="str">
        <f aca="false">Datos!I146</f>
        <v>Bolsa de 1.000 u</v>
      </c>
      <c r="N100" s="52" t="n">
        <f aca="false">Datos!J146</f>
        <v>1000</v>
      </c>
      <c r="O100" s="52" t="n">
        <f aca="false">Datos!K146</f>
        <v>20</v>
      </c>
      <c r="P100" s="11" t="n">
        <f aca="false">MAX(1,ROUNDUP(H100*O100/N100,0))</f>
        <v>7</v>
      </c>
      <c r="Q100" s="43" t="n">
        <f aca="false">IF(P100*N100=0,0,F100/(P100*N100))</f>
        <v>10.5690981428571</v>
      </c>
      <c r="R100" s="11" t="s">
        <v>119</v>
      </c>
      <c r="S100" s="48" t="n">
        <f aca="false">L100+P100*N100</f>
        <v>7431.5715075</v>
      </c>
      <c r="T100" s="11" t="n">
        <f aca="false">Datos!M146</f>
        <v>20000</v>
      </c>
      <c r="U100" s="43" t="n">
        <f aca="false">IF(T100=0,0,S100/T100)</f>
        <v>0.371578575375</v>
      </c>
      <c r="V100" s="11" t="str">
        <f aca="false">IFERROR(VLOOKUP(R100,Almacenes!$A$19:$I$32,9,FALSE()),"")</f>
        <v>Un estante por familia; obleas y estampillas (valores) en estante con candado.</v>
      </c>
      <c r="W100" s="11" t="s">
        <v>107</v>
      </c>
    </row>
    <row r="101" customFormat="false" ht="15" hidden="false" customHeight="true" outlineLevel="0" collapsed="false">
      <c r="A101" s="11" t="str">
        <f aca="false">Datos!A147</f>
        <v>P96</v>
      </c>
      <c r="B101" s="41" t="str">
        <f aca="false">Datos!C147</f>
        <v>MP-88</v>
      </c>
      <c r="C101" s="11" t="str">
        <f aca="false">Datos!B147</f>
        <v>Etiqueta del cilindro suelto</v>
      </c>
      <c r="D101" s="11" t="str">
        <f aca="false">Datos!F147</f>
        <v>u</v>
      </c>
      <c r="E101" s="11" t="str">
        <f aca="false">Datos!D147</f>
        <v>Rotolan (Lanús)</v>
      </c>
      <c r="F101" s="47" t="n">
        <f aca="false">Datos!E147</f>
        <v>213586.2</v>
      </c>
      <c r="G101" s="51" t="n">
        <f aca="false">F101/DIAS_ANIO</f>
        <v>889.9425</v>
      </c>
      <c r="H101" s="51" t="n">
        <f aca="false">G101*FAC_MAN</f>
        <v>961.1379</v>
      </c>
      <c r="I101" s="11" t="n">
        <f aca="false">Datos!G147</f>
        <v>3</v>
      </c>
      <c r="J101" s="11" t="n">
        <f aca="false">Datos!H147</f>
        <v>7</v>
      </c>
      <c r="K101" s="47" t="n">
        <f aca="false">G101*(I101+J101)/2</f>
        <v>4449.7125</v>
      </c>
      <c r="L101" s="47" t="n">
        <f aca="false">H101*J101-K101</f>
        <v>2278.2528</v>
      </c>
      <c r="M101" s="11" t="str">
        <f aca="false">Datos!I147</f>
        <v>Rollo de 1.000 u</v>
      </c>
      <c r="N101" s="52" t="n">
        <f aca="false">Datos!J147</f>
        <v>1000</v>
      </c>
      <c r="O101" s="52" t="n">
        <f aca="false">Datos!K147</f>
        <v>20</v>
      </c>
      <c r="P101" s="11" t="n">
        <f aca="false">MAX(1,ROUNDUP(H101*O101/N101,0))</f>
        <v>20</v>
      </c>
      <c r="Q101" s="43" t="n">
        <f aca="false">IF(P101*N101=0,0,F101/(P101*N101))</f>
        <v>10.67931</v>
      </c>
      <c r="R101" s="11" t="s">
        <v>119</v>
      </c>
      <c r="S101" s="48" t="n">
        <f aca="false">L101+P101*N101</f>
        <v>22278.2528</v>
      </c>
      <c r="T101" s="11" t="n">
        <f aca="false">Datos!M147</f>
        <v>20000</v>
      </c>
      <c r="U101" s="43" t="n">
        <f aca="false">IF(T101=0,0,S101/T101)</f>
        <v>1.11391264</v>
      </c>
      <c r="V101" s="11" t="str">
        <f aca="false">IFERROR(VLOOKUP(R101,Almacenes!$A$19:$I$32,9,FALSE()),"")</f>
        <v>Un estante por familia; obleas y estampillas (valores) en estante con candado.</v>
      </c>
      <c r="W101" s="11" t="s">
        <v>107</v>
      </c>
    </row>
    <row r="102" customFormat="false" ht="15" hidden="false" customHeight="true" outlineLevel="0" collapsed="false">
      <c r="A102" s="11" t="str">
        <f aca="false">Datos!A148</f>
        <v>P97</v>
      </c>
      <c r="B102" s="41" t="str">
        <f aca="false">Datos!C148</f>
        <v>MP-62/M22</v>
      </c>
      <c r="C102" s="11" t="str">
        <f aca="false">Datos!B148</f>
        <v>Tapón protector de rosca M22</v>
      </c>
      <c r="D102" s="11" t="str">
        <f aca="false">Datos!F148</f>
        <v>u</v>
      </c>
      <c r="E102" s="11" t="str">
        <f aca="false">Datos!D148</f>
        <v>ACPLIND (CABA)</v>
      </c>
      <c r="F102" s="47" t="n">
        <f aca="false">Datos!E148</f>
        <v>170548</v>
      </c>
      <c r="G102" s="51" t="n">
        <f aca="false">F102/DIAS_ANIO</f>
        <v>710.616666666667</v>
      </c>
      <c r="H102" s="51" t="n">
        <f aca="false">G102*FAC_MAN</f>
        <v>767.466</v>
      </c>
      <c r="I102" s="11" t="n">
        <f aca="false">Datos!G148</f>
        <v>3</v>
      </c>
      <c r="J102" s="11" t="n">
        <f aca="false">Datos!H148</f>
        <v>10</v>
      </c>
      <c r="K102" s="47" t="n">
        <f aca="false">G102*(I102+J102)/2</f>
        <v>4619.00833333333</v>
      </c>
      <c r="L102" s="47" t="n">
        <f aca="false">H102*J102-K102</f>
        <v>3055.65166666667</v>
      </c>
      <c r="M102" s="11" t="str">
        <f aca="false">Datos!I148</f>
        <v>Caja de 5.000 u</v>
      </c>
      <c r="N102" s="52" t="n">
        <f aca="false">Datos!J148</f>
        <v>5000</v>
      </c>
      <c r="O102" s="52" t="n">
        <f aca="false">Datos!K148</f>
        <v>20</v>
      </c>
      <c r="P102" s="11" t="n">
        <f aca="false">MAX(1,ROUNDUP(H102*O102/N102,0))</f>
        <v>4</v>
      </c>
      <c r="Q102" s="43" t="n">
        <f aca="false">IF(P102*N102=0,0,F102/(P102*N102))</f>
        <v>8.5274</v>
      </c>
      <c r="R102" s="11" t="s">
        <v>118</v>
      </c>
      <c r="S102" s="48" t="n">
        <f aca="false">L102+P102*N102</f>
        <v>23055.6516666667</v>
      </c>
      <c r="T102" s="11" t="n">
        <f aca="false">Datos!M148</f>
        <v>40000</v>
      </c>
      <c r="U102" s="43" t="n">
        <f aca="false">IF(T102=0,0,S102/T102)</f>
        <v>0.576391291666667</v>
      </c>
      <c r="V102" s="11" t="str">
        <f aca="false">IFERROR(VLOOKUP(R102,Almacenes!$A$19:$I$32,9,FALSE()),"")</f>
        <v>Abajo el pallet que se está usando, arriba la entrega de la semana. La pila de pallets de madera va en el piso.</v>
      </c>
      <c r="W102" s="11" t="s">
        <v>107</v>
      </c>
    </row>
    <row r="103" customFormat="false" ht="15" hidden="false" customHeight="true" outlineLevel="0" collapsed="false">
      <c r="A103" s="11" t="str">
        <f aca="false">Datos!A149</f>
        <v>P98</v>
      </c>
      <c r="B103" s="41" t="str">
        <f aca="false">Datos!C149</f>
        <v>MP-62/M30</v>
      </c>
      <c r="C103" s="11" t="str">
        <f aca="false">Datos!B149</f>
        <v>Tapón protector de rosca M30</v>
      </c>
      <c r="D103" s="11" t="str">
        <f aca="false">Datos!F149</f>
        <v>u</v>
      </c>
      <c r="E103" s="11" t="str">
        <f aca="false">Datos!D149</f>
        <v>ACPLIND (CABA)</v>
      </c>
      <c r="F103" s="47" t="n">
        <f aca="false">Datos!E149</f>
        <v>42779.64</v>
      </c>
      <c r="G103" s="51" t="n">
        <f aca="false">F103/DIAS_ANIO</f>
        <v>178.2485</v>
      </c>
      <c r="H103" s="51" t="n">
        <f aca="false">G103*FAC_MAN</f>
        <v>192.50838</v>
      </c>
      <c r="I103" s="11" t="n">
        <f aca="false">Datos!G149</f>
        <v>3</v>
      </c>
      <c r="J103" s="11" t="n">
        <f aca="false">Datos!H149</f>
        <v>10</v>
      </c>
      <c r="K103" s="47" t="n">
        <f aca="false">G103*(I103+J103)/2</f>
        <v>1158.61525</v>
      </c>
      <c r="L103" s="47" t="n">
        <f aca="false">H103*J103-K103</f>
        <v>766.46855</v>
      </c>
      <c r="M103" s="11" t="str">
        <f aca="false">Datos!I149</f>
        <v>Caja de 5.000 u</v>
      </c>
      <c r="N103" s="52" t="n">
        <f aca="false">Datos!J149</f>
        <v>5000</v>
      </c>
      <c r="O103" s="52" t="n">
        <f aca="false">Datos!K149</f>
        <v>20</v>
      </c>
      <c r="P103" s="11" t="n">
        <f aca="false">MAX(1,ROUNDUP(H103*O103/N103,0))</f>
        <v>1</v>
      </c>
      <c r="Q103" s="43" t="n">
        <f aca="false">IF(P103*N103=0,0,F103/(P103*N103))</f>
        <v>8.555928</v>
      </c>
      <c r="R103" s="11" t="s">
        <v>118</v>
      </c>
      <c r="S103" s="48" t="n">
        <f aca="false">L103+P103*N103</f>
        <v>5766.46855</v>
      </c>
      <c r="T103" s="11" t="n">
        <f aca="false">Datos!M149</f>
        <v>40000</v>
      </c>
      <c r="U103" s="43" t="n">
        <f aca="false">IF(T103=0,0,S103/T103)</f>
        <v>0.14416171375</v>
      </c>
      <c r="V103" s="11" t="str">
        <f aca="false">IFERROR(VLOOKUP(R103,Almacenes!$A$19:$I$32,9,FALSE()),"")</f>
        <v>Abajo el pallet que se está usando, arriba la entrega de la semana. La pila de pallets de madera va en el piso.</v>
      </c>
      <c r="W103" s="11" t="s">
        <v>107</v>
      </c>
    </row>
    <row r="104" customFormat="false" ht="15" hidden="false" customHeight="true" outlineLevel="0" collapsed="false">
      <c r="A104" s="11" t="str">
        <f aca="false">Datos!A150</f>
        <v>P99</v>
      </c>
      <c r="B104" s="41" t="str">
        <f aca="false">Datos!C150</f>
        <v>MP-62/2½</v>
      </c>
      <c r="C104" s="11" t="str">
        <f aca="false">Datos!B150</f>
        <v>Tapón protector de rosca 2½"</v>
      </c>
      <c r="D104" s="11" t="str">
        <f aca="false">Datos!F150</f>
        <v>u</v>
      </c>
      <c r="E104" s="11" t="str">
        <f aca="false">Datos!D150</f>
        <v>ACPLIND (CABA)</v>
      </c>
      <c r="F104" s="47" t="n">
        <f aca="false">Datos!E150</f>
        <v>258.56</v>
      </c>
      <c r="G104" s="51" t="n">
        <f aca="false">F104/DIAS_ANIO</f>
        <v>1.07733333333333</v>
      </c>
      <c r="H104" s="51" t="n">
        <f aca="false">G104*FAC_CAR</f>
        <v>1.16351999999251</v>
      </c>
      <c r="I104" s="11" t="n">
        <f aca="false">Datos!G150</f>
        <v>3</v>
      </c>
      <c r="J104" s="11" t="n">
        <f aca="false">Datos!H150</f>
        <v>10</v>
      </c>
      <c r="K104" s="47" t="n">
        <f aca="false">G104*(I104+J104)/2</f>
        <v>7.00266666666667</v>
      </c>
      <c r="L104" s="47" t="n">
        <f aca="false">H104*J104-K104</f>
        <v>4.63253333325844</v>
      </c>
      <c r="M104" s="11" t="str">
        <f aca="false">Datos!I150</f>
        <v>Bolsa de 250 u</v>
      </c>
      <c r="N104" s="52" t="n">
        <f aca="false">Datos!J150</f>
        <v>250</v>
      </c>
      <c r="O104" s="52" t="n">
        <f aca="false">Datos!K150</f>
        <v>60</v>
      </c>
      <c r="P104" s="11" t="n">
        <f aca="false">MAX(1,ROUNDUP(H104*O104/N104,0))</f>
        <v>1</v>
      </c>
      <c r="Q104" s="43" t="n">
        <f aca="false">IF(P104*N104=0,0,F104/(P104*N104))</f>
        <v>1.03424</v>
      </c>
      <c r="R104" s="11" t="s">
        <v>118</v>
      </c>
      <c r="S104" s="48" t="n">
        <f aca="false">L104+P104*N104</f>
        <v>254.632533333258</v>
      </c>
      <c r="T104" s="11" t="n">
        <f aca="false">Datos!M150</f>
        <v>40000</v>
      </c>
      <c r="U104" s="43" t="n">
        <f aca="false">IF(T104=0,0,S104/T104)</f>
        <v>0.00636581333333146</v>
      </c>
      <c r="V104" s="11" t="str">
        <f aca="false">IFERROR(VLOOKUP(R104,Almacenes!$A$19:$I$32,9,FALSE()),"")</f>
        <v>Abajo el pallet que se está usando, arriba la entrega de la semana. La pila de pallets de madera va en el piso.</v>
      </c>
      <c r="W104" s="11" t="s">
        <v>108</v>
      </c>
    </row>
    <row r="105" customFormat="false" ht="15" hidden="false" customHeight="true" outlineLevel="0" collapsed="false">
      <c r="A105" s="11" t="str">
        <f aca="false">Datos!A151</f>
        <v>P100</v>
      </c>
      <c r="B105" s="41" t="str">
        <f aca="false">Datos!C151</f>
        <v>MP-85</v>
      </c>
      <c r="C105" s="11" t="str">
        <f aca="false">Datos!B151</f>
        <v>Impresos (protocolo de ensayo, remito de préstamo)</v>
      </c>
      <c r="D105" s="11" t="str">
        <f aca="false">Datos!F151</f>
        <v>u</v>
      </c>
      <c r="E105" s="11" t="str">
        <f aca="false">Datos!D151</f>
        <v>Formas Visuales (Lanús)</v>
      </c>
      <c r="F105" s="47" t="n">
        <f aca="false">Datos!E151</f>
        <v>212433.026</v>
      </c>
      <c r="G105" s="51" t="n">
        <f aca="false">F105/DIAS_ANIO</f>
        <v>885.137608333333</v>
      </c>
      <c r="H105" s="51" t="n">
        <f aca="false">G105*MAX(FAC_MAN,FAC_REC)</f>
        <v>1080.77916267848</v>
      </c>
      <c r="I105" s="11" t="n">
        <f aca="false">Datos!G151</f>
        <v>1</v>
      </c>
      <c r="J105" s="11" t="n">
        <f aca="false">Datos!H151</f>
        <v>3</v>
      </c>
      <c r="K105" s="47" t="n">
        <f aca="false">G105*(I105+J105)/2</f>
        <v>1770.27521666667</v>
      </c>
      <c r="L105" s="47" t="n">
        <f aca="false">H105*J105-K105</f>
        <v>1472.06227136877</v>
      </c>
      <c r="M105" s="11" t="str">
        <f aca="false">Datos!I151</f>
        <v>Paquete de 500 u</v>
      </c>
      <c r="N105" s="52" t="n">
        <f aca="false">Datos!J151</f>
        <v>500</v>
      </c>
      <c r="O105" s="52" t="n">
        <f aca="false">Datos!K151</f>
        <v>20</v>
      </c>
      <c r="P105" s="11" t="n">
        <f aca="false">MAX(1,ROUNDUP(H105*O105/N105,0))</f>
        <v>44</v>
      </c>
      <c r="Q105" s="43" t="n">
        <f aca="false">IF(P105*N105=0,0,F105/(P105*N105))</f>
        <v>9.65604663636364</v>
      </c>
      <c r="R105" s="11" t="s">
        <v>119</v>
      </c>
      <c r="S105" s="48" t="n">
        <f aca="false">L105+P105*N105</f>
        <v>23472.0622713688</v>
      </c>
      <c r="T105" s="11" t="n">
        <f aca="false">Datos!M151</f>
        <v>10000</v>
      </c>
      <c r="U105" s="43" t="n">
        <f aca="false">IF(T105=0,0,S105/T105)</f>
        <v>2.34720622713688</v>
      </c>
      <c r="V105" s="11" t="str">
        <f aca="false">IFERROR(VLOOKUP(R105,Almacenes!$A$19:$I$32,9,FALSE()),"")</f>
        <v>Un estante por familia; obleas y estampillas (valores) en estante con candado.</v>
      </c>
      <c r="W105" s="11" t="s">
        <v>360</v>
      </c>
    </row>
    <row r="106" customFormat="false" ht="15" hidden="false" customHeight="true" outlineLevel="0" collapsed="false">
      <c r="A106" s="11" t="str">
        <f aca="false">Datos!A152</f>
        <v>P101</v>
      </c>
      <c r="B106" s="41" t="str">
        <f aca="false">Datos!C152</f>
        <v>MP-57</v>
      </c>
      <c r="C106" s="11" t="str">
        <f aca="false">Datos!B152</f>
        <v>Marbete del año</v>
      </c>
      <c r="D106" s="11" t="str">
        <f aca="false">Datos!F152</f>
        <v>u</v>
      </c>
      <c r="E106" s="11" t="str">
        <f aca="false">Datos!D152</f>
        <v>Rotolan (Lanús)</v>
      </c>
      <c r="F106" s="47" t="n">
        <f aca="false">Datos!E152</f>
        <v>107927.373</v>
      </c>
      <c r="G106" s="51" t="n">
        <f aca="false">F106/DIAS_ANIO</f>
        <v>449.6973875</v>
      </c>
      <c r="H106" s="51" t="n">
        <f aca="false">G106*FAC_REC</f>
        <v>549.093792134881</v>
      </c>
      <c r="I106" s="11" t="n">
        <f aca="false">Datos!G152</f>
        <v>3</v>
      </c>
      <c r="J106" s="11" t="n">
        <f aca="false">Datos!H152</f>
        <v>7</v>
      </c>
      <c r="K106" s="47" t="n">
        <f aca="false">G106*(I106+J106)/2</f>
        <v>2248.4869375</v>
      </c>
      <c r="L106" s="47" t="n">
        <f aca="false">H106*J106-K106</f>
        <v>1595.16960744417</v>
      </c>
      <c r="M106" s="11" t="str">
        <f aca="false">Datos!I152</f>
        <v>Paquete de 1.000 u</v>
      </c>
      <c r="N106" s="52" t="n">
        <f aca="false">Datos!J152</f>
        <v>1000</v>
      </c>
      <c r="O106" s="52" t="n">
        <f aca="false">Datos!K152</f>
        <v>20</v>
      </c>
      <c r="P106" s="11" t="n">
        <f aca="false">MAX(1,ROUNDUP(H106*O106/N106,0))</f>
        <v>11</v>
      </c>
      <c r="Q106" s="43" t="n">
        <f aca="false">IF(P106*N106=0,0,F106/(P106*N106))</f>
        <v>9.81157936363636</v>
      </c>
      <c r="R106" s="11" t="s">
        <v>121</v>
      </c>
      <c r="S106" s="48" t="n">
        <f aca="false">L106+P106*N106</f>
        <v>12595.1696074442</v>
      </c>
      <c r="T106" s="11" t="n">
        <f aca="false">Datos!M152</f>
        <v>20000</v>
      </c>
      <c r="U106" s="43" t="n">
        <f aca="false">IF(T106=0,0,S106/T106)</f>
        <v>0.629758480372208</v>
      </c>
      <c r="V106" s="11" t="str">
        <f aca="false">IFERROR(VLOOKUP(R106,Almacenes!$A$19:$I$32,9,FALSE()),"")</f>
        <v>Tambores de 200 L en el piso sobre pallet antiderrame; bidones en bandeja; cajas en los niveles.</v>
      </c>
      <c r="W106" s="11" t="s">
        <v>109</v>
      </c>
    </row>
    <row r="107" customFormat="false" ht="15" hidden="false" customHeight="true" outlineLevel="0" collapsed="false">
      <c r="A107" s="11" t="str">
        <f aca="false">Datos!A153</f>
        <v>P102</v>
      </c>
      <c r="B107" s="41" t="str">
        <f aca="false">Datos!C153</f>
        <v>MP-97</v>
      </c>
      <c r="C107" s="11" t="str">
        <f aca="false">Datos!B153</f>
        <v>Precinto del recargador</v>
      </c>
      <c r="D107" s="11" t="str">
        <f aca="false">Datos!F153</f>
        <v>u</v>
      </c>
      <c r="E107" s="11" t="str">
        <f aca="false">Datos!D153</f>
        <v>SonFuertes</v>
      </c>
      <c r="F107" s="47" t="n">
        <f aca="false">Datos!E153</f>
        <v>107927.373</v>
      </c>
      <c r="G107" s="51" t="n">
        <f aca="false">F107/DIAS_ANIO</f>
        <v>449.6973875</v>
      </c>
      <c r="H107" s="51" t="n">
        <f aca="false">G107*FAC_REC</f>
        <v>549.093792134881</v>
      </c>
      <c r="I107" s="11" t="n">
        <f aca="false">Datos!G153</f>
        <v>3</v>
      </c>
      <c r="J107" s="11" t="n">
        <f aca="false">Datos!H153</f>
        <v>5</v>
      </c>
      <c r="K107" s="47" t="n">
        <f aca="false">G107*(I107+J107)/2</f>
        <v>1798.78955</v>
      </c>
      <c r="L107" s="47" t="n">
        <f aca="false">H107*J107-K107</f>
        <v>946.679410674406</v>
      </c>
      <c r="M107" s="11" t="str">
        <f aca="false">Datos!I153</f>
        <v>Bolsa de 1.000 u</v>
      </c>
      <c r="N107" s="52" t="n">
        <f aca="false">Datos!J153</f>
        <v>1000</v>
      </c>
      <c r="O107" s="52" t="n">
        <f aca="false">Datos!K153</f>
        <v>20</v>
      </c>
      <c r="P107" s="11" t="n">
        <f aca="false">MAX(1,ROUNDUP(H107*O107/N107,0))</f>
        <v>11</v>
      </c>
      <c r="Q107" s="43" t="n">
        <f aca="false">IF(P107*N107=0,0,F107/(P107*N107))</f>
        <v>9.81157936363636</v>
      </c>
      <c r="R107" s="11" t="s">
        <v>121</v>
      </c>
      <c r="S107" s="48" t="n">
        <f aca="false">L107+P107*N107</f>
        <v>11946.6794106744</v>
      </c>
      <c r="T107" s="11" t="n">
        <f aca="false">Datos!M153</f>
        <v>20000</v>
      </c>
      <c r="U107" s="43" t="n">
        <f aca="false">IF(T107=0,0,S107/T107)</f>
        <v>0.59733397053372</v>
      </c>
      <c r="V107" s="11" t="str">
        <f aca="false">IFERROR(VLOOKUP(R107,Almacenes!$A$19:$I$32,9,FALSE()),"")</f>
        <v>Tambores de 200 L en el piso sobre pallet antiderrame; bidones en bandeja; cajas en los niveles.</v>
      </c>
      <c r="W107" s="11" t="s">
        <v>109</v>
      </c>
    </row>
    <row r="108" customFormat="false" ht="15" hidden="false" customHeight="true" outlineLevel="0" collapsed="false">
      <c r="A108" s="11" t="str">
        <f aca="false">Datos!A154</f>
        <v>P103</v>
      </c>
      <c r="B108" s="41" t="str">
        <f aca="false">Datos!C154</f>
        <v>MP-72</v>
      </c>
      <c r="C108" s="11" t="str">
        <f aca="false">Datos!B154</f>
        <v>Etiqueta de servicio</v>
      </c>
      <c r="D108" s="11" t="str">
        <f aca="false">Datos!F154</f>
        <v>u</v>
      </c>
      <c r="E108" s="11" t="str">
        <f aca="false">Datos!D154</f>
        <v>Rotolan (Lanús)</v>
      </c>
      <c r="F108" s="47" t="n">
        <f aca="false">Datos!E154</f>
        <v>107927.373</v>
      </c>
      <c r="G108" s="51" t="n">
        <f aca="false">F108/DIAS_ANIO</f>
        <v>449.6973875</v>
      </c>
      <c r="H108" s="51" t="n">
        <f aca="false">G108*FAC_REC</f>
        <v>549.093792134881</v>
      </c>
      <c r="I108" s="11" t="n">
        <f aca="false">Datos!G154</f>
        <v>3</v>
      </c>
      <c r="J108" s="11" t="n">
        <f aca="false">Datos!H154</f>
        <v>7</v>
      </c>
      <c r="K108" s="47" t="n">
        <f aca="false">G108*(I108+J108)/2</f>
        <v>2248.4869375</v>
      </c>
      <c r="L108" s="47" t="n">
        <f aca="false">H108*J108-K108</f>
        <v>1595.16960744417</v>
      </c>
      <c r="M108" s="11" t="str">
        <f aca="false">Datos!I154</f>
        <v>Rollo de 1.000 u</v>
      </c>
      <c r="N108" s="52" t="n">
        <f aca="false">Datos!J154</f>
        <v>1000</v>
      </c>
      <c r="O108" s="52" t="n">
        <f aca="false">Datos!K154</f>
        <v>20</v>
      </c>
      <c r="P108" s="11" t="n">
        <f aca="false">MAX(1,ROUNDUP(H108*O108/N108,0))</f>
        <v>11</v>
      </c>
      <c r="Q108" s="43" t="n">
        <f aca="false">IF(P108*N108=0,0,F108/(P108*N108))</f>
        <v>9.81157936363636</v>
      </c>
      <c r="R108" s="11" t="s">
        <v>121</v>
      </c>
      <c r="S108" s="48" t="n">
        <f aca="false">L108+P108*N108</f>
        <v>12595.1696074442</v>
      </c>
      <c r="T108" s="11" t="n">
        <f aca="false">Datos!M154</f>
        <v>20000</v>
      </c>
      <c r="U108" s="43" t="n">
        <f aca="false">IF(T108=0,0,S108/T108)</f>
        <v>0.629758480372208</v>
      </c>
      <c r="V108" s="11" t="str">
        <f aca="false">IFERROR(VLOOKUP(R108,Almacenes!$A$19:$I$32,9,FALSE()),"")</f>
        <v>Tambores de 200 L en el piso sobre pallet antiderrame; bidones en bandeja; cajas en los niveles.</v>
      </c>
      <c r="W108" s="11" t="s">
        <v>109</v>
      </c>
    </row>
    <row r="109" customFormat="false" ht="15" hidden="false" customHeight="true" outlineLevel="0" collapsed="false">
      <c r="A109" s="11" t="str">
        <f aca="false">Datos!A155</f>
        <v>P104</v>
      </c>
      <c r="B109" s="41" t="str">
        <f aca="false">Datos!C155</f>
        <v>MP-75</v>
      </c>
      <c r="C109" s="11" t="str">
        <f aca="false">Datos!B155</f>
        <v>Estampilla y oblea de recarga (PBA)</v>
      </c>
      <c r="D109" s="11" t="str">
        <f aca="false">Datos!F155</f>
        <v>u</v>
      </c>
      <c r="E109" s="11" t="str">
        <f aca="false">Datos!D155</f>
        <v>DPS (PBA)</v>
      </c>
      <c r="F109" s="47" t="n">
        <f aca="false">Datos!E155</f>
        <v>85529.368</v>
      </c>
      <c r="G109" s="51" t="n">
        <f aca="false">F109/DIAS_ANIO</f>
        <v>356.372366666667</v>
      </c>
      <c r="H109" s="51" t="n">
        <f aca="false">G109*FAC_REC</f>
        <v>435.141185304489</v>
      </c>
      <c r="I109" s="11" t="n">
        <f aca="false">Datos!G155</f>
        <v>1</v>
      </c>
      <c r="J109" s="11" t="n">
        <f aca="false">Datos!H155</f>
        <v>1</v>
      </c>
      <c r="K109" s="47" t="n">
        <f aca="false">G109*(I109+J109)/2</f>
        <v>356.372366666667</v>
      </c>
      <c r="L109" s="47" t="n">
        <f aca="false">H109*J109-K109</f>
        <v>78.7688186378228</v>
      </c>
      <c r="M109" s="11" t="str">
        <f aca="false">Datos!I155</f>
        <v>Paquete de 500 u</v>
      </c>
      <c r="N109" s="52" t="n">
        <f aca="false">Datos!J155</f>
        <v>500</v>
      </c>
      <c r="O109" s="52" t="n">
        <f aca="false">Datos!K155</f>
        <v>20</v>
      </c>
      <c r="P109" s="11" t="n">
        <f aca="false">MAX(1,ROUNDUP(H109*O109/N109,0))</f>
        <v>18</v>
      </c>
      <c r="Q109" s="43" t="n">
        <f aca="false">IF(P109*N109=0,0,F109/(P109*N109))</f>
        <v>9.50326311111111</v>
      </c>
      <c r="R109" s="11" t="s">
        <v>121</v>
      </c>
      <c r="S109" s="48" t="n">
        <f aca="false">L109+P109*N109</f>
        <v>9078.76881863782</v>
      </c>
      <c r="T109" s="11" t="n">
        <f aca="false">Datos!M155</f>
        <v>10000</v>
      </c>
      <c r="U109" s="43" t="n">
        <f aca="false">IF(T109=0,0,S109/T109)</f>
        <v>0.907876881863782</v>
      </c>
      <c r="V109" s="11" t="str">
        <f aca="false">IFERROR(VLOOKUP(R109,Almacenes!$A$19:$I$32,9,FALSE()),"")</f>
        <v>Tambores de 200 L en el piso sobre pallet antiderrame; bidones en bandeja; cajas en los niveles.</v>
      </c>
      <c r="W109" s="11" t="s">
        <v>109</v>
      </c>
    </row>
    <row r="110" customFormat="false" ht="15" hidden="false" customHeight="true" outlineLevel="0" collapsed="false">
      <c r="A110" s="11" t="str">
        <f aca="false">Datos!A156</f>
        <v>P105</v>
      </c>
      <c r="B110" s="41" t="str">
        <f aca="false">Datos!C156</f>
        <v>MP-76</v>
      </c>
      <c r="C110" s="11" t="str">
        <f aca="false">Datos!B156</f>
        <v>Tarjeta de identificación DPS (PBA)</v>
      </c>
      <c r="D110" s="11" t="str">
        <f aca="false">Datos!F156</f>
        <v>u</v>
      </c>
      <c r="E110" s="11" t="str">
        <f aca="false">Datos!D156</f>
        <v>DPS (PBA)</v>
      </c>
      <c r="F110" s="47" t="n">
        <f aca="false">Datos!E156</f>
        <v>85529.368</v>
      </c>
      <c r="G110" s="51" t="n">
        <f aca="false">F110/DIAS_ANIO</f>
        <v>356.372366666667</v>
      </c>
      <c r="H110" s="51" t="n">
        <f aca="false">G110*FAC_REC</f>
        <v>435.141185304489</v>
      </c>
      <c r="I110" s="11" t="n">
        <f aca="false">Datos!G156</f>
        <v>1</v>
      </c>
      <c r="J110" s="11" t="n">
        <f aca="false">Datos!H156</f>
        <v>1</v>
      </c>
      <c r="K110" s="47" t="n">
        <f aca="false">G110*(I110+J110)/2</f>
        <v>356.372366666667</v>
      </c>
      <c r="L110" s="47" t="n">
        <f aca="false">H110*J110-K110</f>
        <v>78.7688186378228</v>
      </c>
      <c r="M110" s="11" t="str">
        <f aca="false">Datos!I156</f>
        <v>Paquete de 500 u</v>
      </c>
      <c r="N110" s="52" t="n">
        <f aca="false">Datos!J156</f>
        <v>500</v>
      </c>
      <c r="O110" s="52" t="n">
        <f aca="false">Datos!K156</f>
        <v>20</v>
      </c>
      <c r="P110" s="11" t="n">
        <f aca="false">MAX(1,ROUNDUP(H110*O110/N110,0))</f>
        <v>18</v>
      </c>
      <c r="Q110" s="43" t="n">
        <f aca="false">IF(P110*N110=0,0,F110/(P110*N110))</f>
        <v>9.50326311111111</v>
      </c>
      <c r="R110" s="11" t="s">
        <v>121</v>
      </c>
      <c r="S110" s="48" t="n">
        <f aca="false">L110+P110*N110</f>
        <v>9078.76881863782</v>
      </c>
      <c r="T110" s="11" t="n">
        <f aca="false">Datos!M156</f>
        <v>10000</v>
      </c>
      <c r="U110" s="43" t="n">
        <f aca="false">IF(T110=0,0,S110/T110)</f>
        <v>0.907876881863782</v>
      </c>
      <c r="V110" s="11" t="str">
        <f aca="false">IFERROR(VLOOKUP(R110,Almacenes!$A$19:$I$32,9,FALSE()),"")</f>
        <v>Tambores de 200 L en el piso sobre pallet antiderrame; bidones en bandeja; cajas en los niveles.</v>
      </c>
      <c r="W110" s="11" t="s">
        <v>109</v>
      </c>
    </row>
    <row r="111" customFormat="false" ht="15" hidden="false" customHeight="true" outlineLevel="0" collapsed="false">
      <c r="A111" s="11" t="str">
        <f aca="false">Datos!A157</f>
        <v>P106</v>
      </c>
      <c r="B111" s="41" t="str">
        <f aca="false">Datos!C157</f>
        <v>MP-82</v>
      </c>
      <c r="C111" s="11" t="str">
        <f aca="false">Datos!B157</f>
        <v>Faja amarilla de sustituto</v>
      </c>
      <c r="D111" s="11" t="str">
        <f aca="false">Datos!F157</f>
        <v>u</v>
      </c>
      <c r="E111" s="11" t="str">
        <f aca="false">Datos!D157</f>
        <v>Rotolan (Lanús)</v>
      </c>
      <c r="F111" s="47" t="n">
        <f aca="false">Datos!E157</f>
        <v>139.466</v>
      </c>
      <c r="G111" s="51" t="n">
        <f aca="false">F111/DIAS_ANIO</f>
        <v>0.581108333333333</v>
      </c>
      <c r="H111" s="51" t="n">
        <f aca="false">G111*FAC_REC</f>
        <v>0.709550438273739</v>
      </c>
      <c r="I111" s="11" t="n">
        <f aca="false">Datos!G157</f>
        <v>3</v>
      </c>
      <c r="J111" s="11" t="n">
        <f aca="false">Datos!H157</f>
        <v>7</v>
      </c>
      <c r="K111" s="47" t="n">
        <f aca="false">G111*(I111+J111)/2</f>
        <v>2.90554166666667</v>
      </c>
      <c r="L111" s="47" t="n">
        <f aca="false">H111*J111-K111</f>
        <v>2.06131140124951</v>
      </c>
      <c r="M111" s="11" t="str">
        <f aca="false">Datos!I157</f>
        <v>Rollo de 100 u</v>
      </c>
      <c r="N111" s="52" t="n">
        <f aca="false">Datos!J157</f>
        <v>100</v>
      </c>
      <c r="O111" s="52" t="n">
        <f aca="false">Datos!K157</f>
        <v>60</v>
      </c>
      <c r="P111" s="11" t="n">
        <f aca="false">MAX(1,ROUNDUP(H111*O111/N111,0))</f>
        <v>1</v>
      </c>
      <c r="Q111" s="43" t="n">
        <f aca="false">IF(P111*N111=0,0,F111/(P111*N111))</f>
        <v>1.39466</v>
      </c>
      <c r="R111" s="11" t="s">
        <v>121</v>
      </c>
      <c r="S111" s="48" t="n">
        <f aca="false">L111+P111*N111</f>
        <v>102.06131140125</v>
      </c>
      <c r="T111" s="11" t="n">
        <f aca="false">Datos!M157</f>
        <v>20000</v>
      </c>
      <c r="U111" s="43" t="n">
        <f aca="false">IF(T111=0,0,S111/T111)</f>
        <v>0.00510306557006248</v>
      </c>
      <c r="V111" s="11" t="str">
        <f aca="false">IFERROR(VLOOKUP(R111,Almacenes!$A$19:$I$32,9,FALSE()),"")</f>
        <v>Tambores de 200 L en el piso sobre pallet antiderrame; bidones en bandeja; cajas en los niveles.</v>
      </c>
      <c r="W111" s="11" t="s">
        <v>109</v>
      </c>
    </row>
    <row r="112" customFormat="false" ht="15" hidden="false" customHeight="true" outlineLevel="0" collapsed="false">
      <c r="A112" s="11" t="str">
        <f aca="false">Datos!A158</f>
        <v>P107</v>
      </c>
      <c r="B112" s="41" t="str">
        <f aca="false">Datos!C158</f>
        <v>MP-83</v>
      </c>
      <c r="C112" s="11" t="str">
        <f aca="false">Datos!B158</f>
        <v>Tarjeta DPS «sustituto habilitado»</v>
      </c>
      <c r="D112" s="11" t="str">
        <f aca="false">Datos!F158</f>
        <v>u</v>
      </c>
      <c r="E112" s="11" t="str">
        <f aca="false">Datos!D158</f>
        <v>DPS (PBA)</v>
      </c>
      <c r="F112" s="47" t="n">
        <f aca="false">Datos!E158</f>
        <v>110.523</v>
      </c>
      <c r="G112" s="51" t="n">
        <f aca="false">F112/DIAS_ANIO</f>
        <v>0.4605125</v>
      </c>
      <c r="H112" s="51" t="n">
        <f aca="false">G112*FAC_REC</f>
        <v>0.562299363926179</v>
      </c>
      <c r="I112" s="11" t="n">
        <f aca="false">Datos!G158</f>
        <v>1</v>
      </c>
      <c r="J112" s="11" t="n">
        <f aca="false">Datos!H158</f>
        <v>1</v>
      </c>
      <c r="K112" s="47" t="n">
        <f aca="false">G112*(I112+J112)/2</f>
        <v>0.4605125</v>
      </c>
      <c r="L112" s="47" t="n">
        <f aca="false">H112*J112-K112</f>
        <v>0.101786863926179</v>
      </c>
      <c r="M112" s="11" t="str">
        <f aca="false">Datos!I158</f>
        <v>Paquete de 100 u</v>
      </c>
      <c r="N112" s="52" t="n">
        <f aca="false">Datos!J158</f>
        <v>100</v>
      </c>
      <c r="O112" s="52" t="n">
        <f aca="false">Datos!K158</f>
        <v>60</v>
      </c>
      <c r="P112" s="11" t="n">
        <f aca="false">MAX(1,ROUNDUP(H112*O112/N112,0))</f>
        <v>1</v>
      </c>
      <c r="Q112" s="43" t="n">
        <f aca="false">IF(P112*N112=0,0,F112/(P112*N112))</f>
        <v>1.10523</v>
      </c>
      <c r="R112" s="11" t="s">
        <v>121</v>
      </c>
      <c r="S112" s="48" t="n">
        <f aca="false">L112+P112*N112</f>
        <v>100.101786863926</v>
      </c>
      <c r="T112" s="11" t="n">
        <f aca="false">Datos!M158</f>
        <v>10000</v>
      </c>
      <c r="U112" s="43" t="n">
        <f aca="false">IF(T112=0,0,S112/T112)</f>
        <v>0.0100101786863926</v>
      </c>
      <c r="V112" s="11" t="str">
        <f aca="false">IFERROR(VLOOKUP(R112,Almacenes!$A$19:$I$32,9,FALSE()),"")</f>
        <v>Tambores de 200 L en el piso sobre pallet antiderrame; bidones en bandeja; cajas en los niveles.</v>
      </c>
      <c r="W112" s="11" t="s">
        <v>109</v>
      </c>
    </row>
    <row r="113" customFormat="false" ht="15" hidden="false" customHeight="true" outlineLevel="0" collapsed="false">
      <c r="A113" s="11" t="str">
        <f aca="false">Datos!A159</f>
        <v>P108</v>
      </c>
      <c r="B113" s="41" t="str">
        <f aca="false">Datos!C159</f>
        <v>MP-84</v>
      </c>
      <c r="C113" s="11" t="str">
        <f aca="false">Datos!B159</f>
        <v>Tarjeta AGC «es sustituto»</v>
      </c>
      <c r="D113" s="11" t="str">
        <f aca="false">Datos!F159</f>
        <v>u</v>
      </c>
      <c r="E113" s="11" t="str">
        <f aca="false">Datos!D159</f>
        <v>AGC (CABA)</v>
      </c>
      <c r="F113" s="47" t="n">
        <f aca="false">Datos!E159</f>
        <v>28.943</v>
      </c>
      <c r="G113" s="51" t="n">
        <f aca="false">F113/DIAS_ANIO</f>
        <v>0.120595833333333</v>
      </c>
      <c r="H113" s="51" t="n">
        <f aca="false">G113*FAC_REC</f>
        <v>0.14725107434756</v>
      </c>
      <c r="I113" s="11" t="n">
        <f aca="false">Datos!G159</f>
        <v>1</v>
      </c>
      <c r="J113" s="11" t="n">
        <f aca="false">Datos!H159</f>
        <v>1</v>
      </c>
      <c r="K113" s="47" t="n">
        <f aca="false">G113*(I113+J113)/2</f>
        <v>0.120595833333333</v>
      </c>
      <c r="L113" s="47" t="n">
        <f aca="false">H113*J113-K113</f>
        <v>0.0266552410142269</v>
      </c>
      <c r="M113" s="11" t="str">
        <f aca="false">Datos!I159</f>
        <v>Paquete de 50 u</v>
      </c>
      <c r="N113" s="52" t="n">
        <f aca="false">Datos!J159</f>
        <v>50</v>
      </c>
      <c r="O113" s="52" t="n">
        <f aca="false">Datos!K159</f>
        <v>60</v>
      </c>
      <c r="P113" s="11" t="n">
        <f aca="false">MAX(1,ROUNDUP(H113*O113/N113,0))</f>
        <v>1</v>
      </c>
      <c r="Q113" s="43" t="n">
        <f aca="false">IF(P113*N113=0,0,F113/(P113*N113))</f>
        <v>0.57886</v>
      </c>
      <c r="R113" s="11" t="s">
        <v>121</v>
      </c>
      <c r="S113" s="48" t="n">
        <f aca="false">L113+P113*N113</f>
        <v>50.0266552410142</v>
      </c>
      <c r="T113" s="11" t="n">
        <f aca="false">Datos!M159</f>
        <v>10000</v>
      </c>
      <c r="U113" s="43" t="n">
        <f aca="false">IF(T113=0,0,S113/T113)</f>
        <v>0.00500266552410142</v>
      </c>
      <c r="V113" s="11" t="str">
        <f aca="false">IFERROR(VLOOKUP(R113,Almacenes!$A$19:$I$32,9,FALSE()),"")</f>
        <v>Tambores de 200 L en el piso sobre pallet antiderrame; bidones en bandeja; cajas en los niveles.</v>
      </c>
      <c r="W113" s="11" t="s">
        <v>109</v>
      </c>
    </row>
    <row r="114" customFormat="false" ht="15" hidden="false" customHeight="true" outlineLevel="0" collapsed="false">
      <c r="A114" s="11" t="str">
        <f aca="false">Datos!A160</f>
        <v>P109</v>
      </c>
      <c r="B114" s="41" t="str">
        <f aca="false">Datos!C160</f>
        <v>MP-65</v>
      </c>
      <c r="C114" s="11" t="str">
        <f aca="false">Datos!B160</f>
        <v>Esmalte sintético rojo RAL 3000 (recargas)</v>
      </c>
      <c r="D114" s="11" t="str">
        <f aca="false">Datos!F160</f>
        <v>L</v>
      </c>
      <c r="E114" s="11" t="str">
        <f aca="false">Datos!D160</f>
        <v>Sinteplast</v>
      </c>
      <c r="F114" s="47" t="n">
        <f aca="false">Datos!E160</f>
        <v>276.796</v>
      </c>
      <c r="G114" s="51" t="n">
        <f aca="false">F114/DIAS_ANIO</f>
        <v>1.15331666666667</v>
      </c>
      <c r="H114" s="51" t="n">
        <f aca="false">G114*FAC_REC</f>
        <v>1.40823371368232</v>
      </c>
      <c r="I114" s="11" t="n">
        <f aca="false">Datos!G160</f>
        <v>2</v>
      </c>
      <c r="J114" s="11" t="n">
        <f aca="false">Datos!H160</f>
        <v>10</v>
      </c>
      <c r="K114" s="47" t="n">
        <f aca="false">G114*(I114+J114)/2</f>
        <v>6.9199</v>
      </c>
      <c r="L114" s="47" t="n">
        <f aca="false">H114*J114-K114</f>
        <v>7.16243713682316</v>
      </c>
      <c r="M114" s="11" t="str">
        <f aca="false">Datos!I160</f>
        <v>Lata de 4 L</v>
      </c>
      <c r="N114" s="52" t="n">
        <f aca="false">Datos!J160</f>
        <v>4</v>
      </c>
      <c r="O114" s="52" t="n">
        <f aca="false">Datos!K160</f>
        <v>20</v>
      </c>
      <c r="P114" s="11" t="n">
        <f aca="false">MAX(1,ROUNDUP(H114*O114/N114,0))</f>
        <v>8</v>
      </c>
      <c r="Q114" s="43" t="n">
        <f aca="false">IF(P114*N114=0,0,F114/(P114*N114))</f>
        <v>8.649875</v>
      </c>
      <c r="R114" s="11" t="s">
        <v>121</v>
      </c>
      <c r="S114" s="48" t="n">
        <f aca="false">L114+P114*N114</f>
        <v>39.1624371368232</v>
      </c>
      <c r="T114" s="11" t="n">
        <f aca="false">Datos!M160</f>
        <v>200</v>
      </c>
      <c r="U114" s="43" t="n">
        <f aca="false">IF(T114=0,0,S114/T114)</f>
        <v>0.195812185684116</v>
      </c>
      <c r="V114" s="11" t="str">
        <f aca="false">IFERROR(VLOOKUP(R114,Almacenes!$A$19:$I$32,9,FALSE()),"")</f>
        <v>Tambores de 200 L en el piso sobre pallet antiderrame; bidones en bandeja; cajas en los niveles.</v>
      </c>
      <c r="W114" s="11" t="s">
        <v>109</v>
      </c>
    </row>
    <row r="115" customFormat="false" ht="15" hidden="false" customHeight="true" outlineLevel="0" collapsed="false">
      <c r="A115" s="11" t="str">
        <f aca="false">Datos!A161</f>
        <v>P110</v>
      </c>
      <c r="B115" s="41" t="str">
        <f aca="false">Datos!C161</f>
        <v>MP-59/ABC1</v>
      </c>
      <c r="C115" s="11" t="str">
        <f aca="false">Datos!B161</f>
        <v>Caja de cartón simple ABC 1 kg</v>
      </c>
      <c r="D115" s="11" t="str">
        <f aca="false">Datos!F161</f>
        <v>u</v>
      </c>
      <c r="E115" s="11" t="str">
        <f aca="false">Datos!D161</f>
        <v>Sellerpack (Pompeya)</v>
      </c>
      <c r="F115" s="47" t="n">
        <f aca="false">Datos!E161</f>
        <v>202620.639</v>
      </c>
      <c r="G115" s="51" t="n">
        <f aca="false">F115/DIAS_ANIO</f>
        <v>844.2526625</v>
      </c>
      <c r="H115" s="51" t="n">
        <f aca="false">G115*FAC_MAN</f>
        <v>911.7928755</v>
      </c>
      <c r="I115" s="11" t="n">
        <f aca="false">Datos!G161</f>
        <v>10</v>
      </c>
      <c r="J115" s="11" t="n">
        <f aca="false">Datos!H161</f>
        <v>15</v>
      </c>
      <c r="K115" s="47" t="n">
        <f aca="false">G115*(I115+J115)/2</f>
        <v>10553.15828125</v>
      </c>
      <c r="L115" s="47" t="n">
        <f aca="false">H115*J115-K115</f>
        <v>3123.73485125</v>
      </c>
      <c r="M115" s="11" t="str">
        <f aca="false">Datos!I161</f>
        <v>Pallet de 600 cajas plegadas</v>
      </c>
      <c r="N115" s="52" t="n">
        <f aca="false">Datos!J161</f>
        <v>600</v>
      </c>
      <c r="O115" s="52" t="n">
        <f aca="false">Datos!K161</f>
        <v>5</v>
      </c>
      <c r="P115" s="11" t="n">
        <f aca="false">MAX(1,ROUNDUP(H115*O115/N115,0))</f>
        <v>8</v>
      </c>
      <c r="Q115" s="43" t="n">
        <f aca="false">IF(P115*N115=0,0,F115/(P115*N115))</f>
        <v>42.212633125</v>
      </c>
      <c r="R115" s="11" t="s">
        <v>118</v>
      </c>
      <c r="S115" s="48" t="n">
        <f aca="false">L115+P115*N115</f>
        <v>7923.73485125</v>
      </c>
      <c r="T115" s="11" t="n">
        <f aca="false">Datos!M161</f>
        <v>600</v>
      </c>
      <c r="U115" s="43" t="n">
        <f aca="false">IF(T115=0,0,S115/T115)</f>
        <v>13.2062247520833</v>
      </c>
      <c r="V115" s="11" t="str">
        <f aca="false">IFERROR(VLOOKUP(R115,Almacenes!$A$19:$I$32,9,FALSE()),"")</f>
        <v>Abajo el pallet que se está usando, arriba la entrega de la semana. La pila de pallets de madera va en el piso.</v>
      </c>
      <c r="W115" s="11" t="s">
        <v>107</v>
      </c>
    </row>
    <row r="116" customFormat="false" ht="15" hidden="false" customHeight="true" outlineLevel="0" collapsed="false">
      <c r="A116" s="11" t="str">
        <f aca="false">Datos!A162</f>
        <v>P111</v>
      </c>
      <c r="B116" s="41" t="str">
        <f aca="false">Datos!C162</f>
        <v>MP-59/ABC2.5</v>
      </c>
      <c r="C116" s="11" t="str">
        <f aca="false">Datos!B162</f>
        <v>Caja de cartón simple ABC 2,5 kg</v>
      </c>
      <c r="D116" s="11" t="str">
        <f aca="false">Datos!F162</f>
        <v>u</v>
      </c>
      <c r="E116" s="11" t="str">
        <f aca="false">Datos!D162</f>
        <v>Sellerpack (Pompeya)</v>
      </c>
      <c r="F116" s="47" t="n">
        <f aca="false">Datos!E162</f>
        <v>14126.338</v>
      </c>
      <c r="G116" s="51" t="n">
        <f aca="false">F116/DIAS_ANIO</f>
        <v>58.8597416666667</v>
      </c>
      <c r="H116" s="51" t="n">
        <f aca="false">G116*FAC_MAN</f>
        <v>63.568521</v>
      </c>
      <c r="I116" s="11" t="n">
        <f aca="false">Datos!G162</f>
        <v>10</v>
      </c>
      <c r="J116" s="11" t="n">
        <f aca="false">Datos!H162</f>
        <v>15</v>
      </c>
      <c r="K116" s="47" t="n">
        <f aca="false">G116*(I116+J116)/2</f>
        <v>735.746770833333</v>
      </c>
      <c r="L116" s="47" t="n">
        <f aca="false">H116*J116-K116</f>
        <v>217.781044166667</v>
      </c>
      <c r="M116" s="11" t="str">
        <f aca="false">Datos!I162</f>
        <v>Pallet de 600 cajas plegadas</v>
      </c>
      <c r="N116" s="52" t="n">
        <f aca="false">Datos!J162</f>
        <v>600</v>
      </c>
      <c r="O116" s="52" t="n">
        <f aca="false">Datos!K162</f>
        <v>5</v>
      </c>
      <c r="P116" s="11" t="n">
        <f aca="false">MAX(1,ROUNDUP(H116*O116/N116,0))</f>
        <v>1</v>
      </c>
      <c r="Q116" s="43" t="n">
        <f aca="false">IF(P116*N116=0,0,F116/(P116*N116))</f>
        <v>23.5438966666667</v>
      </c>
      <c r="R116" s="11" t="s">
        <v>118</v>
      </c>
      <c r="S116" s="48" t="n">
        <f aca="false">L116+P116*N116</f>
        <v>817.781044166667</v>
      </c>
      <c r="T116" s="11" t="n">
        <f aca="false">Datos!M162</f>
        <v>600</v>
      </c>
      <c r="U116" s="43" t="n">
        <f aca="false">IF(T116=0,0,S116/T116)</f>
        <v>1.36296840694444</v>
      </c>
      <c r="V116" s="11" t="str">
        <f aca="false">IFERROR(VLOOKUP(R116,Almacenes!$A$19:$I$32,9,FALSE()),"")</f>
        <v>Abajo el pallet que se está usando, arriba la entrega de la semana. La pila de pallets de madera va en el piso.</v>
      </c>
      <c r="W116" s="11" t="s">
        <v>107</v>
      </c>
    </row>
    <row r="117" customFormat="false" ht="15" hidden="false" customHeight="true" outlineLevel="0" collapsed="false">
      <c r="A117" s="11" t="str">
        <f aca="false">Datos!A163</f>
        <v>P112</v>
      </c>
      <c r="B117" s="41" t="str">
        <f aca="false">Datos!C163</f>
        <v>MP-59/ABC5</v>
      </c>
      <c r="C117" s="11" t="str">
        <f aca="false">Datos!B163</f>
        <v>Caja de cartón simple ABC 5 kg</v>
      </c>
      <c r="D117" s="11" t="str">
        <f aca="false">Datos!F163</f>
        <v>u</v>
      </c>
      <c r="E117" s="11" t="str">
        <f aca="false">Datos!D163</f>
        <v>Sellerpack (Pompeya)</v>
      </c>
      <c r="F117" s="47" t="n">
        <f aca="false">Datos!E163</f>
        <v>63852.659</v>
      </c>
      <c r="G117" s="51" t="n">
        <f aca="false">F117/DIAS_ANIO</f>
        <v>266.052745833333</v>
      </c>
      <c r="H117" s="51" t="n">
        <f aca="false">G117*FAC_MAN</f>
        <v>287.3369655</v>
      </c>
      <c r="I117" s="11" t="n">
        <f aca="false">Datos!G163</f>
        <v>10</v>
      </c>
      <c r="J117" s="11" t="n">
        <f aca="false">Datos!H163</f>
        <v>15</v>
      </c>
      <c r="K117" s="47" t="n">
        <f aca="false">G117*(I117+J117)/2</f>
        <v>3325.65932291667</v>
      </c>
      <c r="L117" s="47" t="n">
        <f aca="false">H117*J117-K117</f>
        <v>984.395159583334</v>
      </c>
      <c r="M117" s="11" t="str">
        <f aca="false">Datos!I163</f>
        <v>Pallet de 600 cajas plegadas</v>
      </c>
      <c r="N117" s="52" t="n">
        <f aca="false">Datos!J163</f>
        <v>600</v>
      </c>
      <c r="O117" s="52" t="n">
        <f aca="false">Datos!K163</f>
        <v>5</v>
      </c>
      <c r="P117" s="11" t="n">
        <f aca="false">MAX(1,ROUNDUP(H117*O117/N117,0))</f>
        <v>3</v>
      </c>
      <c r="Q117" s="43" t="n">
        <f aca="false">IF(P117*N117=0,0,F117/(P117*N117))</f>
        <v>35.4736994444444</v>
      </c>
      <c r="R117" s="11" t="s">
        <v>118</v>
      </c>
      <c r="S117" s="48" t="n">
        <f aca="false">L117+P117*N117</f>
        <v>2784.39515958333</v>
      </c>
      <c r="T117" s="11" t="n">
        <f aca="false">Datos!M163</f>
        <v>600</v>
      </c>
      <c r="U117" s="43" t="n">
        <f aca="false">IF(T117=0,0,S117/T117)</f>
        <v>4.64065859930556</v>
      </c>
      <c r="V117" s="11" t="str">
        <f aca="false">IFERROR(VLOOKUP(R117,Almacenes!$A$19:$I$32,9,FALSE()),"")</f>
        <v>Abajo el pallet que se está usando, arriba la entrega de la semana. La pila de pallets de madera va en el piso.</v>
      </c>
      <c r="W117" s="11" t="s">
        <v>107</v>
      </c>
    </row>
    <row r="118" customFormat="false" ht="15" hidden="false" customHeight="true" outlineLevel="0" collapsed="false">
      <c r="A118" s="11" t="str">
        <f aca="false">Datos!A164</f>
        <v>P113</v>
      </c>
      <c r="B118" s="41" t="str">
        <f aca="false">Datos!C164</f>
        <v>MP-59/ABC10</v>
      </c>
      <c r="C118" s="11" t="str">
        <f aca="false">Datos!B164</f>
        <v>Caja de cartón doble ABC 10 kg</v>
      </c>
      <c r="D118" s="11" t="str">
        <f aca="false">Datos!F164</f>
        <v>u</v>
      </c>
      <c r="E118" s="11" t="str">
        <f aca="false">Datos!D164</f>
        <v>Sellerpack (Pompeya)</v>
      </c>
      <c r="F118" s="47" t="n">
        <f aca="false">Datos!E164</f>
        <v>3862.928</v>
      </c>
      <c r="G118" s="51" t="n">
        <f aca="false">F118/DIAS_ANIO</f>
        <v>16.0955333333333</v>
      </c>
      <c r="H118" s="51" t="n">
        <f aca="false">G118*FAC_MAN</f>
        <v>17.383176</v>
      </c>
      <c r="I118" s="11" t="n">
        <f aca="false">Datos!G164</f>
        <v>10</v>
      </c>
      <c r="J118" s="11" t="n">
        <f aca="false">Datos!H164</f>
        <v>15</v>
      </c>
      <c r="K118" s="47" t="n">
        <f aca="false">G118*(I118+J118)/2</f>
        <v>201.194166666667</v>
      </c>
      <c r="L118" s="47" t="n">
        <f aca="false">H118*J118-K118</f>
        <v>59.5534733333333</v>
      </c>
      <c r="M118" s="11" t="str">
        <f aca="false">Datos!I164</f>
        <v>Pallet de 600 cajas plegadas</v>
      </c>
      <c r="N118" s="52" t="n">
        <f aca="false">Datos!J164</f>
        <v>600</v>
      </c>
      <c r="O118" s="52" t="n">
        <f aca="false">Datos!K164</f>
        <v>5</v>
      </c>
      <c r="P118" s="11" t="n">
        <f aca="false">MAX(1,ROUNDUP(H118*O118/N118,0))</f>
        <v>1</v>
      </c>
      <c r="Q118" s="43" t="n">
        <f aca="false">IF(P118*N118=0,0,F118/(P118*N118))</f>
        <v>6.43821333333333</v>
      </c>
      <c r="R118" s="11" t="s">
        <v>118</v>
      </c>
      <c r="S118" s="48" t="n">
        <f aca="false">L118+P118*N118</f>
        <v>659.553473333333</v>
      </c>
      <c r="T118" s="11" t="n">
        <f aca="false">Datos!M164</f>
        <v>600</v>
      </c>
      <c r="U118" s="43" t="n">
        <f aca="false">IF(T118=0,0,S118/T118)</f>
        <v>1.09925578888889</v>
      </c>
      <c r="V118" s="11" t="str">
        <f aca="false">IFERROR(VLOOKUP(R118,Almacenes!$A$19:$I$32,9,FALSE()),"")</f>
        <v>Abajo el pallet que se está usando, arriba la entrega de la semana. La pila de pallets de madera va en el piso.</v>
      </c>
      <c r="W118" s="11" t="s">
        <v>107</v>
      </c>
    </row>
    <row r="119" customFormat="false" ht="15" hidden="false" customHeight="true" outlineLevel="0" collapsed="false">
      <c r="A119" s="11" t="str">
        <f aca="false">Datos!A165</f>
        <v>P114</v>
      </c>
      <c r="B119" s="41" t="str">
        <f aca="false">Datos!C165</f>
        <v>MP-89</v>
      </c>
      <c r="C119" s="11" t="str">
        <f aca="false">Datos!B165</f>
        <v>Etiqueta de caja</v>
      </c>
      <c r="D119" s="11" t="str">
        <f aca="false">Datos!F165</f>
        <v>u</v>
      </c>
      <c r="E119" s="11" t="str">
        <f aca="false">Datos!D165</f>
        <v>Rotolan (Lanús)</v>
      </c>
      <c r="F119" s="47" t="n">
        <f aca="false">Datos!E165</f>
        <v>284462.564</v>
      </c>
      <c r="G119" s="51" t="n">
        <f aca="false">F119/DIAS_ANIO</f>
        <v>1185.26068333333</v>
      </c>
      <c r="H119" s="51" t="n">
        <f aca="false">G119*FAC_MAN</f>
        <v>1280.081538</v>
      </c>
      <c r="I119" s="11" t="n">
        <f aca="false">Datos!G165</f>
        <v>3</v>
      </c>
      <c r="J119" s="11" t="n">
        <f aca="false">Datos!H165</f>
        <v>7</v>
      </c>
      <c r="K119" s="47" t="n">
        <f aca="false">G119*(I119+J119)/2</f>
        <v>5926.30341666667</v>
      </c>
      <c r="L119" s="47" t="n">
        <f aca="false">H119*J119-K119</f>
        <v>3034.26734933333</v>
      </c>
      <c r="M119" s="11" t="str">
        <f aca="false">Datos!I165</f>
        <v>Rollo de 1.000 u</v>
      </c>
      <c r="N119" s="52" t="n">
        <f aca="false">Datos!J165</f>
        <v>1000</v>
      </c>
      <c r="O119" s="52" t="n">
        <f aca="false">Datos!K165</f>
        <v>20</v>
      </c>
      <c r="P119" s="11" t="n">
        <f aca="false">MAX(1,ROUNDUP(H119*O119/N119,0))</f>
        <v>26</v>
      </c>
      <c r="Q119" s="43" t="n">
        <f aca="false">IF(P119*N119=0,0,F119/(P119*N119))</f>
        <v>10.9408678461538</v>
      </c>
      <c r="R119" s="11" t="s">
        <v>118</v>
      </c>
      <c r="S119" s="48" t="n">
        <f aca="false">L119+P119*N119</f>
        <v>29034.2673493333</v>
      </c>
      <c r="T119" s="11" t="n">
        <f aca="false">Datos!M165</f>
        <v>20000</v>
      </c>
      <c r="U119" s="43" t="n">
        <f aca="false">IF(T119=0,0,S119/T119)</f>
        <v>1.45171336746667</v>
      </c>
      <c r="V119" s="11" t="str">
        <f aca="false">IFERROR(VLOOKUP(R119,Almacenes!$A$19:$I$32,9,FALSE()),"")</f>
        <v>Abajo el pallet que se está usando, arriba la entrega de la semana. La pila de pallets de madera va en el piso.</v>
      </c>
      <c r="W119" s="11" t="s">
        <v>107</v>
      </c>
    </row>
    <row r="120" customFormat="false" ht="15" hidden="false" customHeight="true" outlineLevel="0" collapsed="false">
      <c r="A120" s="11" t="str">
        <f aca="false">Datos!A166</f>
        <v>P115</v>
      </c>
      <c r="B120" s="41" t="str">
        <f aca="false">Datos!C166</f>
        <v>MP-60</v>
      </c>
      <c r="C120" s="11" t="str">
        <f aca="false">Datos!B166</f>
        <v>Pallet de madera 1200 × 1000</v>
      </c>
      <c r="D120" s="11" t="str">
        <f aca="false">Datos!F166</f>
        <v>u</v>
      </c>
      <c r="E120" s="11" t="str">
        <f aca="false">Datos!D166</f>
        <v>IndusPallets</v>
      </c>
      <c r="F120" s="47" t="n">
        <f aca="false">Datos!E166</f>
        <v>1532.704</v>
      </c>
      <c r="G120" s="51" t="n">
        <f aca="false">F120/DIAS_ANIO</f>
        <v>6.38626666666667</v>
      </c>
      <c r="H120" s="51" t="n">
        <f aca="false">G120*FAC_MAN</f>
        <v>6.897168</v>
      </c>
      <c r="I120" s="11" t="n">
        <f aca="false">Datos!G166</f>
        <v>1</v>
      </c>
      <c r="J120" s="11" t="n">
        <f aca="false">Datos!H166</f>
        <v>3</v>
      </c>
      <c r="K120" s="47" t="n">
        <f aca="false">G120*(I120+J120)/2</f>
        <v>12.7725333333333</v>
      </c>
      <c r="L120" s="47" t="n">
        <f aca="false">H120*J120-K120</f>
        <v>7.91897066666667</v>
      </c>
      <c r="M120" s="11" t="str">
        <f aca="false">Datos!I166</f>
        <v>Pila de 15 pallets</v>
      </c>
      <c r="N120" s="52" t="n">
        <f aca="false">Datos!J166</f>
        <v>15</v>
      </c>
      <c r="O120" s="52" t="n">
        <f aca="false">Datos!K166</f>
        <v>5</v>
      </c>
      <c r="P120" s="11" t="n">
        <f aca="false">MAX(1,ROUNDUP(H120*O120/N120,0))</f>
        <v>3</v>
      </c>
      <c r="Q120" s="43" t="n">
        <f aca="false">IF(P120*N120=0,0,F120/(P120*N120))</f>
        <v>34.0600888888889</v>
      </c>
      <c r="R120" s="11" t="s">
        <v>118</v>
      </c>
      <c r="S120" s="48" t="n">
        <f aca="false">L120+P120*N120</f>
        <v>52.9189706666667</v>
      </c>
      <c r="T120" s="11" t="n">
        <f aca="false">Datos!M166</f>
        <v>15</v>
      </c>
      <c r="U120" s="43" t="n">
        <f aca="false">IF(T120=0,0,S120/T120)</f>
        <v>3.52793137777778</v>
      </c>
      <c r="V120" s="11" t="str">
        <f aca="false">IFERROR(VLOOKUP(R120,Almacenes!$A$19:$I$32,9,FALSE()),"")</f>
        <v>Abajo el pallet que se está usando, arriba la entrega de la semana. La pila de pallets de madera va en el piso.</v>
      </c>
      <c r="W120" s="11" t="s">
        <v>107</v>
      </c>
    </row>
    <row r="121" customFormat="false" ht="15" hidden="false" customHeight="true" outlineLevel="0" collapsed="false">
      <c r="A121" s="11" t="str">
        <f aca="false">Datos!A167</f>
        <v>P116</v>
      </c>
      <c r="B121" s="41" t="str">
        <f aca="false">Datos!C167</f>
        <v>MP-90</v>
      </c>
      <c r="C121" s="11" t="str">
        <f aca="false">Datos!B167</f>
        <v>Etiqueta de pallet</v>
      </c>
      <c r="D121" s="11" t="str">
        <f aca="false">Datos!F167</f>
        <v>u</v>
      </c>
      <c r="E121" s="11" t="str">
        <f aca="false">Datos!D167</f>
        <v>Rotolan (Lanús)</v>
      </c>
      <c r="F121" s="47" t="n">
        <f aca="false">Datos!E167</f>
        <v>1532.704</v>
      </c>
      <c r="G121" s="51" t="n">
        <f aca="false">F121/DIAS_ANIO</f>
        <v>6.38626666666667</v>
      </c>
      <c r="H121" s="51" t="n">
        <f aca="false">G121*FAC_MAN</f>
        <v>6.897168</v>
      </c>
      <c r="I121" s="11" t="n">
        <f aca="false">Datos!G167</f>
        <v>3</v>
      </c>
      <c r="J121" s="11" t="n">
        <f aca="false">Datos!H167</f>
        <v>7</v>
      </c>
      <c r="K121" s="47" t="n">
        <f aca="false">G121*(I121+J121)/2</f>
        <v>31.9313333333333</v>
      </c>
      <c r="L121" s="47" t="n">
        <f aca="false">H121*J121-K121</f>
        <v>16.3488426666667</v>
      </c>
      <c r="M121" s="11" t="str">
        <f aca="false">Datos!I167</f>
        <v>Rollo de 1.000 u</v>
      </c>
      <c r="N121" s="52" t="n">
        <f aca="false">Datos!J167</f>
        <v>1000</v>
      </c>
      <c r="O121" s="52" t="n">
        <f aca="false">Datos!K167</f>
        <v>20</v>
      </c>
      <c r="P121" s="11" t="n">
        <f aca="false">MAX(1,ROUNDUP(H121*O121/N121,0))</f>
        <v>1</v>
      </c>
      <c r="Q121" s="43" t="n">
        <f aca="false">IF(P121*N121=0,0,F121/(P121*N121))</f>
        <v>1.532704</v>
      </c>
      <c r="R121" s="11" t="s">
        <v>118</v>
      </c>
      <c r="S121" s="48" t="n">
        <f aca="false">L121+P121*N121</f>
        <v>1016.34884266667</v>
      </c>
      <c r="T121" s="11" t="n">
        <f aca="false">Datos!M167</f>
        <v>20000</v>
      </c>
      <c r="U121" s="43" t="n">
        <f aca="false">IF(T121=0,0,S121/T121)</f>
        <v>0.0508174421333333</v>
      </c>
      <c r="V121" s="11" t="str">
        <f aca="false">IFERROR(VLOOKUP(R121,Almacenes!$A$19:$I$32,9,FALSE()),"")</f>
        <v>Abajo el pallet que se está usando, arriba la entrega de la semana. La pila de pallets de madera va en el piso.</v>
      </c>
      <c r="W121" s="11" t="s">
        <v>107</v>
      </c>
    </row>
    <row r="122" customFormat="false" ht="15" hidden="false" customHeight="true" outlineLevel="0" collapsed="false">
      <c r="A122" s="11" t="str">
        <f aca="false">Datos!A168</f>
        <v>P117</v>
      </c>
      <c r="B122" s="41" t="str">
        <f aca="false">Datos!C168</f>
        <v>RV-AGUA_10l</v>
      </c>
      <c r="C122" s="11" t="str">
        <f aca="false">Datos!B168</f>
        <v>Matafuego Agua 10 l (reventa)</v>
      </c>
      <c r="D122" s="11" t="str">
        <f aca="false">Datos!F168</f>
        <v>u</v>
      </c>
      <c r="E122" s="11" t="str">
        <f aca="false">Datos!D168</f>
        <v>Maxiseguridad (Munro)</v>
      </c>
      <c r="F122" s="47" t="n">
        <f aca="false">Datos!E168</f>
        <v>2908.236</v>
      </c>
      <c r="G122" s="51" t="n">
        <f aca="false">F122/DIAS_ANIO</f>
        <v>12.11765</v>
      </c>
      <c r="H122" s="51" t="n">
        <f aca="false">Datos!P168</f>
        <v>15.995</v>
      </c>
      <c r="I122" s="11" t="n">
        <f aca="false">Datos!G168</f>
        <v>3</v>
      </c>
      <c r="J122" s="11" t="n">
        <f aca="false">Datos!H168</f>
        <v>7</v>
      </c>
      <c r="K122" s="47" t="n">
        <f aca="false">G122*(I122+J122)/2</f>
        <v>60.58825</v>
      </c>
      <c r="L122" s="47" t="n">
        <f aca="false">H122*J122-K122</f>
        <v>51.37675</v>
      </c>
      <c r="M122" s="11" t="str">
        <f aca="false">Datos!I168</f>
        <v>Unidad</v>
      </c>
      <c r="N122" s="52" t="n">
        <f aca="false">Datos!J168</f>
        <v>1</v>
      </c>
      <c r="O122" s="52" t="n">
        <f aca="false">Datos!K168</f>
        <v>20</v>
      </c>
      <c r="P122" s="11" t="n">
        <f aca="false">MAX(1,ROUNDUP(H122*O122/N122,0))</f>
        <v>320</v>
      </c>
      <c r="Q122" s="43" t="n">
        <f aca="false">IF(P122*N122=0,0,F122/(P122*N122))</f>
        <v>9.0882375</v>
      </c>
      <c r="R122" s="11" t="s">
        <v>668</v>
      </c>
      <c r="S122" s="48" t="n">
        <f aca="false">L122+P122*N122</f>
        <v>371.37675</v>
      </c>
      <c r="T122" s="11" t="n">
        <f aca="false">Datos!M168</f>
        <v>180</v>
      </c>
      <c r="U122" s="43" t="n">
        <f aca="false">IF(T122=0,0,S122/T122)</f>
        <v>2.06320416666667</v>
      </c>
      <c r="V122" s="11" t="str">
        <f aca="false">IFERROR(VLOOKUP(R122,Almacenes!$A$19:$I$32,9,FALSE()),"")</f>
        <v>En el almacén de producto terminado (Balanceo2035, Pulmones sección 6).</v>
      </c>
      <c r="W122" s="11" t="s">
        <v>669</v>
      </c>
    </row>
    <row r="123" customFormat="false" ht="15" hidden="false" customHeight="true" outlineLevel="0" collapsed="false">
      <c r="A123" s="11" t="str">
        <f aca="false">Datos!A169</f>
        <v>P118</v>
      </c>
      <c r="B123" s="41" t="str">
        <f aca="false">Datos!C169</f>
        <v>RV-AFFF_10l</v>
      </c>
      <c r="C123" s="11" t="str">
        <f aca="false">Datos!B169</f>
        <v>Matafuego AFFF 10 l (reventa)</v>
      </c>
      <c r="D123" s="11" t="str">
        <f aca="false">Datos!F169</f>
        <v>u</v>
      </c>
      <c r="E123" s="11" t="str">
        <f aca="false">Datos!D169</f>
        <v>Maxiseguridad (Munro)</v>
      </c>
      <c r="F123" s="47" t="n">
        <f aca="false">Datos!E169</f>
        <v>971.251</v>
      </c>
      <c r="G123" s="51" t="n">
        <f aca="false">F123/DIAS_ANIO</f>
        <v>4.04687916666667</v>
      </c>
      <c r="H123" s="51" t="n">
        <f aca="false">Datos!P169</f>
        <v>5.342</v>
      </c>
      <c r="I123" s="11" t="n">
        <f aca="false">Datos!G169</f>
        <v>3</v>
      </c>
      <c r="J123" s="11" t="n">
        <f aca="false">Datos!H169</f>
        <v>7</v>
      </c>
      <c r="K123" s="47" t="n">
        <f aca="false">G123*(I123+J123)/2</f>
        <v>20.2343958333333</v>
      </c>
      <c r="L123" s="47" t="n">
        <f aca="false">H123*J123-K123</f>
        <v>17.1596041666667</v>
      </c>
      <c r="M123" s="11" t="str">
        <f aca="false">Datos!I169</f>
        <v>Unidad</v>
      </c>
      <c r="N123" s="52" t="n">
        <f aca="false">Datos!J169</f>
        <v>1</v>
      </c>
      <c r="O123" s="52" t="n">
        <f aca="false">Datos!K169</f>
        <v>20</v>
      </c>
      <c r="P123" s="11" t="n">
        <f aca="false">MAX(1,ROUNDUP(H123*O123/N123,0))</f>
        <v>107</v>
      </c>
      <c r="Q123" s="43" t="n">
        <f aca="false">IF(P123*N123=0,0,F123/(P123*N123))</f>
        <v>9.07711214953271</v>
      </c>
      <c r="R123" s="11" t="s">
        <v>668</v>
      </c>
      <c r="S123" s="48" t="n">
        <f aca="false">L123+P123*N123</f>
        <v>124.159604166667</v>
      </c>
      <c r="T123" s="11" t="n">
        <f aca="false">Datos!M169</f>
        <v>180</v>
      </c>
      <c r="U123" s="43" t="n">
        <f aca="false">IF(T123=0,0,S123/T123)</f>
        <v>0.689775578703704</v>
      </c>
      <c r="V123" s="11" t="str">
        <f aca="false">IFERROR(VLOOKUP(R123,Almacenes!$A$19:$I$32,9,FALSE()),"")</f>
        <v>En el almacén de producto terminado (Balanceo2035, Pulmones sección 6).</v>
      </c>
      <c r="W123" s="11" t="s">
        <v>669</v>
      </c>
    </row>
    <row r="124" customFormat="false" ht="15" hidden="false" customHeight="true" outlineLevel="0" collapsed="false">
      <c r="A124" s="11" t="str">
        <f aca="false">Datos!A170</f>
        <v>P119</v>
      </c>
      <c r="B124" s="41" t="str">
        <f aca="false">Datos!C170</f>
        <v>RV-AFFF_50l</v>
      </c>
      <c r="C124" s="11" t="str">
        <f aca="false">Datos!B170</f>
        <v>Matafuego AFFF 50 l (reventa)</v>
      </c>
      <c r="D124" s="11" t="str">
        <f aca="false">Datos!F170</f>
        <v>u</v>
      </c>
      <c r="E124" s="11" t="str">
        <f aca="false">Datos!D170</f>
        <v>Maxiseguridad (Munro)</v>
      </c>
      <c r="F124" s="47" t="n">
        <f aca="false">Datos!E170</f>
        <v>416.16</v>
      </c>
      <c r="G124" s="51" t="n">
        <f aca="false">F124/DIAS_ANIO</f>
        <v>1.734</v>
      </c>
      <c r="H124" s="51" t="n">
        <f aca="false">Datos!P170</f>
        <v>1.873</v>
      </c>
      <c r="I124" s="11" t="n">
        <f aca="false">Datos!G170</f>
        <v>3</v>
      </c>
      <c r="J124" s="11" t="n">
        <f aca="false">Datos!H170</f>
        <v>7</v>
      </c>
      <c r="K124" s="47" t="n">
        <f aca="false">G124*(I124+J124)/2</f>
        <v>8.67</v>
      </c>
      <c r="L124" s="47" t="n">
        <f aca="false">H124*J124-K124</f>
        <v>4.441</v>
      </c>
      <c r="M124" s="11" t="str">
        <f aca="false">Datos!I170</f>
        <v>Unidad</v>
      </c>
      <c r="N124" s="52" t="n">
        <f aca="false">Datos!J170</f>
        <v>1</v>
      </c>
      <c r="O124" s="52" t="n">
        <f aca="false">Datos!K170</f>
        <v>20</v>
      </c>
      <c r="P124" s="11" t="n">
        <f aca="false">MAX(1,ROUNDUP(H124*O124/N124,0))</f>
        <v>38</v>
      </c>
      <c r="Q124" s="43" t="n">
        <f aca="false">IF(P124*N124=0,0,F124/(P124*N124))</f>
        <v>10.9515789473684</v>
      </c>
      <c r="R124" s="11" t="s">
        <v>668</v>
      </c>
      <c r="S124" s="48" t="n">
        <f aca="false">L124+P124*N124</f>
        <v>42.441</v>
      </c>
      <c r="T124" s="11" t="n">
        <f aca="false">Datos!M170</f>
        <v>60</v>
      </c>
      <c r="U124" s="43" t="n">
        <f aca="false">IF(T124=0,0,S124/T124)</f>
        <v>0.70735</v>
      </c>
      <c r="V124" s="11" t="str">
        <f aca="false">IFERROR(VLOOKUP(R124,Almacenes!$A$19:$I$32,9,FALSE()),"")</f>
        <v>En el almacén de producto terminado (Balanceo2035, Pulmones sección 6).</v>
      </c>
      <c r="W124" s="11" t="s">
        <v>669</v>
      </c>
    </row>
    <row r="125" customFormat="false" ht="15" hidden="false" customHeight="true" outlineLevel="0" collapsed="false">
      <c r="A125" s="11" t="str">
        <f aca="false">Datos!A171</f>
        <v>P120</v>
      </c>
      <c r="B125" s="41" t="str">
        <f aca="false">Datos!C171</f>
        <v>RV-BC_5kg</v>
      </c>
      <c r="C125" s="11" t="str">
        <f aca="false">Datos!B171</f>
        <v>Matafuego BC 5 kg (reventa)</v>
      </c>
      <c r="D125" s="11" t="str">
        <f aca="false">Datos!F171</f>
        <v>u</v>
      </c>
      <c r="E125" s="11" t="str">
        <f aca="false">Datos!D171</f>
        <v>Maxiseguridad (Munro)</v>
      </c>
      <c r="F125" s="47" t="n">
        <f aca="false">Datos!E171</f>
        <v>277.43</v>
      </c>
      <c r="G125" s="51" t="n">
        <f aca="false">F125/DIAS_ANIO</f>
        <v>1.15595833333333</v>
      </c>
      <c r="H125" s="51" t="n">
        <f aca="false">Datos!P171</f>
        <v>1.526</v>
      </c>
      <c r="I125" s="11" t="n">
        <f aca="false">Datos!G171</f>
        <v>3</v>
      </c>
      <c r="J125" s="11" t="n">
        <f aca="false">Datos!H171</f>
        <v>7</v>
      </c>
      <c r="K125" s="47" t="n">
        <f aca="false">G125*(I125+J125)/2</f>
        <v>5.77979166666667</v>
      </c>
      <c r="L125" s="47" t="n">
        <f aca="false">H125*J125-K125</f>
        <v>4.90220833333333</v>
      </c>
      <c r="M125" s="11" t="str">
        <f aca="false">Datos!I171</f>
        <v>Unidad</v>
      </c>
      <c r="N125" s="52" t="n">
        <f aca="false">Datos!J171</f>
        <v>1</v>
      </c>
      <c r="O125" s="52" t="n">
        <f aca="false">Datos!K171</f>
        <v>20</v>
      </c>
      <c r="P125" s="11" t="n">
        <f aca="false">MAX(1,ROUNDUP(H125*O125/N125,0))</f>
        <v>31</v>
      </c>
      <c r="Q125" s="43" t="n">
        <f aca="false">IF(P125*N125=0,0,F125/(P125*N125))</f>
        <v>8.94935483870968</v>
      </c>
      <c r="R125" s="11" t="s">
        <v>668</v>
      </c>
      <c r="S125" s="48" t="n">
        <f aca="false">L125+P125*N125</f>
        <v>35.9022083333333</v>
      </c>
      <c r="T125" s="11" t="n">
        <f aca="false">Datos!M171</f>
        <v>180</v>
      </c>
      <c r="U125" s="43" t="n">
        <f aca="false">IF(T125=0,0,S125/T125)</f>
        <v>0.199456712962963</v>
      </c>
      <c r="V125" s="11" t="str">
        <f aca="false">IFERROR(VLOOKUP(R125,Almacenes!$A$19:$I$32,9,FALSE()),"")</f>
        <v>En el almacén de producto terminado (Balanceo2035, Pulmones sección 6).</v>
      </c>
      <c r="W125" s="11" t="s">
        <v>669</v>
      </c>
    </row>
    <row r="126" customFormat="false" ht="15" hidden="false" customHeight="true" outlineLevel="0" collapsed="false">
      <c r="A126" s="11" t="str">
        <f aca="false">Datos!A172</f>
        <v>P121</v>
      </c>
      <c r="B126" s="41" t="str">
        <f aca="false">Datos!C172</f>
        <v>RV-SALESK_6l</v>
      </c>
      <c r="C126" s="11" t="str">
        <f aca="false">Datos!B172</f>
        <v>Matafuego Clase K 6 l (reventa)</v>
      </c>
      <c r="D126" s="11" t="str">
        <f aca="false">Datos!F172</f>
        <v>u</v>
      </c>
      <c r="E126" s="11" t="str">
        <f aca="false">Datos!D172</f>
        <v>Matafuegos Rodo</v>
      </c>
      <c r="F126" s="47" t="n">
        <f aca="false">Datos!E172</f>
        <v>1650.661</v>
      </c>
      <c r="G126" s="51" t="n">
        <f aca="false">F126/DIAS_ANIO</f>
        <v>6.87775416666667</v>
      </c>
      <c r="H126" s="51" t="n">
        <f aca="false">Datos!P172</f>
        <v>9.079</v>
      </c>
      <c r="I126" s="11" t="n">
        <f aca="false">Datos!G172</f>
        <v>1</v>
      </c>
      <c r="J126" s="11" t="n">
        <f aca="false">Datos!H172</f>
        <v>2</v>
      </c>
      <c r="K126" s="47" t="n">
        <f aca="false">G126*(I126+J126)/2</f>
        <v>10.31663125</v>
      </c>
      <c r="L126" s="47" t="n">
        <f aca="false">H126*J126-K126</f>
        <v>7.84136875</v>
      </c>
      <c r="M126" s="11" t="str">
        <f aca="false">Datos!I172</f>
        <v>Unidad</v>
      </c>
      <c r="N126" s="52" t="n">
        <f aca="false">Datos!J172</f>
        <v>1</v>
      </c>
      <c r="O126" s="52" t="n">
        <f aca="false">Datos!K172</f>
        <v>20</v>
      </c>
      <c r="P126" s="11" t="n">
        <f aca="false">MAX(1,ROUNDUP(H126*O126/N126,0))</f>
        <v>182</v>
      </c>
      <c r="Q126" s="43" t="n">
        <f aca="false">IF(P126*N126=0,0,F126/(P126*N126))</f>
        <v>9.06956593406594</v>
      </c>
      <c r="R126" s="11" t="s">
        <v>668</v>
      </c>
      <c r="S126" s="48" t="n">
        <f aca="false">L126+P126*N126</f>
        <v>189.84136875</v>
      </c>
      <c r="T126" s="11" t="n">
        <f aca="false">Datos!M172</f>
        <v>180</v>
      </c>
      <c r="U126" s="43" t="n">
        <f aca="false">IF(T126=0,0,S126/T126)</f>
        <v>1.05467427083333</v>
      </c>
      <c r="V126" s="11" t="str">
        <f aca="false">IFERROR(VLOOKUP(R126,Almacenes!$A$19:$I$32,9,FALSE()),"")</f>
        <v>En el almacén de producto terminado (Balanceo2035, Pulmones sección 6).</v>
      </c>
      <c r="W126" s="11" t="s">
        <v>669</v>
      </c>
    </row>
    <row r="127" customFormat="false" ht="15" hidden="false" customHeight="true" outlineLevel="0" collapsed="false">
      <c r="A127" s="11" t="str">
        <f aca="false">Datos!A173</f>
        <v>P122</v>
      </c>
      <c r="B127" s="41" t="str">
        <f aca="false">Datos!C173</f>
        <v>RV-CO2_2kg</v>
      </c>
      <c r="C127" s="11" t="str">
        <f aca="false">Datos!B173</f>
        <v>Matafuego CO₂ 2 kg (reventa)</v>
      </c>
      <c r="D127" s="11" t="str">
        <f aca="false">Datos!F173</f>
        <v>u</v>
      </c>
      <c r="E127" s="11" t="str">
        <f aca="false">Datos!D173</f>
        <v>Maxiseguridad (Munro)</v>
      </c>
      <c r="F127" s="47" t="n">
        <f aca="false">Datos!E173</f>
        <v>7005.277</v>
      </c>
      <c r="G127" s="51" t="n">
        <f aca="false">F127/DIAS_ANIO</f>
        <v>29.1886541666667</v>
      </c>
      <c r="H127" s="51" t="n">
        <f aca="false">Datos!P173</f>
        <v>38.529</v>
      </c>
      <c r="I127" s="11" t="n">
        <f aca="false">Datos!G173</f>
        <v>3</v>
      </c>
      <c r="J127" s="11" t="n">
        <f aca="false">Datos!H173</f>
        <v>7</v>
      </c>
      <c r="K127" s="47" t="n">
        <f aca="false">G127*(I127+J127)/2</f>
        <v>145.943270833333</v>
      </c>
      <c r="L127" s="47" t="n">
        <f aca="false">H127*J127-K127</f>
        <v>123.759729166667</v>
      </c>
      <c r="M127" s="11" t="str">
        <f aca="false">Datos!I173</f>
        <v>Unidad</v>
      </c>
      <c r="N127" s="52" t="n">
        <f aca="false">Datos!J173</f>
        <v>1</v>
      </c>
      <c r="O127" s="52" t="n">
        <f aca="false">Datos!K173</f>
        <v>20</v>
      </c>
      <c r="P127" s="11" t="n">
        <f aca="false">MAX(1,ROUNDUP(H127*O127/N127,0))</f>
        <v>771</v>
      </c>
      <c r="Q127" s="43" t="n">
        <f aca="false">IF(P127*N127=0,0,F127/(P127*N127))</f>
        <v>9.08596238651102</v>
      </c>
      <c r="R127" s="11" t="s">
        <v>668</v>
      </c>
      <c r="S127" s="48" t="n">
        <f aca="false">L127+P127*N127</f>
        <v>894.759729166667</v>
      </c>
      <c r="T127" s="11" t="n">
        <f aca="false">Datos!M173</f>
        <v>180</v>
      </c>
      <c r="U127" s="43" t="n">
        <f aca="false">IF(T127=0,0,S127/T127)</f>
        <v>4.97088738425926</v>
      </c>
      <c r="V127" s="11" t="str">
        <f aca="false">IFERROR(VLOOKUP(R127,Almacenes!$A$19:$I$32,9,FALSE()),"")</f>
        <v>En el almacén de producto terminado (Balanceo2035, Pulmones sección 6).</v>
      </c>
      <c r="W127" s="11" t="s">
        <v>669</v>
      </c>
    </row>
    <row r="128" customFormat="false" ht="15" hidden="false" customHeight="true" outlineLevel="0" collapsed="false">
      <c r="A128" s="11" t="str">
        <f aca="false">Datos!A174</f>
        <v>P123</v>
      </c>
      <c r="B128" s="41" t="str">
        <f aca="false">Datos!C174</f>
        <v>RV-CO2_5kg</v>
      </c>
      <c r="C128" s="11" t="str">
        <f aca="false">Datos!B174</f>
        <v>Matafuego CO₂ 5 kg (reventa)</v>
      </c>
      <c r="D128" s="11" t="str">
        <f aca="false">Datos!F174</f>
        <v>u</v>
      </c>
      <c r="E128" s="11" t="str">
        <f aca="false">Datos!D174</f>
        <v>Matafuegos Rodo</v>
      </c>
      <c r="F128" s="47" t="n">
        <f aca="false">Datos!E174</f>
        <v>3776.555</v>
      </c>
      <c r="G128" s="51" t="n">
        <f aca="false">F128/DIAS_ANIO</f>
        <v>15.7356458333333</v>
      </c>
      <c r="H128" s="51" t="n">
        <f aca="false">Datos!P174</f>
        <v>20.771</v>
      </c>
      <c r="I128" s="11" t="n">
        <f aca="false">Datos!G174</f>
        <v>1</v>
      </c>
      <c r="J128" s="11" t="n">
        <f aca="false">Datos!H174</f>
        <v>2</v>
      </c>
      <c r="K128" s="47" t="n">
        <f aca="false">G128*(I128+J128)/2</f>
        <v>23.60346875</v>
      </c>
      <c r="L128" s="47" t="n">
        <f aca="false">H128*J128-K128</f>
        <v>17.93853125</v>
      </c>
      <c r="M128" s="11" t="str">
        <f aca="false">Datos!I174</f>
        <v>Unidad</v>
      </c>
      <c r="N128" s="52" t="n">
        <f aca="false">Datos!J174</f>
        <v>1</v>
      </c>
      <c r="O128" s="52" t="n">
        <f aca="false">Datos!K174</f>
        <v>20</v>
      </c>
      <c r="P128" s="11" t="n">
        <f aca="false">MAX(1,ROUNDUP(H128*O128/N128,0))</f>
        <v>416</v>
      </c>
      <c r="Q128" s="43" t="n">
        <f aca="false">IF(P128*N128=0,0,F128/(P128*N128))</f>
        <v>9.07825721153846</v>
      </c>
      <c r="R128" s="11" t="s">
        <v>668</v>
      </c>
      <c r="S128" s="48" t="n">
        <f aca="false">L128+P128*N128</f>
        <v>433.93853125</v>
      </c>
      <c r="T128" s="11" t="n">
        <f aca="false">Datos!M174</f>
        <v>180</v>
      </c>
      <c r="U128" s="43" t="n">
        <f aca="false">IF(T128=0,0,S128/T128)</f>
        <v>2.41076961805556</v>
      </c>
      <c r="V128" s="11" t="str">
        <f aca="false">IFERROR(VLOOKUP(R128,Almacenes!$A$19:$I$32,9,FALSE()),"")</f>
        <v>En el almacén de producto terminado (Balanceo2035, Pulmones sección 6).</v>
      </c>
      <c r="W128" s="11" t="s">
        <v>669</v>
      </c>
    </row>
    <row r="129" customFormat="false" ht="15" hidden="false" customHeight="true" outlineLevel="0" collapsed="false">
      <c r="A129" s="11" t="str">
        <f aca="false">Datos!A175</f>
        <v>P124</v>
      </c>
      <c r="B129" s="41" t="str">
        <f aca="false">Datos!C175</f>
        <v>RV-HCFC-HFC_5kg</v>
      </c>
      <c r="C129" s="11" t="str">
        <f aca="false">Datos!B175</f>
        <v>Matafuego HCFC 5 kg (reventa)</v>
      </c>
      <c r="D129" s="11" t="str">
        <f aca="false">Datos!F175</f>
        <v>u</v>
      </c>
      <c r="E129" s="11" t="str">
        <f aca="false">Datos!D175</f>
        <v>Matafuegos Rodo</v>
      </c>
      <c r="F129" s="47" t="n">
        <f aca="false">Datos!E175</f>
        <v>744.135</v>
      </c>
      <c r="G129" s="51" t="n">
        <f aca="false">F129/DIAS_ANIO</f>
        <v>3.1005625</v>
      </c>
      <c r="H129" s="51" t="n">
        <f aca="false">Datos!P175</f>
        <v>4.093</v>
      </c>
      <c r="I129" s="11" t="n">
        <f aca="false">Datos!G175</f>
        <v>1</v>
      </c>
      <c r="J129" s="11" t="n">
        <f aca="false">Datos!H175</f>
        <v>2</v>
      </c>
      <c r="K129" s="47" t="n">
        <f aca="false">G129*(I129+J129)/2</f>
        <v>4.65084375</v>
      </c>
      <c r="L129" s="47" t="n">
        <f aca="false">H129*J129-K129</f>
        <v>3.53515625</v>
      </c>
      <c r="M129" s="11" t="str">
        <f aca="false">Datos!I175</f>
        <v>Unidad</v>
      </c>
      <c r="N129" s="52" t="n">
        <f aca="false">Datos!J175</f>
        <v>1</v>
      </c>
      <c r="O129" s="52" t="n">
        <f aca="false">Datos!K175</f>
        <v>20</v>
      </c>
      <c r="P129" s="11" t="n">
        <f aca="false">MAX(1,ROUNDUP(H129*O129/N129,0))</f>
        <v>82</v>
      </c>
      <c r="Q129" s="43" t="n">
        <f aca="false">IF(P129*N129=0,0,F129/(P129*N129))</f>
        <v>9.07481707317073</v>
      </c>
      <c r="R129" s="11" t="s">
        <v>668</v>
      </c>
      <c r="S129" s="48" t="n">
        <f aca="false">L129+P129*N129</f>
        <v>85.53515625</v>
      </c>
      <c r="T129" s="11" t="n">
        <f aca="false">Datos!M175</f>
        <v>180</v>
      </c>
      <c r="U129" s="43" t="n">
        <f aca="false">IF(T129=0,0,S129/T129)</f>
        <v>0.4751953125</v>
      </c>
      <c r="V129" s="11" t="str">
        <f aca="false">IFERROR(VLOOKUP(R129,Almacenes!$A$19:$I$32,9,FALSE()),"")</f>
        <v>En el almacén de producto terminado (Balanceo2035, Pulmones sección 6).</v>
      </c>
      <c r="W129" s="11" t="s">
        <v>669</v>
      </c>
    </row>
    <row r="130" customFormat="false" ht="15" hidden="false" customHeight="true" outlineLevel="0" collapsed="false">
      <c r="A130" s="11" t="str">
        <f aca="false">Datos!A176</f>
        <v>P125</v>
      </c>
      <c r="B130" s="41" t="str">
        <f aca="false">Datos!C176</f>
        <v>RV-CLASED_9l</v>
      </c>
      <c r="C130" s="11" t="str">
        <f aca="false">Datos!B176</f>
        <v>Matafuego Clase D 9 l (reventa)</v>
      </c>
      <c r="D130" s="11" t="str">
        <f aca="false">Datos!F176</f>
        <v>u</v>
      </c>
      <c r="E130" s="11" t="str">
        <f aca="false">Datos!D176</f>
        <v>Fabricante nacional</v>
      </c>
      <c r="F130" s="47" t="n">
        <f aca="false">Datos!E176</f>
        <v>277.704</v>
      </c>
      <c r="G130" s="51" t="n">
        <f aca="false">F130/DIAS_ANIO</f>
        <v>1.1571</v>
      </c>
      <c r="H130" s="51" t="n">
        <f aca="false">Datos!P176</f>
        <v>1.527</v>
      </c>
      <c r="I130" s="11" t="n">
        <f aca="false">Datos!G176</f>
        <v>3</v>
      </c>
      <c r="J130" s="11" t="n">
        <f aca="false">Datos!H176</f>
        <v>7</v>
      </c>
      <c r="K130" s="47" t="n">
        <f aca="false">G130*(I130+J130)/2</f>
        <v>5.7855</v>
      </c>
      <c r="L130" s="47" t="n">
        <f aca="false">H130*J130-K130</f>
        <v>4.9035</v>
      </c>
      <c r="M130" s="11" t="str">
        <f aca="false">Datos!I176</f>
        <v>Unidad</v>
      </c>
      <c r="N130" s="52" t="n">
        <f aca="false">Datos!J176</f>
        <v>1</v>
      </c>
      <c r="O130" s="52" t="n">
        <f aca="false">Datos!K176</f>
        <v>20</v>
      </c>
      <c r="P130" s="11" t="n">
        <f aca="false">MAX(1,ROUNDUP(H130*O130/N130,0))</f>
        <v>31</v>
      </c>
      <c r="Q130" s="43" t="n">
        <f aca="false">IF(P130*N130=0,0,F130/(P130*N130))</f>
        <v>8.9581935483871</v>
      </c>
      <c r="R130" s="11" t="s">
        <v>668</v>
      </c>
      <c r="S130" s="48" t="n">
        <f aca="false">L130+P130*N130</f>
        <v>35.9035</v>
      </c>
      <c r="T130" s="11" t="n">
        <f aca="false">Datos!M176</f>
        <v>180</v>
      </c>
      <c r="U130" s="43" t="n">
        <f aca="false">IF(T130=0,0,S130/T130)</f>
        <v>0.199463888888889</v>
      </c>
      <c r="V130" s="11" t="str">
        <f aca="false">IFERROR(VLOOKUP(R130,Almacenes!$A$19:$I$32,9,FALSE()),"")</f>
        <v>En el almacén de producto terminado (Balanceo2035, Pulmones sección 6).</v>
      </c>
      <c r="W130" s="11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30"/>
    <col collapsed="false" customWidth="true" hidden="false" outlineLevel="0" max="4" min="4" style="1" width="34"/>
    <col collapsed="false" customWidth="true" hidden="false" outlineLevel="0" max="8" min="5" style="1" width="10"/>
    <col collapsed="false" customWidth="true" hidden="false" outlineLevel="0" max="9" min="9" style="1" width="70"/>
  </cols>
  <sheetData>
    <row r="1" customFormat="false" ht="15" hidden="false" customHeight="true" outlineLevel="0" collapsed="false">
      <c r="A1" s="2" t="s">
        <v>1108</v>
      </c>
    </row>
    <row r="2" customFormat="false" ht="15" hidden="false" customHeight="true" outlineLevel="0" collapsed="false">
      <c r="A2" s="3" t="s">
        <v>1109</v>
      </c>
    </row>
    <row r="3" customFormat="false" ht="15" hidden="false" customHeight="true" outlineLevel="0" collapsed="false">
      <c r="A3" s="4" t="s">
        <v>1110</v>
      </c>
    </row>
    <row r="5" customFormat="false" ht="15" hidden="false" customHeight="true" outlineLevel="0" collapsed="false">
      <c r="A5" s="5" t="s">
        <v>1111</v>
      </c>
      <c r="B5" s="6"/>
      <c r="C5" s="6"/>
      <c r="D5" s="6"/>
      <c r="E5" s="6"/>
      <c r="F5" s="6"/>
      <c r="G5" s="6"/>
      <c r="H5" s="6"/>
      <c r="I5" s="6"/>
    </row>
    <row r="6" customFormat="false" ht="42" hidden="false" customHeight="true" outlineLevel="0" collapsed="false">
      <c r="A6" s="7" t="s">
        <v>1112</v>
      </c>
      <c r="B6" s="7" t="s">
        <v>996</v>
      </c>
      <c r="C6" s="7" t="s">
        <v>1113</v>
      </c>
      <c r="D6" s="7" t="s">
        <v>1114</v>
      </c>
      <c r="E6" s="7" t="s">
        <v>1115</v>
      </c>
      <c r="F6" s="7"/>
      <c r="G6" s="7"/>
      <c r="H6" s="7"/>
      <c r="I6" s="7" t="s">
        <v>1116</v>
      </c>
    </row>
    <row r="7" customFormat="false" ht="30" hidden="false" customHeight="true" outlineLevel="0" collapsed="false">
      <c r="A7" s="53" t="s">
        <v>1117</v>
      </c>
      <c r="B7" s="27" t="s">
        <v>1118</v>
      </c>
      <c r="C7" s="27" t="s">
        <v>1119</v>
      </c>
      <c r="D7" s="27" t="s">
        <v>1120</v>
      </c>
      <c r="E7" s="54" t="n">
        <v>1.23</v>
      </c>
      <c r="I7" s="27" t="s">
        <v>1121</v>
      </c>
    </row>
    <row r="8" customFormat="false" ht="30" hidden="false" customHeight="true" outlineLevel="0" collapsed="false">
      <c r="A8" s="53" t="s">
        <v>1122</v>
      </c>
      <c r="B8" s="27" t="s">
        <v>1123</v>
      </c>
      <c r="C8" s="27" t="s">
        <v>1124</v>
      </c>
      <c r="D8" s="27" t="s">
        <v>1125</v>
      </c>
      <c r="E8" s="54" t="n">
        <v>0.7</v>
      </c>
      <c r="I8" s="27" t="s">
        <v>1126</v>
      </c>
    </row>
    <row r="9" customFormat="false" ht="30" hidden="false" customHeight="true" outlineLevel="0" collapsed="false">
      <c r="A9" s="53" t="s">
        <v>1127</v>
      </c>
      <c r="B9" s="27" t="s">
        <v>1128</v>
      </c>
      <c r="C9" s="27" t="s">
        <v>1129</v>
      </c>
      <c r="D9" s="27" t="s">
        <v>1130</v>
      </c>
      <c r="E9" s="54" t="n">
        <v>0.8</v>
      </c>
      <c r="I9" s="27" t="s">
        <v>1131</v>
      </c>
    </row>
    <row r="10" customFormat="false" ht="30" hidden="false" customHeight="true" outlineLevel="0" collapsed="false">
      <c r="A10" s="53" t="s">
        <v>1132</v>
      </c>
      <c r="B10" s="27" t="s">
        <v>1133</v>
      </c>
      <c r="C10" s="27" t="s">
        <v>1124</v>
      </c>
      <c r="D10" s="27" t="s">
        <v>1134</v>
      </c>
      <c r="E10" s="54" t="n">
        <v>0.9</v>
      </c>
      <c r="I10" s="27" t="s">
        <v>1135</v>
      </c>
    </row>
    <row r="11" customFormat="false" ht="30" hidden="false" customHeight="true" outlineLevel="0" collapsed="false">
      <c r="A11" s="53" t="s">
        <v>1136</v>
      </c>
      <c r="B11" s="27" t="s">
        <v>1137</v>
      </c>
      <c r="C11" s="27" t="s">
        <v>1138</v>
      </c>
      <c r="D11" s="27" t="s">
        <v>1139</v>
      </c>
      <c r="E11" s="54" t="n">
        <v>2</v>
      </c>
      <c r="I11" s="27" t="s">
        <v>1140</v>
      </c>
    </row>
    <row r="12" customFormat="false" ht="30" hidden="false" customHeight="true" outlineLevel="0" collapsed="false">
      <c r="A12" s="53" t="s">
        <v>1141</v>
      </c>
      <c r="B12" s="27" t="s">
        <v>1142</v>
      </c>
      <c r="C12" s="27" t="s">
        <v>1143</v>
      </c>
      <c r="D12" s="27" t="s">
        <v>1144</v>
      </c>
      <c r="E12" s="54" t="n">
        <v>0.5</v>
      </c>
      <c r="I12" s="27" t="s">
        <v>1145</v>
      </c>
    </row>
    <row r="13" customFormat="false" ht="30" hidden="false" customHeight="true" outlineLevel="0" collapsed="false">
      <c r="A13" s="53" t="s">
        <v>1146</v>
      </c>
      <c r="B13" s="27" t="s">
        <v>1147</v>
      </c>
      <c r="C13" s="27" t="s">
        <v>1148</v>
      </c>
      <c r="D13" s="27" t="s">
        <v>1149</v>
      </c>
      <c r="E13" s="55"/>
      <c r="I13" s="27" t="s">
        <v>1150</v>
      </c>
    </row>
    <row r="14" customFormat="false" ht="15" hidden="false" customHeight="true" outlineLevel="0" collapsed="false">
      <c r="A14" s="14" t="s">
        <v>1151</v>
      </c>
    </row>
    <row r="16" customFormat="false" ht="15" hidden="false" customHeight="true" outlineLevel="0" collapsed="false">
      <c r="A16" s="5" t="s">
        <v>1152</v>
      </c>
      <c r="B16" s="6"/>
      <c r="C16" s="6"/>
      <c r="D16" s="6"/>
      <c r="E16" s="6"/>
      <c r="F16" s="6"/>
      <c r="G16" s="6"/>
      <c r="H16" s="6"/>
      <c r="I16" s="6"/>
    </row>
    <row r="18" customFormat="false" ht="42" hidden="false" customHeight="true" outlineLevel="0" collapsed="false">
      <c r="A18" s="7" t="s">
        <v>111</v>
      </c>
      <c r="B18" s="7" t="s">
        <v>1153</v>
      </c>
      <c r="C18" s="7" t="s">
        <v>1154</v>
      </c>
      <c r="D18" s="7" t="s">
        <v>1155</v>
      </c>
      <c r="E18" s="7" t="s">
        <v>112</v>
      </c>
      <c r="F18" s="7" t="s">
        <v>1156</v>
      </c>
      <c r="G18" s="7" t="s">
        <v>113</v>
      </c>
      <c r="H18" s="7" t="s">
        <v>1157</v>
      </c>
      <c r="I18" s="7" t="s">
        <v>1158</v>
      </c>
    </row>
    <row r="19" customFormat="false" ht="48" hidden="false" customHeight="true" outlineLevel="0" collapsed="false">
      <c r="A19" s="41" t="s">
        <v>1106</v>
      </c>
      <c r="B19" s="27" t="s">
        <v>1159</v>
      </c>
      <c r="C19" s="27" t="s">
        <v>1160</v>
      </c>
      <c r="D19" s="27" t="s">
        <v>1161</v>
      </c>
      <c r="E19" s="43" t="n">
        <f aca="false">Chapa_fleje!K24</f>
        <v>7</v>
      </c>
      <c r="F19" s="43"/>
      <c r="G19" s="56" t="n">
        <f aca="false">Chapa_fleje!E29</f>
        <v>92.0636</v>
      </c>
      <c r="H19" s="43" t="n">
        <f aca="false">Datos!D37+Datos!D35</f>
        <v>101.16</v>
      </c>
      <c r="I19" s="27" t="s">
        <v>1162</v>
      </c>
    </row>
    <row r="20" customFormat="false" ht="48" hidden="false" customHeight="true" outlineLevel="0" collapsed="false">
      <c r="A20" s="41" t="s">
        <v>1107</v>
      </c>
      <c r="B20" s="27" t="s">
        <v>1163</v>
      </c>
      <c r="C20" s="27" t="s">
        <v>1164</v>
      </c>
      <c r="D20" s="27" t="s">
        <v>1165</v>
      </c>
      <c r="E20" s="43" t="n">
        <f aca="false">Chapa_fleje!G69</f>
        <v>16</v>
      </c>
      <c r="F20" s="43"/>
      <c r="G20" s="56" t="n">
        <f aca="false">Chapa_fleje!G72</f>
        <v>25.56</v>
      </c>
      <c r="H20" s="43" t="s">
        <v>1166</v>
      </c>
      <c r="I20" s="27" t="s">
        <v>1167</v>
      </c>
    </row>
    <row r="21" customFormat="false" ht="48" hidden="false" customHeight="true" outlineLevel="0" collapsed="false">
      <c r="A21" s="41" t="s">
        <v>115</v>
      </c>
      <c r="B21" s="27" t="s">
        <v>1140</v>
      </c>
      <c r="C21" s="27" t="s">
        <v>1168</v>
      </c>
      <c r="D21" s="27" t="s">
        <v>1169</v>
      </c>
      <c r="E21" s="43" t="n">
        <f aca="false">ROUNDUP(SUMIFS(Stock_MP!$U:$U,Stock_MP!$R:$R,A21),0)</f>
        <v>2</v>
      </c>
      <c r="F21" s="57" t="n">
        <v>2</v>
      </c>
      <c r="G21" s="56" t="n">
        <f aca="false">E21*F21</f>
        <v>4</v>
      </c>
      <c r="H21" s="43" t="n">
        <f aca="false">Datos!D36</f>
        <v>4</v>
      </c>
      <c r="I21" s="27" t="s">
        <v>1170</v>
      </c>
    </row>
    <row r="22" customFormat="false" ht="48" hidden="false" customHeight="true" outlineLevel="0" collapsed="false">
      <c r="A22" s="41" t="s">
        <v>117</v>
      </c>
      <c r="B22" s="27" t="s">
        <v>1171</v>
      </c>
      <c r="C22" s="27" t="s">
        <v>1160</v>
      </c>
      <c r="D22" s="27" t="s">
        <v>1172</v>
      </c>
      <c r="E22" s="43" t="n">
        <f aca="false">ROUNDUP(SUMIFS(Stock_MP!$U:$U,Stock_MP!$R:$R,A22),0)</f>
        <v>8</v>
      </c>
      <c r="F22" s="57" t="n">
        <v>1</v>
      </c>
      <c r="G22" s="56" t="n">
        <f aca="false">E22*F22</f>
        <v>8</v>
      </c>
      <c r="H22" s="43" t="n">
        <f aca="false">Datos!D38</f>
        <v>8</v>
      </c>
      <c r="I22" s="27" t="s">
        <v>1173</v>
      </c>
    </row>
    <row r="23" customFormat="false" ht="48" hidden="false" customHeight="true" outlineLevel="0" collapsed="false">
      <c r="A23" s="41" t="s">
        <v>118</v>
      </c>
      <c r="B23" s="27" t="s">
        <v>1174</v>
      </c>
      <c r="C23" s="27" t="s">
        <v>1175</v>
      </c>
      <c r="D23" s="27" t="s">
        <v>1176</v>
      </c>
      <c r="E23" s="43" t="n">
        <f aca="false">ROUNDUP(SUMIFS(Stock_MP!$U:$U,Stock_MP!$R:$R,A23),0)</f>
        <v>27</v>
      </c>
      <c r="F23" s="57" t="n">
        <v>1.23</v>
      </c>
      <c r="G23" s="56" t="n">
        <f aca="false">E23*F23</f>
        <v>33.21</v>
      </c>
      <c r="H23" s="43" t="n">
        <f aca="false">Datos!D39</f>
        <v>33.21</v>
      </c>
      <c r="I23" s="27" t="s">
        <v>1177</v>
      </c>
    </row>
    <row r="24" customFormat="false" ht="48" hidden="false" customHeight="true" outlineLevel="0" collapsed="false">
      <c r="A24" s="41" t="s">
        <v>119</v>
      </c>
      <c r="B24" s="27" t="s">
        <v>1178</v>
      </c>
      <c r="C24" s="27" t="s">
        <v>1179</v>
      </c>
      <c r="D24" s="27" t="s">
        <v>1180</v>
      </c>
      <c r="E24" s="43" t="n">
        <f aca="false">ROUNDUP(SUMIFS(Stock_MP!$U:$U,Stock_MP!$R:$R,A24),0)</f>
        <v>7</v>
      </c>
      <c r="F24" s="57" t="n">
        <v>0.5</v>
      </c>
      <c r="G24" s="56" t="n">
        <f aca="false">E24*F24</f>
        <v>3.5</v>
      </c>
      <c r="H24" s="43" t="n">
        <f aca="false">Datos!D40</f>
        <v>3.5</v>
      </c>
      <c r="I24" s="27" t="s">
        <v>1181</v>
      </c>
    </row>
    <row r="25" customFormat="false" ht="48" hidden="false" customHeight="true" outlineLevel="0" collapsed="false">
      <c r="A25" s="41" t="s">
        <v>120</v>
      </c>
      <c r="B25" s="27" t="s">
        <v>1182</v>
      </c>
      <c r="C25" s="27" t="s">
        <v>1183</v>
      </c>
      <c r="D25" s="27" t="s">
        <v>1184</v>
      </c>
      <c r="E25" s="43" t="n">
        <f aca="false">ROUNDUP(SUMIFS(Stock_MP!$U:$U,Stock_MP!$R:$R,A25),0)</f>
        <v>19</v>
      </c>
      <c r="F25" s="57" t="n">
        <v>1.23</v>
      </c>
      <c r="G25" s="56" t="n">
        <f aca="false">E25*F25</f>
        <v>23.37</v>
      </c>
      <c r="H25" s="43" t="n">
        <f aca="false">Datos!D41</f>
        <v>23.37</v>
      </c>
      <c r="I25" s="27" t="s">
        <v>1185</v>
      </c>
    </row>
    <row r="26" customFormat="false" ht="48" hidden="false" customHeight="true" outlineLevel="0" collapsed="false">
      <c r="A26" s="41" t="s">
        <v>121</v>
      </c>
      <c r="B26" s="27" t="s">
        <v>1186</v>
      </c>
      <c r="C26" s="27" t="s">
        <v>1183</v>
      </c>
      <c r="D26" s="27" t="s">
        <v>1187</v>
      </c>
      <c r="E26" s="43" t="n">
        <f aca="false">ROUNDUP(SUMIFS(Stock_MP!$U:$U,Stock_MP!$R:$R,A26),0)</f>
        <v>7</v>
      </c>
      <c r="F26" s="57" t="n">
        <v>1.23</v>
      </c>
      <c r="G26" s="56" t="n">
        <f aca="false">E26*F26</f>
        <v>8.61</v>
      </c>
      <c r="H26" s="43" t="n">
        <f aca="false">Datos!D42</f>
        <v>8.61</v>
      </c>
      <c r="I26" s="27" t="s">
        <v>1188</v>
      </c>
    </row>
    <row r="27" customFormat="false" ht="48" hidden="false" customHeight="true" outlineLevel="0" collapsed="false">
      <c r="A27" s="41" t="s">
        <v>122</v>
      </c>
      <c r="B27" s="27" t="s">
        <v>1189</v>
      </c>
      <c r="C27" s="27" t="s">
        <v>1183</v>
      </c>
      <c r="D27" s="27" t="s">
        <v>1190</v>
      </c>
      <c r="E27" s="43" t="n">
        <f aca="false">ROUNDUP(SUMIFS(Stock_MP!$U:$U,Stock_MP!$R:$R,A27),0)</f>
        <v>5</v>
      </c>
      <c r="F27" s="57" t="n">
        <v>1.23</v>
      </c>
      <c r="G27" s="56" t="n">
        <f aca="false">E27*F27</f>
        <v>6.15</v>
      </c>
      <c r="H27" s="43" t="n">
        <f aca="false">Datos!D43</f>
        <v>6.15</v>
      </c>
      <c r="I27" s="27" t="s">
        <v>1191</v>
      </c>
    </row>
    <row r="28" customFormat="false" ht="48" hidden="false" customHeight="true" outlineLevel="0" collapsed="false">
      <c r="A28" s="41" t="s">
        <v>123</v>
      </c>
      <c r="B28" s="27" t="s">
        <v>1192</v>
      </c>
      <c r="C28" s="27" t="s">
        <v>1193</v>
      </c>
      <c r="D28" s="27" t="s">
        <v>1194</v>
      </c>
      <c r="E28" s="43" t="n">
        <f aca="false">ROUNDUP(SUMIFS(Stock_MP!$U:$U,Stock_MP!$R:$R,A28),0)</f>
        <v>7</v>
      </c>
      <c r="F28" s="57" t="n">
        <v>1</v>
      </c>
      <c r="G28" s="56" t="n">
        <f aca="false">E28*F28</f>
        <v>7</v>
      </c>
      <c r="H28" s="43" t="n">
        <f aca="false">Datos!D44</f>
        <v>7</v>
      </c>
      <c r="I28" s="27" t="s">
        <v>1195</v>
      </c>
    </row>
    <row r="29" customFormat="false" ht="48" hidden="false" customHeight="true" outlineLevel="0" collapsed="false">
      <c r="A29" s="41" t="s">
        <v>124</v>
      </c>
      <c r="B29" s="27" t="s">
        <v>1196</v>
      </c>
      <c r="C29" s="27" t="s">
        <v>1164</v>
      </c>
      <c r="D29" s="27" t="s">
        <v>1197</v>
      </c>
      <c r="E29" s="43" t="n">
        <f aca="false">ROUNDUP(SUMIFS(Stock_MP!$U:$U,Stock_MP!$R:$R,A29),0)</f>
        <v>6</v>
      </c>
      <c r="F29" s="57" t="n">
        <v>0.73</v>
      </c>
      <c r="G29" s="56" t="n">
        <f aca="false">E29*F29</f>
        <v>4.38</v>
      </c>
      <c r="H29" s="43" t="n">
        <f aca="false">Datos!D45</f>
        <v>6.57</v>
      </c>
      <c r="I29" s="27" t="s">
        <v>1198</v>
      </c>
    </row>
    <row r="30" customFormat="false" ht="48" hidden="false" customHeight="true" outlineLevel="0" collapsed="false">
      <c r="A30" s="41" t="s">
        <v>125</v>
      </c>
      <c r="B30" s="27" t="s">
        <v>1199</v>
      </c>
      <c r="C30" s="27" t="s">
        <v>1175</v>
      </c>
      <c r="D30" s="27" t="s">
        <v>1200</v>
      </c>
      <c r="E30" s="43" t="n">
        <f aca="false">ROUNDUP(SUMIFS(Stock_MP!$U:$U,Stock_MP!$R:$R,A30),0)</f>
        <v>8</v>
      </c>
      <c r="F30" s="57" t="n">
        <v>0.74</v>
      </c>
      <c r="G30" s="56" t="n">
        <f aca="false">E30*F30</f>
        <v>5.92</v>
      </c>
      <c r="H30" s="43" t="n">
        <f aca="false">Datos!D46</f>
        <v>5.92</v>
      </c>
      <c r="I30" s="27" t="s">
        <v>1201</v>
      </c>
    </row>
    <row r="31" customFormat="false" ht="48" hidden="false" customHeight="true" outlineLevel="0" collapsed="false">
      <c r="A31" s="41" t="s">
        <v>668</v>
      </c>
      <c r="B31" s="27" t="s">
        <v>1202</v>
      </c>
      <c r="C31" s="27" t="s">
        <v>1203</v>
      </c>
      <c r="D31" s="27" t="s">
        <v>1204</v>
      </c>
      <c r="E31" s="43" t="s">
        <v>13</v>
      </c>
      <c r="F31" s="43"/>
      <c r="G31" s="56"/>
      <c r="H31" s="43"/>
      <c r="I31" s="27" t="s">
        <v>1205</v>
      </c>
    </row>
    <row r="33" customFormat="false" ht="15" hidden="false" customHeight="true" outlineLevel="0" collapsed="false">
      <c r="A33" s="17" t="s">
        <v>1206</v>
      </c>
      <c r="E33" s="35" t="n">
        <f aca="false">SUM(E19:E30)</f>
        <v>119</v>
      </c>
      <c r="G33" s="37" t="n">
        <f aca="false">SUM(G19:G30)</f>
        <v>221.7636</v>
      </c>
      <c r="H33" s="23" t="n">
        <f aca="false">SUM(H19:H30)</f>
        <v>207.49</v>
      </c>
    </row>
    <row r="34" customFormat="false" ht="15" hidden="false" customHeight="true" outlineLevel="0" collapsed="false">
      <c r="A34" s="14" t="s">
        <v>1207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70"/>
  </cols>
  <sheetData>
    <row r="1" customFormat="false" ht="15" hidden="false" customHeight="true" outlineLevel="0" collapsed="false">
      <c r="A1" s="2" t="s">
        <v>1208</v>
      </c>
    </row>
    <row r="2" customFormat="false" ht="15" hidden="false" customHeight="true" outlineLevel="0" collapsed="false">
      <c r="A2" s="3" t="s">
        <v>1209</v>
      </c>
    </row>
    <row r="3" customFormat="false" ht="15" hidden="false" customHeight="true" outlineLevel="0" collapsed="false">
      <c r="A3" s="4" t="s">
        <v>1210</v>
      </c>
    </row>
    <row r="6" customFormat="false" ht="42" hidden="false" customHeight="true" outlineLevel="0" collapsed="false">
      <c r="A6" s="7" t="s">
        <v>131</v>
      </c>
      <c r="B6" s="7" t="s">
        <v>1211</v>
      </c>
      <c r="C6" s="7" t="s">
        <v>1212</v>
      </c>
      <c r="D6" s="7" t="s">
        <v>1103</v>
      </c>
      <c r="E6" s="7" t="s">
        <v>1213</v>
      </c>
    </row>
    <row r="7" customFormat="false" ht="15" hidden="false" customHeight="true" outlineLevel="0" collapsed="false">
      <c r="A7" s="41" t="s">
        <v>145</v>
      </c>
      <c r="B7" s="11" t="n">
        <f aca="false">COUNTIF(Stock_MP!$E$6:$E$130,A7)</f>
        <v>1</v>
      </c>
      <c r="C7" s="52" t="n">
        <v>20</v>
      </c>
      <c r="D7" s="43" t="n">
        <f aca="false">DIAS_ANIO/C7</f>
        <v>12</v>
      </c>
      <c r="E7" s="11" t="s">
        <v>144</v>
      </c>
    </row>
    <row r="8" customFormat="false" ht="15" hidden="false" customHeight="true" outlineLevel="0" collapsed="false">
      <c r="A8" s="41" t="s">
        <v>152</v>
      </c>
      <c r="B8" s="11" t="n">
        <f aca="false">COUNTIF(Stock_MP!$E$6:$E$130,A8)</f>
        <v>7</v>
      </c>
      <c r="C8" s="52" t="n">
        <v>20</v>
      </c>
      <c r="D8" s="43" t="n">
        <f aca="false">DIAS_ANIO/C8</f>
        <v>12</v>
      </c>
      <c r="E8" s="11" t="s">
        <v>1214</v>
      </c>
    </row>
    <row r="9" customFormat="false" ht="15" hidden="false" customHeight="true" outlineLevel="0" collapsed="false">
      <c r="A9" s="41" t="s">
        <v>177</v>
      </c>
      <c r="B9" s="11" t="n">
        <f aca="false">COUNTIF(Stock_MP!$E$6:$E$130,A9)</f>
        <v>6</v>
      </c>
      <c r="C9" s="52" t="n">
        <v>10</v>
      </c>
      <c r="D9" s="43" t="n">
        <f aca="false">DIAS_ANIO/C9</f>
        <v>24</v>
      </c>
      <c r="E9" s="11" t="s">
        <v>1215</v>
      </c>
    </row>
    <row r="10" customFormat="false" ht="15" hidden="false" customHeight="true" outlineLevel="0" collapsed="false">
      <c r="A10" s="41" t="s">
        <v>215</v>
      </c>
      <c r="B10" s="11" t="n">
        <f aca="false">COUNTIF(Stock_MP!$E$6:$E$130,A10)</f>
        <v>3</v>
      </c>
      <c r="C10" s="11" t="n">
        <f aca="false">_xlfn.MINIFS(Stock_MP!$O$6:$O$130,Stock_MP!$E$6:$E$130,A10)</f>
        <v>20</v>
      </c>
      <c r="D10" s="43" t="n">
        <f aca="false">DIAS_ANIO/C10</f>
        <v>12</v>
      </c>
      <c r="E10" s="11" t="s">
        <v>1216</v>
      </c>
    </row>
    <row r="11" customFormat="false" ht="15" hidden="false" customHeight="true" outlineLevel="0" collapsed="false">
      <c r="A11" s="41" t="s">
        <v>227</v>
      </c>
      <c r="B11" s="11" t="n">
        <f aca="false">COUNTIF(Stock_MP!$E$6:$E$130,A11)</f>
        <v>4</v>
      </c>
      <c r="C11" s="11" t="n">
        <f aca="false">_xlfn.MINIFS(Stock_MP!$O$6:$O$130,Stock_MP!$E$6:$E$130,A11)</f>
        <v>20</v>
      </c>
      <c r="D11" s="43" t="n">
        <f aca="false">DIAS_ANIO/C11</f>
        <v>12</v>
      </c>
      <c r="E11" s="11" t="s">
        <v>1217</v>
      </c>
    </row>
    <row r="12" customFormat="false" ht="15" hidden="false" customHeight="true" outlineLevel="0" collapsed="false">
      <c r="A12" s="41" t="s">
        <v>248</v>
      </c>
      <c r="B12" s="11" t="n">
        <f aca="false">COUNTIF(Stock_MP!$E$6:$E$130,A12)</f>
        <v>2</v>
      </c>
      <c r="C12" s="11" t="n">
        <f aca="false">_xlfn.MINIFS(Stock_MP!$O$6:$O$130,Stock_MP!$E$6:$E$130,A12)</f>
        <v>20</v>
      </c>
      <c r="D12" s="43" t="n">
        <f aca="false">DIAS_ANIO/C12</f>
        <v>12</v>
      </c>
      <c r="E12" s="11" t="s">
        <v>1218</v>
      </c>
    </row>
    <row r="13" customFormat="false" ht="15" hidden="false" customHeight="true" outlineLevel="0" collapsed="false">
      <c r="A13" s="41" t="s">
        <v>259</v>
      </c>
      <c r="B13" s="11" t="n">
        <f aca="false">COUNTIF(Stock_MP!$E$6:$E$130,A13)</f>
        <v>2</v>
      </c>
      <c r="C13" s="11" t="n">
        <f aca="false">_xlfn.MINIFS(Stock_MP!$O$6:$O$130,Stock_MP!$E$6:$E$130,A13)</f>
        <v>20</v>
      </c>
      <c r="D13" s="43" t="n">
        <f aca="false">DIAS_ANIO/C13</f>
        <v>12</v>
      </c>
      <c r="E13" s="11" t="s">
        <v>1219</v>
      </c>
    </row>
    <row r="14" customFormat="false" ht="15" hidden="false" customHeight="true" outlineLevel="0" collapsed="false">
      <c r="A14" s="41" t="s">
        <v>270</v>
      </c>
      <c r="B14" s="11" t="n">
        <f aca="false">COUNTIF(Stock_MP!$E$6:$E$130,A14)</f>
        <v>8</v>
      </c>
      <c r="C14" s="11" t="n">
        <f aca="false">_xlfn.MINIFS(Stock_MP!$O$6:$O$130,Stock_MP!$E$6:$E$130,A14)</f>
        <v>20</v>
      </c>
      <c r="D14" s="43" t="n">
        <f aca="false">DIAS_ANIO/C14</f>
        <v>12</v>
      </c>
      <c r="E14" s="11" t="s">
        <v>1220</v>
      </c>
    </row>
    <row r="15" customFormat="false" ht="15" hidden="false" customHeight="true" outlineLevel="0" collapsed="false">
      <c r="A15" s="41" t="s">
        <v>280</v>
      </c>
      <c r="B15" s="11" t="n">
        <f aca="false">COUNTIF(Stock_MP!$E$6:$E$130,A15)</f>
        <v>2</v>
      </c>
      <c r="C15" s="11" t="n">
        <f aca="false">_xlfn.MINIFS(Stock_MP!$O$6:$O$130,Stock_MP!$E$6:$E$130,A15)</f>
        <v>20</v>
      </c>
      <c r="D15" s="43" t="n">
        <f aca="false">DIAS_ANIO/C15</f>
        <v>12</v>
      </c>
      <c r="E15" s="11" t="s">
        <v>1221</v>
      </c>
    </row>
    <row r="16" customFormat="false" ht="15" hidden="false" customHeight="true" outlineLevel="0" collapsed="false">
      <c r="A16" s="41" t="s">
        <v>290</v>
      </c>
      <c r="B16" s="11" t="n">
        <f aca="false">COUNTIF(Stock_MP!$E$6:$E$130,A16)</f>
        <v>1</v>
      </c>
      <c r="C16" s="11" t="n">
        <f aca="false">_xlfn.MINIFS(Stock_MP!$O$6:$O$130,Stock_MP!$E$6:$E$130,A16)</f>
        <v>20</v>
      </c>
      <c r="D16" s="43" t="n">
        <f aca="false">DIAS_ANIO/C16</f>
        <v>12</v>
      </c>
      <c r="E16" s="11" t="s">
        <v>289</v>
      </c>
    </row>
    <row r="17" customFormat="false" ht="15" hidden="false" customHeight="true" outlineLevel="0" collapsed="false">
      <c r="A17" s="41" t="s">
        <v>295</v>
      </c>
      <c r="B17" s="11" t="n">
        <f aca="false">COUNTIF(Stock_MP!$E$6:$E$130,A17)</f>
        <v>2</v>
      </c>
      <c r="C17" s="11" t="n">
        <f aca="false">_xlfn.MINIFS(Stock_MP!$O$6:$O$130,Stock_MP!$E$6:$E$130,A17)</f>
        <v>20</v>
      </c>
      <c r="D17" s="43" t="n">
        <f aca="false">DIAS_ANIO/C17</f>
        <v>12</v>
      </c>
      <c r="E17" s="11" t="s">
        <v>1222</v>
      </c>
    </row>
    <row r="18" customFormat="false" ht="15" hidden="false" customHeight="true" outlineLevel="0" collapsed="false">
      <c r="A18" s="41" t="s">
        <v>306</v>
      </c>
      <c r="B18" s="11" t="n">
        <f aca="false">COUNTIF(Stock_MP!$E$6:$E$130,A18)</f>
        <v>4</v>
      </c>
      <c r="C18" s="11" t="n">
        <f aca="false">_xlfn.MINIFS(Stock_MP!$O$6:$O$130,Stock_MP!$E$6:$E$130,A18)</f>
        <v>5</v>
      </c>
      <c r="D18" s="43" t="n">
        <f aca="false">DIAS_ANIO/C18</f>
        <v>48</v>
      </c>
      <c r="E18" s="11" t="s">
        <v>1223</v>
      </c>
    </row>
    <row r="19" customFormat="false" ht="15" hidden="false" customHeight="true" outlineLevel="0" collapsed="false">
      <c r="A19" s="41" t="s">
        <v>327</v>
      </c>
      <c r="B19" s="11" t="n">
        <f aca="false">COUNTIF(Stock_MP!$E$6:$E$130,A19)</f>
        <v>2</v>
      </c>
      <c r="C19" s="11" t="n">
        <f aca="false">_xlfn.MINIFS(Stock_MP!$O$6:$O$130,Stock_MP!$E$6:$E$130,A19)</f>
        <v>60</v>
      </c>
      <c r="D19" s="43" t="n">
        <f aca="false">DIAS_ANIO/C19</f>
        <v>4</v>
      </c>
      <c r="E19" s="11" t="s">
        <v>1224</v>
      </c>
    </row>
    <row r="20" customFormat="false" ht="15" hidden="false" customHeight="true" outlineLevel="0" collapsed="false">
      <c r="A20" s="41" t="s">
        <v>346</v>
      </c>
      <c r="B20" s="11" t="n">
        <f aca="false">COUNTIF(Stock_MP!$E$6:$E$130,A20)</f>
        <v>1</v>
      </c>
      <c r="C20" s="11" t="n">
        <f aca="false">_xlfn.MINIFS(Stock_MP!$O$6:$O$130,Stock_MP!$E$6:$E$130,A20)</f>
        <v>20</v>
      </c>
      <c r="D20" s="43" t="n">
        <f aca="false">DIAS_ANIO/C20</f>
        <v>12</v>
      </c>
      <c r="E20" s="11" t="s">
        <v>345</v>
      </c>
    </row>
    <row r="21" customFormat="false" ht="15" hidden="false" customHeight="true" outlineLevel="0" collapsed="false">
      <c r="A21" s="41" t="s">
        <v>352</v>
      </c>
      <c r="B21" s="11" t="n">
        <f aca="false">COUNTIF(Stock_MP!$E$6:$E$130,A21)</f>
        <v>2</v>
      </c>
      <c r="C21" s="11" t="n">
        <f aca="false">_xlfn.MINIFS(Stock_MP!$O$6:$O$130,Stock_MP!$E$6:$E$130,A21)</f>
        <v>20</v>
      </c>
      <c r="D21" s="43" t="n">
        <f aca="false">DIAS_ANIO/C21</f>
        <v>12</v>
      </c>
      <c r="E21" s="11" t="s">
        <v>1225</v>
      </c>
    </row>
    <row r="22" customFormat="false" ht="15" hidden="false" customHeight="true" outlineLevel="0" collapsed="false">
      <c r="A22" s="41" t="s">
        <v>358</v>
      </c>
      <c r="B22" s="11" t="n">
        <f aca="false">COUNTIF(Stock_MP!$E$6:$E$130,A22)</f>
        <v>3</v>
      </c>
      <c r="C22" s="11" t="n">
        <f aca="false">_xlfn.MINIFS(Stock_MP!$O$6:$O$130,Stock_MP!$E$6:$E$130,A22)</f>
        <v>5</v>
      </c>
      <c r="D22" s="43" t="n">
        <f aca="false">DIAS_ANIO/C22</f>
        <v>48</v>
      </c>
      <c r="E22" s="11" t="s">
        <v>1226</v>
      </c>
    </row>
    <row r="23" customFormat="false" ht="15" hidden="false" customHeight="true" outlineLevel="0" collapsed="false">
      <c r="A23" s="41" t="s">
        <v>375</v>
      </c>
      <c r="B23" s="11" t="n">
        <f aca="false">COUNTIF(Stock_MP!$E$6:$E$130,A23)</f>
        <v>3</v>
      </c>
      <c r="C23" s="11" t="n">
        <f aca="false">_xlfn.MINIFS(Stock_MP!$O$6:$O$130,Stock_MP!$E$6:$E$130,A23)</f>
        <v>20</v>
      </c>
      <c r="D23" s="43" t="n">
        <f aca="false">DIAS_ANIO/C23</f>
        <v>12</v>
      </c>
      <c r="E23" s="11" t="s">
        <v>1227</v>
      </c>
    </row>
    <row r="24" customFormat="false" ht="15" hidden="false" customHeight="true" outlineLevel="0" collapsed="false">
      <c r="A24" s="41" t="s">
        <v>390</v>
      </c>
      <c r="B24" s="11" t="n">
        <f aca="false">COUNTIF(Stock_MP!$E$6:$E$130,A24)</f>
        <v>1</v>
      </c>
      <c r="C24" s="11" t="n">
        <f aca="false">_xlfn.MINIFS(Stock_MP!$O$6:$O$130,Stock_MP!$E$6:$E$130,A24)</f>
        <v>20</v>
      </c>
      <c r="D24" s="43" t="n">
        <f aca="false">DIAS_ANIO/C24</f>
        <v>12</v>
      </c>
      <c r="E24" s="11" t="s">
        <v>389</v>
      </c>
    </row>
    <row r="25" customFormat="false" ht="15" hidden="false" customHeight="true" outlineLevel="0" collapsed="false">
      <c r="A25" s="41" t="s">
        <v>407</v>
      </c>
      <c r="B25" s="11" t="n">
        <f aca="false">COUNTIF(Stock_MP!$E$6:$E$130,A25)</f>
        <v>4</v>
      </c>
      <c r="C25" s="11" t="n">
        <f aca="false">_xlfn.MINIFS(Stock_MP!$O$6:$O$130,Stock_MP!$E$6:$E$130,A25)</f>
        <v>20</v>
      </c>
      <c r="D25" s="43" t="n">
        <f aca="false">DIAS_ANIO/C25</f>
        <v>12</v>
      </c>
      <c r="E25" s="11" t="s">
        <v>1228</v>
      </c>
    </row>
    <row r="26" customFormat="false" ht="15" hidden="false" customHeight="true" outlineLevel="0" collapsed="false">
      <c r="A26" s="41" t="s">
        <v>424</v>
      </c>
      <c r="B26" s="11" t="n">
        <f aca="false">COUNTIF(Stock_MP!$E$6:$E$130,A26)</f>
        <v>9</v>
      </c>
      <c r="C26" s="11" t="n">
        <f aca="false">_xlfn.MINIFS(Stock_MP!$O$6:$O$130,Stock_MP!$E$6:$E$130,A26)</f>
        <v>20</v>
      </c>
      <c r="D26" s="43" t="n">
        <f aca="false">DIAS_ANIO/C26</f>
        <v>12</v>
      </c>
      <c r="E26" s="11" t="s">
        <v>1229</v>
      </c>
    </row>
    <row r="27" customFormat="false" ht="15" hidden="false" customHeight="true" outlineLevel="0" collapsed="false">
      <c r="A27" s="41" t="s">
        <v>430</v>
      </c>
      <c r="B27" s="11" t="n">
        <f aca="false">COUNTIF(Stock_MP!$E$6:$E$130,A27)</f>
        <v>3</v>
      </c>
      <c r="C27" s="11" t="n">
        <f aca="false">_xlfn.MINIFS(Stock_MP!$O$6:$O$130,Stock_MP!$E$6:$E$130,A27)</f>
        <v>20</v>
      </c>
      <c r="D27" s="43" t="n">
        <f aca="false">DIAS_ANIO/C27</f>
        <v>12</v>
      </c>
      <c r="E27" s="11" t="s">
        <v>1230</v>
      </c>
    </row>
    <row r="28" customFormat="false" ht="15" hidden="false" customHeight="true" outlineLevel="0" collapsed="false">
      <c r="A28" s="41" t="s">
        <v>442</v>
      </c>
      <c r="B28" s="11" t="n">
        <f aca="false">COUNTIF(Stock_MP!$E$6:$E$130,A28)</f>
        <v>4</v>
      </c>
      <c r="C28" s="11" t="n">
        <f aca="false">_xlfn.MINIFS(Stock_MP!$O$6:$O$130,Stock_MP!$E$6:$E$130,A28)</f>
        <v>20</v>
      </c>
      <c r="D28" s="43" t="n">
        <f aca="false">DIAS_ANIO/C28</f>
        <v>12</v>
      </c>
      <c r="E28" s="11" t="s">
        <v>1231</v>
      </c>
    </row>
    <row r="29" customFormat="false" ht="15" hidden="false" customHeight="true" outlineLevel="0" collapsed="false">
      <c r="A29" s="41" t="s">
        <v>481</v>
      </c>
      <c r="B29" s="11" t="n">
        <f aca="false">COUNTIF(Stock_MP!$E$6:$E$130,A29)</f>
        <v>3</v>
      </c>
      <c r="C29" s="11" t="n">
        <f aca="false">_xlfn.MINIFS(Stock_MP!$O$6:$O$130,Stock_MP!$E$6:$E$130,A29)</f>
        <v>20</v>
      </c>
      <c r="D29" s="43" t="n">
        <f aca="false">DIAS_ANIO/C29</f>
        <v>12</v>
      </c>
      <c r="E29" s="11" t="s">
        <v>1232</v>
      </c>
    </row>
    <row r="30" customFormat="false" ht="15" hidden="false" customHeight="true" outlineLevel="0" collapsed="false">
      <c r="A30" s="41" t="s">
        <v>497</v>
      </c>
      <c r="B30" s="11" t="n">
        <f aca="false">COUNTIF(Stock_MP!$E$6:$E$130,A30)</f>
        <v>4</v>
      </c>
      <c r="C30" s="11" t="n">
        <f aca="false">_xlfn.MINIFS(Stock_MP!$O$6:$O$130,Stock_MP!$E$6:$E$130,A30)</f>
        <v>20</v>
      </c>
      <c r="D30" s="43" t="n">
        <f aca="false">DIAS_ANIO/C30</f>
        <v>12</v>
      </c>
      <c r="E30" s="11" t="s">
        <v>1233</v>
      </c>
    </row>
    <row r="31" customFormat="false" ht="15" hidden="false" customHeight="true" outlineLevel="0" collapsed="false">
      <c r="A31" s="41" t="s">
        <v>513</v>
      </c>
      <c r="B31" s="11" t="n">
        <f aca="false">COUNTIF(Stock_MP!$E$6:$E$130,A31)</f>
        <v>1</v>
      </c>
      <c r="C31" s="11" t="n">
        <f aca="false">_xlfn.MINIFS(Stock_MP!$O$6:$O$130,Stock_MP!$E$6:$E$130,A31)</f>
        <v>20</v>
      </c>
      <c r="D31" s="43" t="n">
        <f aca="false">DIAS_ANIO/C31</f>
        <v>12</v>
      </c>
      <c r="E31" s="11" t="s">
        <v>512</v>
      </c>
    </row>
    <row r="32" customFormat="false" ht="15" hidden="false" customHeight="true" outlineLevel="0" collapsed="false">
      <c r="A32" s="41" t="s">
        <v>518</v>
      </c>
      <c r="B32" s="11" t="n">
        <f aca="false">COUNTIF(Stock_MP!$E$6:$E$130,A32)</f>
        <v>11</v>
      </c>
      <c r="C32" s="11" t="n">
        <f aca="false">_xlfn.MINIFS(Stock_MP!$O$6:$O$130,Stock_MP!$E$6:$E$130,A32)</f>
        <v>20</v>
      </c>
      <c r="D32" s="43" t="n">
        <f aca="false">DIAS_ANIO/C32</f>
        <v>12</v>
      </c>
      <c r="E32" s="11" t="s">
        <v>1234</v>
      </c>
    </row>
    <row r="33" customFormat="false" ht="15" hidden="false" customHeight="true" outlineLevel="0" collapsed="false">
      <c r="A33" s="41" t="s">
        <v>529</v>
      </c>
      <c r="B33" s="11" t="n">
        <f aca="false">COUNTIF(Stock_MP!$E$6:$E$130,A33)</f>
        <v>5</v>
      </c>
      <c r="C33" s="11" t="n">
        <f aca="false">_xlfn.MINIFS(Stock_MP!$O$6:$O$130,Stock_MP!$E$6:$E$130,A33)</f>
        <v>60</v>
      </c>
      <c r="D33" s="43" t="n">
        <f aca="false">DIAS_ANIO/C33</f>
        <v>4</v>
      </c>
      <c r="E33" s="11" t="s">
        <v>1235</v>
      </c>
    </row>
    <row r="34" customFormat="false" ht="15" hidden="false" customHeight="true" outlineLevel="0" collapsed="false">
      <c r="A34" s="41" t="s">
        <v>552</v>
      </c>
      <c r="B34" s="11" t="n">
        <f aca="false">COUNTIF(Stock_MP!$E$6:$E$130,A34)</f>
        <v>4</v>
      </c>
      <c r="C34" s="11" t="n">
        <f aca="false">_xlfn.MINIFS(Stock_MP!$O$6:$O$130,Stock_MP!$E$6:$E$130,A34)</f>
        <v>20</v>
      </c>
      <c r="D34" s="43" t="n">
        <f aca="false">DIAS_ANIO/C34</f>
        <v>12</v>
      </c>
      <c r="E34" s="11" t="s">
        <v>1236</v>
      </c>
    </row>
    <row r="35" customFormat="false" ht="15" hidden="false" customHeight="true" outlineLevel="0" collapsed="false">
      <c r="A35" s="41" t="s">
        <v>558</v>
      </c>
      <c r="B35" s="11" t="n">
        <f aca="false">COUNTIF(Stock_MP!$E$6:$E$130,A35)</f>
        <v>1</v>
      </c>
      <c r="C35" s="11" t="n">
        <f aca="false">_xlfn.MINIFS(Stock_MP!$O$6:$O$130,Stock_MP!$E$6:$E$130,A35)</f>
        <v>20</v>
      </c>
      <c r="D35" s="43" t="n">
        <f aca="false">DIAS_ANIO/C35</f>
        <v>12</v>
      </c>
      <c r="E35" s="11" t="s">
        <v>557</v>
      </c>
    </row>
    <row r="36" customFormat="false" ht="15" hidden="false" customHeight="true" outlineLevel="0" collapsed="false">
      <c r="A36" s="41" t="s">
        <v>563</v>
      </c>
      <c r="B36" s="11" t="n">
        <f aca="false">COUNTIF(Stock_MP!$E$6:$E$130,A36)</f>
        <v>2</v>
      </c>
      <c r="C36" s="11" t="n">
        <f aca="false">_xlfn.MINIFS(Stock_MP!$O$6:$O$130,Stock_MP!$E$6:$E$130,A36)</f>
        <v>20</v>
      </c>
      <c r="D36" s="43" t="n">
        <f aca="false">DIAS_ANIO/C36</f>
        <v>12</v>
      </c>
      <c r="E36" s="11" t="s">
        <v>1237</v>
      </c>
    </row>
    <row r="37" customFormat="false" ht="15" hidden="false" customHeight="true" outlineLevel="0" collapsed="false">
      <c r="A37" s="41" t="s">
        <v>573</v>
      </c>
      <c r="B37" s="11" t="n">
        <f aca="false">COUNTIF(Stock_MP!$E$6:$E$130,A37)</f>
        <v>2</v>
      </c>
      <c r="C37" s="11" t="n">
        <f aca="false">_xlfn.MINIFS(Stock_MP!$O$6:$O$130,Stock_MP!$E$6:$E$130,A37)</f>
        <v>20</v>
      </c>
      <c r="D37" s="43" t="n">
        <f aca="false">DIAS_ANIO/C37</f>
        <v>12</v>
      </c>
      <c r="E37" s="11" t="s">
        <v>1238</v>
      </c>
    </row>
    <row r="38" customFormat="false" ht="15" hidden="false" customHeight="true" outlineLevel="0" collapsed="false">
      <c r="A38" s="41" t="s">
        <v>580</v>
      </c>
      <c r="B38" s="11" t="n">
        <f aca="false">COUNTIF(Stock_MP!$E$6:$E$130,A38)</f>
        <v>3</v>
      </c>
      <c r="C38" s="11" t="n">
        <f aca="false">_xlfn.MINIFS(Stock_MP!$O$6:$O$130,Stock_MP!$E$6:$E$130,A38)</f>
        <v>20</v>
      </c>
      <c r="D38" s="43" t="n">
        <f aca="false">DIAS_ANIO/C38</f>
        <v>12</v>
      </c>
      <c r="E38" s="11" t="s">
        <v>1239</v>
      </c>
    </row>
    <row r="39" customFormat="false" ht="15" hidden="false" customHeight="true" outlineLevel="0" collapsed="false">
      <c r="A39" s="41" t="s">
        <v>595</v>
      </c>
      <c r="B39" s="11" t="n">
        <f aca="false">COUNTIF(Stock_MP!$E$6:$E$130,A39)</f>
        <v>1</v>
      </c>
      <c r="C39" s="11" t="n">
        <f aca="false">_xlfn.MINIFS(Stock_MP!$O$6:$O$130,Stock_MP!$E$6:$E$130,A39)</f>
        <v>20</v>
      </c>
      <c r="D39" s="43" t="n">
        <f aca="false">DIAS_ANIO/C39</f>
        <v>12</v>
      </c>
      <c r="E39" s="11" t="s">
        <v>594</v>
      </c>
    </row>
    <row r="40" customFormat="false" ht="15" hidden="false" customHeight="true" outlineLevel="0" collapsed="false">
      <c r="A40" s="41" t="s">
        <v>636</v>
      </c>
      <c r="B40" s="11" t="n">
        <f aca="false">COUNTIF(Stock_MP!$E$6:$E$130,A40)</f>
        <v>4</v>
      </c>
      <c r="C40" s="11" t="n">
        <f aca="false">_xlfn.MINIFS(Stock_MP!$O$6:$O$130,Stock_MP!$E$6:$E$130,A40)</f>
        <v>5</v>
      </c>
      <c r="D40" s="43" t="n">
        <f aca="false">DIAS_ANIO/C40</f>
        <v>48</v>
      </c>
      <c r="E40" s="11" t="s">
        <v>1240</v>
      </c>
    </row>
    <row r="41" customFormat="false" ht="15" hidden="false" customHeight="true" outlineLevel="0" collapsed="false">
      <c r="A41" s="41" t="s">
        <v>657</v>
      </c>
      <c r="B41" s="11" t="n">
        <f aca="false">COUNTIF(Stock_MP!$E$6:$E$130,A41)</f>
        <v>1</v>
      </c>
      <c r="C41" s="11" t="n">
        <f aca="false">_xlfn.MINIFS(Stock_MP!$O$6:$O$130,Stock_MP!$E$6:$E$130,A41)</f>
        <v>5</v>
      </c>
      <c r="D41" s="43" t="n">
        <f aca="false">DIAS_ANIO/C41</f>
        <v>48</v>
      </c>
      <c r="E41" s="11" t="s">
        <v>656</v>
      </c>
    </row>
    <row r="42" customFormat="false" ht="15" hidden="false" customHeight="true" outlineLevel="0" collapsed="false">
      <c r="A42" s="41" t="s">
        <v>666</v>
      </c>
      <c r="B42" s="11" t="n">
        <f aca="false">COUNTIF(Stock_MP!$E$6:$E$130,A42)</f>
        <v>5</v>
      </c>
      <c r="C42" s="11" t="n">
        <f aca="false">_xlfn.MINIFS(Stock_MP!$O$6:$O$130,Stock_MP!$E$6:$E$130,A42)</f>
        <v>20</v>
      </c>
      <c r="D42" s="43" t="n">
        <f aca="false">DIAS_ANIO/C42</f>
        <v>12</v>
      </c>
      <c r="E42" s="11" t="s">
        <v>1241</v>
      </c>
    </row>
    <row r="43" customFormat="false" ht="15" hidden="false" customHeight="true" outlineLevel="0" collapsed="false">
      <c r="A43" s="41" t="s">
        <v>683</v>
      </c>
      <c r="B43" s="11" t="n">
        <f aca="false">COUNTIF(Stock_MP!$E$6:$E$130,A43)</f>
        <v>3</v>
      </c>
      <c r="C43" s="11" t="n">
        <f aca="false">_xlfn.MINIFS(Stock_MP!$O$6:$O$130,Stock_MP!$E$6:$E$130,A43)</f>
        <v>20</v>
      </c>
      <c r="D43" s="43" t="n">
        <f aca="false">DIAS_ANIO/C43</f>
        <v>12</v>
      </c>
      <c r="E43" s="11" t="s">
        <v>1242</v>
      </c>
    </row>
    <row r="44" customFormat="false" ht="15" hidden="false" customHeight="true" outlineLevel="0" collapsed="false">
      <c r="A44" s="41" t="s">
        <v>696</v>
      </c>
      <c r="B44" s="11" t="n">
        <f aca="false">COUNTIF(Stock_MP!$E$6:$E$130,A44)</f>
        <v>1</v>
      </c>
      <c r="C44" s="11" t="n">
        <f aca="false">_xlfn.MINIFS(Stock_MP!$O$6:$O$130,Stock_MP!$E$6:$E$130,A44)</f>
        <v>20</v>
      </c>
      <c r="D44" s="43" t="n">
        <f aca="false">DIAS_ANIO/C44</f>
        <v>12</v>
      </c>
      <c r="E44" s="11" t="s">
        <v>695</v>
      </c>
    </row>
    <row r="45" customFormat="false" ht="15" hidden="false" customHeight="true" outlineLevel="0" collapsed="false">
      <c r="A45" s="17" t="s">
        <v>1243</v>
      </c>
      <c r="D45" s="35" t="n">
        <f aca="false">SUM(D7:D44)</f>
        <v>596</v>
      </c>
    </row>
    <row r="47" customFormat="false" ht="15" hidden="false" customHeight="true" outlineLevel="0" collapsed="false">
      <c r="A47" s="14" t="s">
        <v>1244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0"/>
    <col collapsed="false" customWidth="true" hidden="false" outlineLevel="0" max="3" min="3" style="1" width="4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15" hidden="false" customHeight="true" outlineLevel="0" collapsed="false">
      <c r="A1" s="2" t="s">
        <v>1245</v>
      </c>
    </row>
    <row r="2" customFormat="false" ht="15" hidden="false" customHeight="true" outlineLevel="0" collapsed="false">
      <c r="A2" s="3" t="s">
        <v>1246</v>
      </c>
    </row>
    <row r="3" customFormat="false" ht="15" hidden="false" customHeight="true" outlineLevel="0" collapsed="false">
      <c r="A3" s="4" t="s">
        <v>1247</v>
      </c>
    </row>
    <row r="6" customFormat="false" ht="42" hidden="false" customHeight="true" outlineLevel="0" collapsed="false">
      <c r="A6" s="7" t="s">
        <v>1248</v>
      </c>
      <c r="B6" s="7" t="s">
        <v>111</v>
      </c>
      <c r="C6" s="7" t="s">
        <v>881</v>
      </c>
      <c r="D6" s="7" t="s">
        <v>698</v>
      </c>
      <c r="E6" s="7" t="s">
        <v>1249</v>
      </c>
      <c r="F6" s="7" t="s">
        <v>1250</v>
      </c>
      <c r="G6" s="7" t="s">
        <v>1251</v>
      </c>
      <c r="H6" s="7" t="s">
        <v>1252</v>
      </c>
    </row>
    <row r="7" customFormat="false" ht="15" hidden="false" customHeight="true" outlineLevel="0" collapsed="false">
      <c r="A7" s="11" t="s">
        <v>111</v>
      </c>
      <c r="B7" s="11" t="s">
        <v>1107</v>
      </c>
      <c r="C7" s="11" t="s">
        <v>1253</v>
      </c>
      <c r="D7" s="11" t="s">
        <v>703</v>
      </c>
      <c r="E7" s="15" t="n">
        <f aca="false">IF(Chapa_fleje!G68&gt;0,1,0)</f>
        <v>1</v>
      </c>
      <c r="F7" s="58" t="n">
        <f aca="false">IFERROR(VLOOKUP(D7,PRECIOS,3,FALSE()),0)</f>
        <v>856540</v>
      </c>
      <c r="G7" s="58" t="n">
        <f aca="false">E7*F7</f>
        <v>856540</v>
      </c>
      <c r="H7" s="11" t="s">
        <v>1254</v>
      </c>
    </row>
    <row r="8" customFormat="false" ht="15" hidden="false" customHeight="true" outlineLevel="0" collapsed="false">
      <c r="A8" s="11" t="s">
        <v>111</v>
      </c>
      <c r="B8" s="11" t="s">
        <v>1107</v>
      </c>
      <c r="C8" s="11" t="s">
        <v>1255</v>
      </c>
      <c r="D8" s="11" t="s">
        <v>707</v>
      </c>
      <c r="E8" s="15" t="n">
        <f aca="false">MAX(0,Chapa_fleje!G68-1)</f>
        <v>1</v>
      </c>
      <c r="F8" s="58" t="n">
        <f aca="false">IFERROR(VLOOKUP(D8,PRECIOS,3,FALSE()),0)</f>
        <v>655590</v>
      </c>
      <c r="G8" s="58" t="n">
        <f aca="false">E8*F8</f>
        <v>655590</v>
      </c>
      <c r="H8" s="11" t="s">
        <v>1256</v>
      </c>
    </row>
    <row r="9" customFormat="false" ht="15" hidden="false" customHeight="true" outlineLevel="0" collapsed="false">
      <c r="A9" s="11" t="s">
        <v>111</v>
      </c>
      <c r="B9" s="11" t="s">
        <v>1107</v>
      </c>
      <c r="C9" s="11" t="s">
        <v>1257</v>
      </c>
      <c r="D9" s="11" t="s">
        <v>756</v>
      </c>
      <c r="E9" s="59" t="n">
        <v>1</v>
      </c>
      <c r="F9" s="58" t="n">
        <f aca="false">IFERROR(VLOOKUP(D9,PRECIOS,3,FALSE()),0)</f>
        <v>0</v>
      </c>
      <c r="G9" s="58" t="n">
        <f aca="false">E9*F9</f>
        <v>0</v>
      </c>
      <c r="H9" s="11" t="str">
        <f aca="false">Chapa_fleje!L52&amp;" — "&amp;Chapa_fleje!L53</f>
        <v>Tymbia M103070075 en apilador eléctrico de 2,5 t — 1,300 kg · Ø hasta 1,100 mm</v>
      </c>
    </row>
    <row r="10" customFormat="false" ht="15" hidden="false" customHeight="true" outlineLevel="0" collapsed="false">
      <c r="A10" s="11" t="s">
        <v>111</v>
      </c>
      <c r="B10" s="11" t="s">
        <v>1107</v>
      </c>
      <c r="C10" s="11" t="s">
        <v>1258</v>
      </c>
      <c r="D10" s="11" t="s">
        <v>745</v>
      </c>
      <c r="E10" s="15" t="n">
        <f aca="false">Chapa_fleje!K65-Chapa_fleje!G67</f>
        <v>11</v>
      </c>
      <c r="F10" s="58" t="n">
        <f aca="false">IFERROR(VLOOKUP(D10,PRECIOS,3,FALSE()),0)</f>
        <v>117999</v>
      </c>
      <c r="G10" s="58" t="n">
        <f aca="false">E10*F10</f>
        <v>1297989</v>
      </c>
      <c r="H10" s="11" t="s">
        <v>1259</v>
      </c>
    </row>
    <row r="11" customFormat="false" ht="15" hidden="false" customHeight="true" outlineLevel="0" collapsed="false">
      <c r="A11" s="11" t="s">
        <v>111</v>
      </c>
      <c r="B11" s="11" t="s">
        <v>124</v>
      </c>
      <c r="C11" s="11" t="s">
        <v>1260</v>
      </c>
      <c r="D11" s="11" t="s">
        <v>703</v>
      </c>
      <c r="E11" s="59" t="n">
        <v>1</v>
      </c>
      <c r="F11" s="58" t="n">
        <f aca="false">IFERROR(VLOOKUP(D11,PRECIOS,3,FALSE()),0)</f>
        <v>856540</v>
      </c>
      <c r="G11" s="58" t="n">
        <f aca="false">E11*F11</f>
        <v>856540</v>
      </c>
      <c r="H11" s="11"/>
    </row>
    <row r="12" customFormat="false" ht="15" hidden="false" customHeight="true" outlineLevel="0" collapsed="false">
      <c r="A12" s="11" t="s">
        <v>111</v>
      </c>
      <c r="B12" s="11" t="s">
        <v>124</v>
      </c>
      <c r="C12" s="11" t="s">
        <v>1261</v>
      </c>
      <c r="D12" s="11" t="s">
        <v>707</v>
      </c>
      <c r="E12" s="15" t="n">
        <f aca="false">MAX(0,ROUNDUP(Almacenes!E29/LUG_MOD,0)-1)</f>
        <v>0</v>
      </c>
      <c r="F12" s="58" t="n">
        <f aca="false">IFERROR(VLOOKUP(D12,PRECIOS,3,FALSE()),0)</f>
        <v>655590</v>
      </c>
      <c r="G12" s="58" t="n">
        <f aca="false">E12*F12</f>
        <v>0</v>
      </c>
      <c r="H12" s="11" t="s">
        <v>1262</v>
      </c>
    </row>
    <row r="13" customFormat="false" ht="15" hidden="false" customHeight="true" outlineLevel="0" collapsed="false">
      <c r="A13" s="11" t="s">
        <v>111</v>
      </c>
      <c r="B13" s="11" t="s">
        <v>118</v>
      </c>
      <c r="C13" s="11" t="s">
        <v>1263</v>
      </c>
      <c r="D13" s="11" t="s">
        <v>716</v>
      </c>
      <c r="E13" s="59" t="n">
        <v>1</v>
      </c>
      <c r="F13" s="58" t="n">
        <f aca="false">IFERROR(VLOOKUP(D13,PRECIOS,3,FALSE()),0)</f>
        <v>606940</v>
      </c>
      <c r="G13" s="58" t="n">
        <f aca="false">E13*F13</f>
        <v>606940</v>
      </c>
      <c r="H13" s="11"/>
    </row>
    <row r="14" customFormat="false" ht="15" hidden="false" customHeight="true" outlineLevel="0" collapsed="false">
      <c r="A14" s="11" t="s">
        <v>111</v>
      </c>
      <c r="B14" s="11" t="s">
        <v>118</v>
      </c>
      <c r="C14" s="11" t="s">
        <v>1264</v>
      </c>
      <c r="D14" s="11" t="s">
        <v>719</v>
      </c>
      <c r="E14" s="15" t="n">
        <f aca="false">MAX(0,ROUNDUP(Almacenes!E23/LUG_MOD,0)-1)</f>
        <v>4</v>
      </c>
      <c r="F14" s="58" t="n">
        <f aca="false">IFERROR(VLOOKUP(D14,PRECIOS,3,FALSE()),0)</f>
        <v>405990</v>
      </c>
      <c r="G14" s="58" t="n">
        <f aca="false">E14*F14</f>
        <v>1623960</v>
      </c>
      <c r="H14" s="11" t="s">
        <v>1262</v>
      </c>
    </row>
    <row r="15" customFormat="false" ht="15" hidden="false" customHeight="true" outlineLevel="0" collapsed="false">
      <c r="A15" s="11" t="s">
        <v>111</v>
      </c>
      <c r="B15" s="11" t="s">
        <v>125</v>
      </c>
      <c r="C15" s="11" t="s">
        <v>1263</v>
      </c>
      <c r="D15" s="11" t="s">
        <v>716</v>
      </c>
      <c r="E15" s="59" t="n">
        <v>1</v>
      </c>
      <c r="F15" s="58" t="n">
        <f aca="false">IFERROR(VLOOKUP(D15,PRECIOS,3,FALSE()),0)</f>
        <v>606940</v>
      </c>
      <c r="G15" s="58" t="n">
        <f aca="false">E15*F15</f>
        <v>606940</v>
      </c>
      <c r="H15" s="11"/>
    </row>
    <row r="16" customFormat="false" ht="15" hidden="false" customHeight="true" outlineLevel="0" collapsed="false">
      <c r="A16" s="11" t="s">
        <v>111</v>
      </c>
      <c r="B16" s="11" t="s">
        <v>125</v>
      </c>
      <c r="C16" s="11" t="s">
        <v>1264</v>
      </c>
      <c r="D16" s="11" t="s">
        <v>719</v>
      </c>
      <c r="E16" s="15" t="n">
        <f aca="false">MAX(0,ROUNDUP(Almacenes!E30/LUG_MOD,0)-1)</f>
        <v>1</v>
      </c>
      <c r="F16" s="58" t="n">
        <f aca="false">IFERROR(VLOOKUP(D16,PRECIOS,3,FALSE()),0)</f>
        <v>405990</v>
      </c>
      <c r="G16" s="58" t="n">
        <f aca="false">E16*F16</f>
        <v>405990</v>
      </c>
      <c r="H16" s="11" t="s">
        <v>1262</v>
      </c>
    </row>
    <row r="17" customFormat="false" ht="15" hidden="false" customHeight="true" outlineLevel="0" collapsed="false">
      <c r="A17" s="11" t="s">
        <v>111</v>
      </c>
      <c r="B17" s="11" t="s">
        <v>120</v>
      </c>
      <c r="C17" s="11" t="s">
        <v>1265</v>
      </c>
      <c r="D17" s="11" t="s">
        <v>710</v>
      </c>
      <c r="E17" s="59" t="n">
        <v>1</v>
      </c>
      <c r="F17" s="58" t="n">
        <f aca="false">IFERROR(VLOOKUP(D17,PRECIOS,3,FALSE()),0)</f>
        <v>650040</v>
      </c>
      <c r="G17" s="58" t="n">
        <f aca="false">E17*F17</f>
        <v>650040</v>
      </c>
      <c r="H17" s="11"/>
    </row>
    <row r="18" customFormat="false" ht="15" hidden="false" customHeight="true" outlineLevel="0" collapsed="false">
      <c r="A18" s="11" t="s">
        <v>111</v>
      </c>
      <c r="B18" s="11" t="s">
        <v>120</v>
      </c>
      <c r="C18" s="11" t="s">
        <v>1266</v>
      </c>
      <c r="D18" s="11" t="s">
        <v>713</v>
      </c>
      <c r="E18" s="15" t="n">
        <f aca="false">MAX(0,ROUNDUP(Almacenes!E25/LUG_MOD,0)-1)</f>
        <v>3</v>
      </c>
      <c r="F18" s="58" t="n">
        <f aca="false">IFERROR(VLOOKUP(D18,PRECIOS,3,FALSE()),0)</f>
        <v>449090</v>
      </c>
      <c r="G18" s="58" t="n">
        <f aca="false">E18*F18</f>
        <v>1347270</v>
      </c>
      <c r="H18" s="11" t="s">
        <v>1262</v>
      </c>
    </row>
    <row r="19" customFormat="false" ht="15" hidden="false" customHeight="true" outlineLevel="0" collapsed="false">
      <c r="A19" s="11" t="s">
        <v>111</v>
      </c>
      <c r="B19" s="11" t="s">
        <v>121</v>
      </c>
      <c r="C19" s="11" t="s">
        <v>1265</v>
      </c>
      <c r="D19" s="11" t="s">
        <v>710</v>
      </c>
      <c r="E19" s="59" t="n">
        <v>1</v>
      </c>
      <c r="F19" s="58" t="n">
        <f aca="false">IFERROR(VLOOKUP(D19,PRECIOS,3,FALSE()),0)</f>
        <v>650040</v>
      </c>
      <c r="G19" s="58" t="n">
        <f aca="false">E19*F19</f>
        <v>650040</v>
      </c>
      <c r="H19" s="11"/>
    </row>
    <row r="20" customFormat="false" ht="15" hidden="false" customHeight="true" outlineLevel="0" collapsed="false">
      <c r="A20" s="11" t="s">
        <v>111</v>
      </c>
      <c r="B20" s="11" t="s">
        <v>121</v>
      </c>
      <c r="C20" s="11" t="s">
        <v>1266</v>
      </c>
      <c r="D20" s="11" t="s">
        <v>713</v>
      </c>
      <c r="E20" s="15" t="n">
        <f aca="false">MAX(0,ROUNDUP(Almacenes!E26/LUG_MOD,0)-1)</f>
        <v>1</v>
      </c>
      <c r="F20" s="58" t="n">
        <f aca="false">IFERROR(VLOOKUP(D20,PRECIOS,3,FALSE()),0)</f>
        <v>449090</v>
      </c>
      <c r="G20" s="58" t="n">
        <f aca="false">E20*F20</f>
        <v>449090</v>
      </c>
      <c r="H20" s="11" t="s">
        <v>1262</v>
      </c>
    </row>
    <row r="21" customFormat="false" ht="15" hidden="false" customHeight="true" outlineLevel="0" collapsed="false">
      <c r="A21" s="11" t="s">
        <v>111</v>
      </c>
      <c r="B21" s="11" t="s">
        <v>122</v>
      </c>
      <c r="C21" s="11" t="s">
        <v>1265</v>
      </c>
      <c r="D21" s="11" t="s">
        <v>710</v>
      </c>
      <c r="E21" s="59" t="n">
        <v>1</v>
      </c>
      <c r="F21" s="58" t="n">
        <f aca="false">IFERROR(VLOOKUP(D21,PRECIOS,3,FALSE()),0)</f>
        <v>650040</v>
      </c>
      <c r="G21" s="58" t="n">
        <f aca="false">E21*F21</f>
        <v>650040</v>
      </c>
      <c r="H21" s="11"/>
    </row>
    <row r="22" customFormat="false" ht="15" hidden="false" customHeight="true" outlineLevel="0" collapsed="false">
      <c r="A22" s="11" t="s">
        <v>111</v>
      </c>
      <c r="B22" s="11" t="s">
        <v>122</v>
      </c>
      <c r="C22" s="11" t="s">
        <v>1266</v>
      </c>
      <c r="D22" s="11" t="s">
        <v>713</v>
      </c>
      <c r="E22" s="15" t="n">
        <f aca="false">MAX(0,ROUNDUP(Almacenes!E27/LUG_MOD,0)-1)</f>
        <v>0</v>
      </c>
      <c r="F22" s="58" t="n">
        <f aca="false">IFERROR(VLOOKUP(D22,PRECIOS,3,FALSE()),0)</f>
        <v>449090</v>
      </c>
      <c r="G22" s="58" t="n">
        <f aca="false">E22*F22</f>
        <v>0</v>
      </c>
      <c r="H22" s="11" t="s">
        <v>1262</v>
      </c>
    </row>
    <row r="23" customFormat="false" ht="15" hidden="false" customHeight="true" outlineLevel="0" collapsed="false">
      <c r="A23" s="11" t="s">
        <v>111</v>
      </c>
      <c r="B23" s="11" t="s">
        <v>121</v>
      </c>
      <c r="C23" s="11" t="s">
        <v>1267</v>
      </c>
      <c r="D23" s="11" t="s">
        <v>726</v>
      </c>
      <c r="E23" s="59" t="n">
        <v>2</v>
      </c>
      <c r="F23" s="58" t="n">
        <f aca="false">IFERROR(VLOOKUP(D23,PRECIOS,3,FALSE()),0)</f>
        <v>495713</v>
      </c>
      <c r="G23" s="58" t="n">
        <f aca="false">E23*F23</f>
        <v>991426</v>
      </c>
      <c r="H23" s="11" t="s">
        <v>1268</v>
      </c>
    </row>
    <row r="24" customFormat="false" ht="15" hidden="false" customHeight="true" outlineLevel="0" collapsed="false">
      <c r="A24" s="11" t="s">
        <v>111</v>
      </c>
      <c r="B24" s="11" t="s">
        <v>121</v>
      </c>
      <c r="C24" s="11" t="s">
        <v>1269</v>
      </c>
      <c r="D24" s="11" t="s">
        <v>730</v>
      </c>
      <c r="E24" s="59" t="n">
        <v>2</v>
      </c>
      <c r="F24" s="58" t="n">
        <f aca="false">IFERROR(VLOOKUP(D24,PRECIOS,3,FALSE()),0)</f>
        <v>54250</v>
      </c>
      <c r="G24" s="58" t="n">
        <f aca="false">E24*F24</f>
        <v>108500</v>
      </c>
      <c r="H24" s="11" t="s">
        <v>1270</v>
      </c>
    </row>
    <row r="25" customFormat="false" ht="15" hidden="false" customHeight="true" outlineLevel="0" collapsed="false">
      <c r="A25" s="11" t="s">
        <v>111</v>
      </c>
      <c r="B25" s="11" t="s">
        <v>119</v>
      </c>
      <c r="C25" s="11" t="s">
        <v>1271</v>
      </c>
      <c r="D25" s="11" t="s">
        <v>722</v>
      </c>
      <c r="E25" s="15" t="n">
        <f aca="false">ROUNDUP(Almacenes!G24/1.1,0)</f>
        <v>4</v>
      </c>
      <c r="F25" s="58" t="n">
        <f aca="false">IFERROR(VLOOKUP(D25,PRECIOS,3,FALSE()),0)</f>
        <v>683968</v>
      </c>
      <c r="G25" s="58" t="n">
        <f aca="false">E25*F25</f>
        <v>2735872</v>
      </c>
      <c r="H25" s="11" t="s">
        <v>1272</v>
      </c>
    </row>
    <row r="26" customFormat="false" ht="15" hidden="false" customHeight="true" outlineLevel="0" collapsed="false">
      <c r="A26" s="11" t="s">
        <v>111</v>
      </c>
      <c r="B26" s="11" t="s">
        <v>117</v>
      </c>
      <c r="C26" s="11" t="s">
        <v>1273</v>
      </c>
      <c r="D26" s="11" t="s">
        <v>745</v>
      </c>
      <c r="E26" s="59" t="n">
        <v>2</v>
      </c>
      <c r="F26" s="58" t="n">
        <f aca="false">IFERROR(VLOOKUP(D26,PRECIOS,3,FALSE()),0)</f>
        <v>117999</v>
      </c>
      <c r="G26" s="58" t="n">
        <f aca="false">E26*F26</f>
        <v>235998</v>
      </c>
      <c r="H26" s="11" t="s">
        <v>1274</v>
      </c>
    </row>
    <row r="27" customFormat="false" ht="15" hidden="false" customHeight="true" outlineLevel="0" collapsed="false">
      <c r="A27" s="11" t="s">
        <v>111</v>
      </c>
      <c r="B27" s="11" t="s">
        <v>123</v>
      </c>
      <c r="C27" s="11" t="s">
        <v>1275</v>
      </c>
      <c r="D27" s="11" t="s">
        <v>737</v>
      </c>
      <c r="E27" s="59" t="n">
        <v>2</v>
      </c>
      <c r="F27" s="58" t="n">
        <f aca="false">IFERROR(VLOOKUP(D27,PRECIOS,3,FALSE()),0)</f>
        <v>98649</v>
      </c>
      <c r="G27" s="58" t="n">
        <f aca="false">E27*F27</f>
        <v>197298</v>
      </c>
      <c r="H27" s="11" t="s">
        <v>1276</v>
      </c>
    </row>
    <row r="28" customFormat="false" ht="15" hidden="false" customHeight="true" outlineLevel="0" collapsed="false">
      <c r="A28" s="11" t="s">
        <v>111</v>
      </c>
      <c r="B28" s="11" t="s">
        <v>123</v>
      </c>
      <c r="C28" s="11" t="s">
        <v>1277</v>
      </c>
      <c r="D28" s="11" t="s">
        <v>734</v>
      </c>
      <c r="E28" s="59" t="n">
        <v>1</v>
      </c>
      <c r="F28" s="58" t="n">
        <f aca="false">IFERROR(VLOOKUP(D28,PRECIOS,3,FALSE()),0)</f>
        <v>4882500</v>
      </c>
      <c r="G28" s="58" t="n">
        <f aca="false">E28*F28</f>
        <v>4882500</v>
      </c>
      <c r="H28" s="11" t="s">
        <v>1278</v>
      </c>
    </row>
    <row r="29" customFormat="false" ht="15" hidden="false" customHeight="true" outlineLevel="0" collapsed="false">
      <c r="A29" s="11" t="s">
        <v>111</v>
      </c>
      <c r="B29" s="11" t="s">
        <v>1107</v>
      </c>
      <c r="C29" s="11" t="s">
        <v>1279</v>
      </c>
      <c r="D29" s="11" t="s">
        <v>752</v>
      </c>
      <c r="E29" s="15" t="n">
        <f aca="false">Chapa_fleje!G68</f>
        <v>2</v>
      </c>
      <c r="F29" s="58" t="n">
        <f aca="false">IFERROR(VLOOKUP(D29,PRECIOS,3,FALSE()),0)</f>
        <v>95900</v>
      </c>
      <c r="G29" s="58" t="n">
        <f aca="false">E29*F29</f>
        <v>191800</v>
      </c>
      <c r="H29" s="11" t="s">
        <v>1280</v>
      </c>
    </row>
    <row r="30" customFormat="false" ht="15" hidden="false" customHeight="true" outlineLevel="0" collapsed="false">
      <c r="A30" s="11" t="s">
        <v>1281</v>
      </c>
      <c r="B30" s="11" t="s">
        <v>1282</v>
      </c>
      <c r="C30" s="11" t="s">
        <v>1283</v>
      </c>
      <c r="D30" s="11" t="s">
        <v>741</v>
      </c>
      <c r="E30" s="59" t="n">
        <v>4</v>
      </c>
      <c r="F30" s="58" t="n">
        <f aca="false">IFERROR(VLOOKUP(D30,PRECIOS,3,FALSE()),0)</f>
        <v>384169</v>
      </c>
      <c r="G30" s="58" t="n">
        <f aca="false">E30*F30</f>
        <v>1536676</v>
      </c>
      <c r="H30" s="11" t="s">
        <v>1284</v>
      </c>
    </row>
    <row r="31" customFormat="false" ht="15" hidden="false" customHeight="true" outlineLevel="0" collapsed="false">
      <c r="A31" s="11" t="s">
        <v>1285</v>
      </c>
      <c r="B31" s="11" t="s">
        <v>1286</v>
      </c>
      <c r="C31" s="11" t="s">
        <v>1287</v>
      </c>
      <c r="D31" s="11" t="s">
        <v>749</v>
      </c>
      <c r="E31" s="59" t="n">
        <v>8</v>
      </c>
      <c r="F31" s="58" t="n">
        <f aca="false">IFERROR(VLOOKUP(D31,PRECIOS,3,FALSE()),0)</f>
        <v>13384</v>
      </c>
      <c r="G31" s="58" t="n">
        <f aca="false">E31*F31</f>
        <v>107072</v>
      </c>
      <c r="H31" s="11" t="s">
        <v>1288</v>
      </c>
    </row>
    <row r="32" customFormat="false" ht="15" hidden="false" customHeight="true" outlineLevel="0" collapsed="false">
      <c r="C32" s="17" t="s">
        <v>1289</v>
      </c>
      <c r="G32" s="13" t="n">
        <f aca="false">SUM(G7:G31)</f>
        <v>21644111</v>
      </c>
    </row>
    <row r="34" customFormat="false" ht="15" hidden="false" customHeight="true" outlineLevel="0" collapsed="false">
      <c r="A34" s="14" t="s">
        <v>1290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2026-10-23T02:33:23Z</dcterms:created>
  <dc:creator>openpyxl</dc:creator>
  <dc:description/>
  <dc:language>en-US</dc:language>
  <cp:lastModifiedBy/>
  <dcterms:modified xsi:type="dcterms:W3CDTF">2026-10-23T20:59:56Z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