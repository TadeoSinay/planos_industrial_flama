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arametros" sheetId="2" state="visible" r:id="rId4"/>
    <sheet name="Pallets" sheetId="3" state="visible" r:id="rId5"/>
    <sheet name="Stock_PT" sheetId="4" state="visible" r:id="rId6"/>
    <sheet name="Almacen_PT" sheetId="5" state="visible" r:id="rId7"/>
    <sheet name="Despacho" sheetId="6" state="visible" r:id="rId8"/>
    <sheet name="Pintura" sheetId="7" state="visible" r:id="rId9"/>
    <sheet name="Carro_manip" sheetId="8" state="visible" r:id="rId10"/>
    <sheet name="Equipos" sheetId="9" state="visible" r:id="rId11"/>
    <sheet name="Datos" sheetId="10" state="visible" r:id="rId12"/>
  </sheets>
  <definedNames>
    <definedName function="false" hidden="false" name="CALLE" vbProcedure="false">Parametros!$B$35</definedName>
    <definedName function="false" hidden="false" name="CINTAS_MASTER" vbProcedure="false">Parametros!$B$59</definedName>
    <definedName function="false" hidden="false" name="DIAS" vbProcedure="false">Parametros!$B$7</definedName>
    <definedName function="false" hidden="false" name="DIAS_ANIO" vbProcedure="false">Parametros!$B$8</definedName>
    <definedName function="false" hidden="false" name="DIAS_CAR" vbProcedure="false">Parametros!$B$10</definedName>
    <definedName function="false" hidden="false" name="DIAS_DOLLY" vbProcedure="false">Parametros!$B$46</definedName>
    <definedName function="false" hidden="false" name="DIAS_PINT" vbProcedure="false">Parametros!$B$41</definedName>
    <definedName function="false" hidden="false" name="DIAS_PINTADOS" vbProcedure="false">Parametros!$B$42</definedName>
    <definedName function="false" hidden="false" name="DOLLY_A" vbProcedure="false">Parametros!$B$50</definedName>
    <definedName function="false" hidden="false" name="DOLLY_CARGA" vbProcedure="false">Parametros!$B$48</definedName>
    <definedName function="false" hidden="false" name="DOLLY_L" vbProcedure="false">Parametros!$B$49</definedName>
    <definedName function="false" hidden="false" name="ELEV_ALT" vbProcedure="false">Parametros!$B$32</definedName>
    <definedName function="false" hidden="false" name="ELEV_STD" vbProcedure="false">Parametros!$B$31</definedName>
    <definedName function="false" hidden="false" name="F_CIRC" vbProcedure="false">Parametros!$B$36</definedName>
    <definedName function="false" hidden="false" name="HOLG_V" vbProcedure="false">Parametros!$B$28</definedName>
    <definedName function="false" hidden="false" name="H_CHICO" vbProcedure="false">Parametros!$B$55</definedName>
    <definedName function="false" hidden="false" name="H_DIA" vbProcedure="false">Parametros!$B$54</definedName>
    <definedName function="false" hidden="false" name="H_MAX" vbProcedure="false">Parametros!$B$18</definedName>
    <definedName function="false" hidden="false" name="H_MCLI" vbProcedure="false">Parametros!$B$57</definedName>
    <definedName function="false" hidden="false" name="H_MPINT" vbProcedure="false">Parametros!$B$58</definedName>
    <definedName function="false" hidden="false" name="H_SIDER" vbProcedure="false">Parametros!$B$56</definedName>
    <definedName function="false" hidden="false" name="KG_MAX" vbProcedure="false">Parametros!$B$19</definedName>
    <definedName function="false" hidden="false" name="KG_NIV" vbProcedure="false">Parametros!$B$27</definedName>
    <definedName function="false" hidden="false" name="LARG" vbProcedure="false">Parametros!$B$29</definedName>
    <definedName function="false" hidden="false" name="MARGEN_ELEV" vbProcedure="false">Parametros!$B$30</definedName>
    <definedName function="false" hidden="false" name="MES_P" vbProcedure="false">Pintura!$B$14</definedName>
    <definedName function="false" hidden="false" name="MOD_FONDO" vbProcedure="false">Parametros!$B$34</definedName>
    <definedName function="false" hidden="false" name="MOD_FRENTE" vbProcedure="false">Parametros!$B$33</definedName>
    <definedName function="false" hidden="false" name="NIV_PT" vbProcedure="false">Parametros!$B$26</definedName>
    <definedName function="false" hidden="false" name="PAL_A" vbProcedure="false">Parametros!$B$15</definedName>
    <definedName function="false" hidden="false" name="PAL_H" vbProcedure="false">Parametros!$B$16</definedName>
    <definedName function="false" hidden="false" name="PAL_L" vbProcedure="false">Parametros!$B$14</definedName>
    <definedName function="false" hidden="false" name="PAL_TARA" vbProcedure="false">Parametros!$B$17</definedName>
    <definedName function="false" hidden="false" name="PLAZO_PINT" vbProcedure="false">Parametros!$B$40</definedName>
    <definedName function="false" hidden="false" name="POS_NIV" vbProcedure="false">Parametros!$B$25</definedName>
    <definedName function="false" hidden="false" name="PRECIOS" vbProcedure="false">Datos!$A$67:$C$73</definedName>
    <definedName function="false" hidden="false" name="RES_DOLLY" vbProcedure="false">Parametros!$B$47</definedName>
    <definedName function="false" hidden="false" name="SEP_E" vbProcedure="false">Parametros!$B$20</definedName>
    <definedName function="false" hidden="false" name="SEP_KG" vbProcedure="false">Parametros!$B$21</definedName>
    <definedName function="false" hidden="false" name="SS_PT" vbProcedure="false">Parametros!$B$9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<sst xmlns="http://schemas.openxmlformats.org/spreadsheetml/2006/main" count="980" uniqueCount="543">
  <si>
    <t xml:space="preserve">PRODUCTO TERMINADO 2035 — cómo se guarda, cómo se despacha y la rama de pintura de carros</t>
  </si>
  <si>
    <t xml:space="preserve">Nuevos en caja y cilindros en pallets; carros terminados sueltos. Recargas queda afuera. Datos del balanceo limpio, palletizado_PT y el Word de carros.</t>
  </si>
  <si>
    <t xml:space="preserve">▶ Una hoja por paso: Pallets → Stock_PT → Almacen_PT → Despacho → Pintura → Carro_manip → Equipos.</t>
  </si>
  <si>
    <t xml:space="preserve">1) LO PRINCIPAL</t>
  </si>
  <si>
    <t xml:space="preserve">Concepto</t>
  </si>
  <si>
    <t xml:space="preserve">Antes</t>
  </si>
  <si>
    <t xml:space="preserve">Ahora</t>
  </si>
  <si>
    <t xml:space="preserve">Hoja</t>
  </si>
  <si>
    <t xml:space="preserve">Almacén de PT: rack + carros + andén (m²)</t>
  </si>
  <si>
    <t xml:space="preserve">Almacen_PT</t>
  </si>
  <si>
    <t xml:space="preserve">Pallets en el rack</t>
  </si>
  <si>
    <t xml:space="preserve">Stock_PT</t>
  </si>
  <si>
    <t xml:space="preserve">Módulos de rack (3 niveles)</t>
  </si>
  <si>
    <t xml:space="preserve">—</t>
  </si>
  <si>
    <t xml:space="preserve">Mástil del autoelevador</t>
  </si>
  <si>
    <t xml:space="preserve">3 m</t>
  </si>
  <si>
    <t xml:space="preserve">Envíos al pintor</t>
  </si>
  <si>
    <t xml:space="preserve">Lote semanal</t>
  </si>
  <si>
    <t xml:space="preserve">Pintura</t>
  </si>
  <si>
    <t xml:space="preserve">Carros fuera de la línea después del secado (u)</t>
  </si>
  <si>
    <t xml:space="preserve">Juegos provisorios / carros de manipulación</t>
  </si>
  <si>
    <t xml:space="preserve">Carro_manip</t>
  </si>
  <si>
    <t xml:space="preserve">Camión chico: viajes por semana en el pico</t>
  </si>
  <si>
    <t xml:space="preserve">Despacho</t>
  </si>
  <si>
    <t xml:space="preserve">Sider: viajes por semana en el pico</t>
  </si>
  <si>
    <t xml:space="preserve">Master: viajes por semana (clientes + pintor)</t>
  </si>
  <si>
    <t xml:space="preserve">Masters que hacen falta</t>
  </si>
  <si>
    <t xml:space="preserve">Equipos con precio, con IVA</t>
  </si>
  <si>
    <t xml:space="preserve">Equipos</t>
  </si>
  <si>
    <t xml:space="preserve">2) LO QUE NO COINCIDÍA</t>
  </si>
  <si>
    <t xml:space="preserve">1. El balanceo usa 400 / 167 / 90 / 40 por pallet igual para matafuegos y cilindros. Con cajas paradas son 360 / 168 / 84 / 60 y con cilindros parados 780 / 288 / 126 / 60 (palletizado_PT).</t>
  </si>
  <si>
    <t xml:space="preserve">2. El Word de carros manda los recipientes al pintor sobre 177 juegos provisorios de eje y ruedas: se reemplazan por los carros de manipulación, que no salen de planta.</t>
  </si>
  <si>
    <t xml:space="preserve">3. El balanceo junta los carros secos una semana antes de mandarlos a pintar (lote semanal): con envíos cada 2 días baja el stock en proceso de carros.</t>
  </si>
  <si>
    <t xml:space="preserve">4. Con pallets de hasta 1,5 m el 2.º larguero queda a más de 3 m: el mástil estándar del Heli no llega.</t>
  </si>
  <si>
    <t xml:space="preserve">PARÁMETROS — supuestos y criterios del almacén de PT, el despacho y la pintura</t>
  </si>
  <si>
    <t xml:space="preserve">Amarillo = criterio (se puede cambiar). Verde = dato. La columna E es el nombre que usan las fórmulas.</t>
  </si>
  <si>
    <t xml:space="preserve">▶ Solo se tocan las celdas amarillas.</t>
  </si>
  <si>
    <t xml:space="preserve">1) DÍAS Y STOCK</t>
  </si>
  <si>
    <t xml:space="preserve">Parámetro</t>
  </si>
  <si>
    <t xml:space="preserve">Valor</t>
  </si>
  <si>
    <t xml:space="preserve">Unidad</t>
  </si>
  <si>
    <t xml:space="preserve">Fuente / criterio</t>
  </si>
  <si>
    <t xml:space="preserve">Nombre</t>
  </si>
  <si>
    <t xml:space="preserve">Días hábiles por mes</t>
  </si>
  <si>
    <t xml:space="preserve">días</t>
  </si>
  <si>
    <t xml:space="preserve">Balanceo2035, Parametros B7</t>
  </si>
  <si>
    <t xml:space="preserve">DIAS</t>
  </si>
  <si>
    <t xml:space="preserve">Días hábiles por año</t>
  </si>
  <si>
    <t xml:space="preserve">DIAS_ANIO</t>
  </si>
  <si>
    <t xml:space="preserve">Seguridad de PT de manuales (nuevos y cilindros)</t>
  </si>
  <si>
    <t xml:space="preserve">días de venta</t>
  </si>
  <si>
    <t xml:space="preserve">Balanceo2035, Parametros B44 (una semana hábil de venta promedio)</t>
  </si>
  <si>
    <t xml:space="preserve">SS_PT</t>
  </si>
  <si>
    <t xml:space="preserve">Stock de carros terminados y cilindros de carro</t>
  </si>
  <si>
    <t xml:space="preserve">Balanceo2035, Parametros B47 (lote semanal; se libera y se despacha)</t>
  </si>
  <si>
    <t xml:space="preserve">DIAS_CAR</t>
  </si>
  <si>
    <t xml:space="preserve">2) PALLET (ARLOG IRAM 10016) Y ARMADO — palletizado_PT</t>
  </si>
  <si>
    <t xml:space="preserve">Pallet: largo</t>
  </si>
  <si>
    <t xml:space="preserve">mm</t>
  </si>
  <si>
    <t xml:space="preserve">ARLOG 1.200 × 1.000</t>
  </si>
  <si>
    <t xml:space="preserve">PAL_L</t>
  </si>
  <si>
    <t xml:space="preserve">Pallet: ancho</t>
  </si>
  <si>
    <t xml:space="preserve">PAL_A</t>
  </si>
  <si>
    <t xml:space="preserve">Pallet: alto</t>
  </si>
  <si>
    <t xml:space="preserve">PAL_H</t>
  </si>
  <si>
    <t xml:space="preserve">Pallet: tara</t>
  </si>
  <si>
    <t xml:space="preserve">kg</t>
  </si>
  <si>
    <t xml:space="preserve">PAL_TARA</t>
  </si>
  <si>
    <t xml:space="preserve">Alto máximo con la carga</t>
  </si>
  <si>
    <t xml:space="preserve">Envolvedora EDOS: 1.000 a 1.700 mm</t>
  </si>
  <si>
    <t xml:space="preserve">H_MAX</t>
  </si>
  <si>
    <t xml:space="preserve">Peso máximo de la carga</t>
  </si>
  <si>
    <t xml:space="preserve">EDOS 600 a 1.200 kg; ARLOG 1.500 kg</t>
  </si>
  <si>
    <t xml:space="preserve">KG_MAX</t>
  </si>
  <si>
    <t xml:space="preserve">Separador de cartón: espesor</t>
  </si>
  <si>
    <t xml:space="preserve">Uno abajo, uno entre capas y la tapa</t>
  </si>
  <si>
    <t xml:space="preserve">SEP_E</t>
  </si>
  <si>
    <t xml:space="preserve">Separador de cartón: masa</t>
  </si>
  <si>
    <t xml:space="preserve">SEP_KG</t>
  </si>
  <si>
    <t xml:space="preserve">3) RACK DE PT</t>
  </si>
  <si>
    <t xml:space="preserve">Pallets por nivel de un módulo</t>
  </si>
  <si>
    <t xml:space="preserve">u</t>
  </si>
  <si>
    <t xml:space="preserve">Módulo de 2,30 m (igual que MP)</t>
  </si>
  <si>
    <t xml:space="preserve">POS_NIV</t>
  </si>
  <si>
    <t xml:space="preserve">Niveles (piso + 2 largueros)</t>
  </si>
  <si>
    <t xml:space="preserve">Balanceo2035, Parametros B45</t>
  </si>
  <si>
    <t xml:space="preserve">NIV_PT</t>
  </si>
  <si>
    <t xml:space="preserve">Carga por nivel del módulo</t>
  </si>
  <si>
    <t xml:space="preserve">Rack de 2.000 kg/nivel (módulo R1 de MP)</t>
  </si>
  <si>
    <t xml:space="preserve">KG_NIV</t>
  </si>
  <si>
    <t xml:space="preserve">Holgura sobre el pallet</t>
  </si>
  <si>
    <t xml:space="preserve">Para entrar y sacar con las uñas</t>
  </si>
  <si>
    <t xml:space="preserve">HOLG_V</t>
  </si>
  <si>
    <t xml:space="preserve">Alto del larguero</t>
  </si>
  <si>
    <t xml:space="preserve">LARG</t>
  </si>
  <si>
    <t xml:space="preserve">Margen para pasar el pallet por encima del larguero</t>
  </si>
  <si>
    <t xml:space="preserve">m</t>
  </si>
  <si>
    <t xml:space="preserve">MARGEN_ELEV</t>
  </si>
  <si>
    <t xml:space="preserve">Elevación del mástil estándar del Heli CPCD50</t>
  </si>
  <si>
    <t xml:space="preserve">Words de manuales y carros</t>
  </si>
  <si>
    <t xml:space="preserve">ELEV_STD</t>
  </si>
  <si>
    <t xml:space="preserve">Elevación del mástil opcional</t>
  </si>
  <si>
    <t xml:space="preserve">El balanceo dice torre de 3 a 6 m. Se propone 4,5 m</t>
  </si>
  <si>
    <t xml:space="preserve">ELEV_ALT</t>
  </si>
  <si>
    <t xml:space="preserve">Frente de un módulo</t>
  </si>
  <si>
    <t xml:space="preserve">MOD_FRENTE</t>
  </si>
  <si>
    <t xml:space="preserve">Fondo del rack</t>
  </si>
  <si>
    <t xml:space="preserve">Pallet de 1.200 de fondo con 50 mm de vuelo</t>
  </si>
  <si>
    <t xml:space="preserve">MOD_FONDO</t>
  </si>
  <si>
    <t xml:space="preserve">Ancho de la calle del autoelevador</t>
  </si>
  <si>
    <t xml:space="preserve">Word de carros (radio de giro 2,93 m + pallet + margen)</t>
  </si>
  <si>
    <t xml:space="preserve">CALLE</t>
  </si>
  <si>
    <t xml:space="preserve">Factor de circulación para lo que va en el piso</t>
  </si>
  <si>
    <t xml:space="preserve">×</t>
  </si>
  <si>
    <t xml:space="preserve">Supuesto: pasillos entre carros, recipientes y pallets en el piso</t>
  </si>
  <si>
    <t xml:space="preserve">F_CIRC</t>
  </si>
  <si>
    <t xml:space="preserve">4) PINTURA TERCERIZADA DE CARROS</t>
  </si>
  <si>
    <t xml:space="preserve">Días desde que salen de planta hasta que vuelven pintados</t>
  </si>
  <si>
    <t xml:space="preserve">días hábiles</t>
  </si>
  <si>
    <t xml:space="preserve">Balanceo2035, Carga X87 y Word de carros</t>
  </si>
  <si>
    <t xml:space="preserve">PLAZO_PINT</t>
  </si>
  <si>
    <t xml:space="preserve">Días entre envíos al pintor (elegido)</t>
  </si>
  <si>
    <t xml:space="preserve">Ver hoja Pintura, sección 2: se compara 1, 2, 3 y 5 días</t>
  </si>
  <si>
    <t xml:space="preserve">DIAS_PINT</t>
  </si>
  <si>
    <t xml:space="preserve">Días que el pintado espera la carga de polvo (vuelve el envío entero)</t>
  </si>
  <si>
    <t xml:space="preserve">La Master trae de una vez los pintados de un envío (2 días) y la carga hace 14 por día. Las ruedas se ponen en el montaje (13). Igual que Pulmones-FLAMA2035</t>
  </si>
  <si>
    <t xml:space="preserve">DIAS_PINTADOS</t>
  </si>
  <si>
    <t xml:space="preserve">5) CARRO DE MANIPULACIÓN ADAPTABLE (de la salida de accesorios a la espera del pintor)</t>
  </si>
  <si>
    <t xml:space="preserve">Días desde la salida de accesorios (8) hasta el fin del secado (10)</t>
  </si>
  <si>
    <t xml:space="preserve">Supuesto: lo que se suelda en el día pasa la PH y el secado en el día</t>
  </si>
  <si>
    <t xml:space="preserve">DIAS_DOLLY</t>
  </si>
  <si>
    <t xml:space="preserve">Reserva</t>
  </si>
  <si>
    <t xml:space="preserve">Reparaciones y rechazados de la PH que esperan sobre el carro</t>
  </si>
  <si>
    <t xml:space="preserve">RES_DOLLY</t>
  </si>
  <si>
    <t xml:space="preserve">Carros para cargar y descargar la Master</t>
  </si>
  <si>
    <t xml:space="preserve">Uno sube por la rampa mientras el otro se carga</t>
  </si>
  <si>
    <t xml:space="preserve">DOLLY_CARGA</t>
  </si>
  <si>
    <t xml:space="preserve">Carro de manipulación: largo en planta</t>
  </si>
  <si>
    <t xml:space="preserve">DOLLY_L</t>
  </si>
  <si>
    <t xml:space="preserve">Carro de manipulación: ancho</t>
  </si>
  <si>
    <t xml:space="preserve">DOLLY_A</t>
  </si>
  <si>
    <t xml:space="preserve">6) VEHÍCULOS</t>
  </si>
  <si>
    <t xml:space="preserve">Horas por día que trabaja cada vehículo</t>
  </si>
  <si>
    <t xml:space="preserve">h</t>
  </si>
  <si>
    <t xml:space="preserve">H_DIA</t>
  </si>
  <si>
    <t xml:space="preserve">Horas por viaje: camión chico (cargar, repartir, volver)</t>
  </si>
  <si>
    <t xml:space="preserve">SUPUESTO: reparto en el AMBA</t>
  </si>
  <si>
    <t xml:space="preserve">H_CHICO</t>
  </si>
  <si>
    <t xml:space="preserve">Horas por viaje: sider</t>
  </si>
  <si>
    <t xml:space="preserve">SUPUESTO</t>
  </si>
  <si>
    <t xml:space="preserve">H_SIDER</t>
  </si>
  <si>
    <t xml:space="preserve">Horas por viaje: Master a clientes</t>
  </si>
  <si>
    <t xml:space="preserve">H_MCLI</t>
  </si>
  <si>
    <t xml:space="preserve">Horas por viaje: Master al pintor (ida y vuelta, carga y descarga)</t>
  </si>
  <si>
    <t xml:space="preserve">SUPUESTO: pintor cercano</t>
  </si>
  <si>
    <t xml:space="preserve">H_MPINT</t>
  </si>
  <si>
    <t xml:space="preserve">Cintas con crique por Master</t>
  </si>
  <si>
    <t xml:space="preserve">Una por cada fila de recipientes y dos de reserva</t>
  </si>
  <si>
    <t xml:space="preserve">CINTAS_MASTER</t>
  </si>
  <si>
    <t xml:space="preserve">CUÁNTO VA EN CADA PALLET — nuevos en caja, cilindros vacíos y carros</t>
  </si>
  <si>
    <t xml:space="preserve">Pallet ARLOG 1.200 × 1.000. Las cajas van paradas con el matafuego parado adentro; los cilindros van parados con un cartón entre capas, tapa, esquineros y film.</t>
  </si>
  <si>
    <t xml:space="preserve">▶ Fila 16: matafuegos por pallet. Fila 31: cilindros por pallet. Fila 37: carros por Master.</t>
  </si>
  <si>
    <t xml:space="preserve">1) MATAFUEGOS NUEVOS EN CAJA (cajas paradas, en capas)</t>
  </si>
  <si>
    <t xml:space="preserve">1 kg</t>
  </si>
  <si>
    <t xml:space="preserve">2,5 kg</t>
  </si>
  <si>
    <t xml:space="preserve">5 kg</t>
  </si>
  <si>
    <t xml:space="preserve">10 kg</t>
  </si>
  <si>
    <t xml:space="preserve">Matafuegos por caja</t>
  </si>
  <si>
    <t xml:space="preserve">Peso de la caja llena</t>
  </si>
  <si>
    <t xml:space="preserve">Cajas a lo largo (1.200)</t>
  </si>
  <si>
    <t xml:space="preserve">Cajas a lo ancho (1.000)</t>
  </si>
  <si>
    <t xml:space="preserve">Cajas por capa</t>
  </si>
  <si>
    <t xml:space="preserve">Capas por alto</t>
  </si>
  <si>
    <t xml:space="preserve">Capas por peso</t>
  </si>
  <si>
    <t xml:space="preserve">Capas</t>
  </si>
  <si>
    <t xml:space="preserve">Cajas por pallet</t>
  </si>
  <si>
    <t xml:space="preserve">Matafuegos por pallet</t>
  </si>
  <si>
    <t xml:space="preserve">Peso del pallet</t>
  </si>
  <si>
    <t xml:space="preserve">Alto del pallet</t>
  </si>
  <si>
    <t xml:space="preserve">2) CILINDROS VACÍOS (parados, cartón abajo, entre capas y arriba, esquineros y film)</t>
  </si>
  <si>
    <t xml:space="preserve">25 kg</t>
  </si>
  <si>
    <t xml:space="preserve">50 kg</t>
  </si>
  <si>
    <t xml:space="preserve">70 kg</t>
  </si>
  <si>
    <t xml:space="preserve">100 kg</t>
  </si>
  <si>
    <t xml:space="preserve">Ø</t>
  </si>
  <si>
    <t xml:space="preserve">Alto con tapón</t>
  </si>
  <si>
    <t xml:space="preserve">Masa</t>
  </si>
  <si>
    <t xml:space="preserve">Cilindros a lo largo (1.200)</t>
  </si>
  <si>
    <t xml:space="preserve">Cilindros a lo ancho (1.000)</t>
  </si>
  <si>
    <t xml:space="preserve">Cilindros por capa</t>
  </si>
  <si>
    <t xml:space="preserve">Cilindros por pallet</t>
  </si>
  <si>
    <t xml:space="preserve">3) CARROS TERMINADOS (sin caja, parados sobre sus ruedas en la Master, atados con cintas)</t>
  </si>
  <si>
    <t xml:space="preserve">Carros por Master</t>
  </si>
  <si>
    <t xml:space="preserve">Peso del carro cargado</t>
  </si>
  <si>
    <t xml:space="preserve">Capas por alto: el pallet con la carga no pasa de H_MAX. Capas por peso: la carga no pasa de KG_MAX. Se toma la menor. En los cilindros se suma un cartón de 3 mm por capa más la tapa.</t>
  </si>
  <si>
    <t xml:space="preserve">STOCK DE PRODUCTO TERMINADO — lo que deja el sobrestock, la seguridad y el pallet en armado</t>
  </si>
  <si>
    <t xml:space="preserve">La producción de manuales va más pareja que las ventas (sobrestock): el stock sube en los meses flojos y baja en el pico. Los carros se hacen mes a mes lo que se vende.</t>
  </si>
  <si>
    <t xml:space="preserve">▶ Sección 2: stock máximo y pallets de cada producto. Sección 3: pallets en stock mes a mes.</t>
  </si>
  <si>
    <t xml:space="preserve">1) VENTAS, PRODUCCIÓN Y ACUMULADO DE CADA MES (u)</t>
  </si>
  <si>
    <t xml:space="preserve">Ventas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</si>
  <si>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</si>
  <si>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</si>
  <si>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</si>
  <si>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</si>
  <si>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</si>
  <si>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</si>
  <si>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</si>
  <si>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</si>
  <si>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</si>
  <si>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</si>
  <si>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</si>
  <si>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</si>
  <si>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Año</t>
  </si>
  <si>
    <t xml:space="preserve">Nuevo 1 kg (en caja)</t>
  </si>
  <si>
    <t xml:space="preserve">Nuevo 2,5 kg (en caja)</t>
  </si>
  <si>
    <t xml:space="preserve">Nuevo 5 kg (en caja)</t>
  </si>
  <si>
    <t xml:space="preserve">Nuevo 10 kg (en caja)</t>
  </si>
  <si>
    <t xml:space="preserve">Cilindro 1 kg (manuales)</t>
  </si>
  <si>
    <t xml:space="preserve">Cilindro 2,5 kg (manuales)</t>
  </si>
  <si>
    <t xml:space="preserve">Cilindro 5 kg (manuales)</t>
  </si>
  <si>
    <t xml:space="preserve">Cilindro 10 kg (manuales)</t>
  </si>
  <si>
    <t xml:space="preserve">Carro 25 kg terminado</t>
  </si>
  <si>
    <t xml:space="preserve">Carro 50 kg terminado</t>
  </si>
  <si>
    <t xml:space="preserve">Carro 70 kg terminado</t>
  </si>
  <si>
    <t xml:space="preserve">Carro 100 kg terminado</t>
  </si>
  <si>
    <t xml:space="preserve">Cilindro de carro 25 kg</t>
  </si>
  <si>
    <t xml:space="preserve">Cilindro de carro 50 kg</t>
  </si>
  <si>
    <t xml:space="preserve">Cilindro de carro 70 kg</t>
  </si>
  <si>
    <t xml:space="preserve">Cilindro de carro 100 kg</t>
  </si>
  <si>
    <t xml:space="preserve">Producción</t>
  </si>
  <si>
    <t xml:space="preserve">Acumulado (producción − ventas)</t>
  </si>
  <si>
    <t xml:space="preserve">2) STOCK MÁXIMO DE CADA PRODUCTO</t>
  </si>
  <si>
    <t xml:space="preserve">Producto</t>
  </si>
  <si>
    <t xml:space="preserve">Ventas del año (u)</t>
  </si>
  <si>
    <t xml:space="preserve">Stock al 1 de enero (u)</t>
  </si>
  <si>
    <t xml:space="preserve">Stock máximo por sobrestock (u)</t>
  </si>
  <si>
    <t xml:space="preserve">Mes del máximo</t>
  </si>
  <si>
    <t xml:space="preserve">Venta por día (u)</t>
  </si>
  <si>
    <t xml:space="preserve">Días de seguridad</t>
  </si>
  <si>
    <t xml:space="preserve">Seguridad (u)</t>
  </si>
  <si>
    <t xml:space="preserve">Pallet en armado (u)</t>
  </si>
  <si>
    <t xml:space="preserve">Stock máximo (u)</t>
  </si>
  <si>
    <t xml:space="preserve">u por pallet (carros: por Master)</t>
  </si>
  <si>
    <t xml:space="preserve">Pallets (carros: en el piso)</t>
  </si>
  <si>
    <t xml:space="preserve">Peso del pallet (kg)</t>
  </si>
  <si>
    <t xml:space="preserve">Alto del pallet (mm)</t>
  </si>
  <si>
    <t xml:space="preserve">Pallets de nuevos en caja</t>
  </si>
  <si>
    <t xml:space="preserve">Pallets de cilindros de manuales</t>
  </si>
  <si>
    <t xml:space="preserve">Carros terminados en el piso</t>
  </si>
  <si>
    <t xml:space="preserve">Pallets de cilindros de carro</t>
  </si>
  <si>
    <t xml:space="preserve">Stock al 1 de enero = lo que hay que tener hecho a fin del año anterior para que nunca falte. Stock máximo por sobrestock = ese stock + el acumulado más alto. Igual que el balanceo (Pulmones, sección 4).</t>
  </si>
  <si>
    <t xml:space="preserve">3) PALLETS EN STOCK MES A MES (stock por sobrestock + seguridad, en pallets llenos equivalentes)</t>
  </si>
  <si>
    <t xml:space="preserve">Familia</t>
  </si>
  <si>
    <t xml:space="preserve">Máximo</t>
  </si>
  <si>
    <t xml:space="preserve">Nuevos en caja</t>
  </si>
  <si>
    <t xml:space="preserve">Cilindros de manuales</t>
  </si>
  <si>
    <t xml:space="preserve">Cilindros de carro</t>
  </si>
  <si>
    <t xml:space="preserve">Total</t>
  </si>
  <si>
    <t xml:space="preserve">ALMACÉN DE PT — rack de pallets, carros en el piso, andén y la rama de pintura</t>
  </si>
  <si>
    <t xml:space="preserve">Rack selectivo de 3 niveles con los pallets de nuevos y cilindros; los carros terminados en el piso; el andén con lo que sale en el día.</t>
  </si>
  <si>
    <t xml:space="preserve">▶ Fila 44: superficie total.</t>
  </si>
  <si>
    <t xml:space="preserve">1) RACK DE PALLETS (nuevos en caja y cilindros)</t>
  </si>
  <si>
    <t xml:space="preserve">Cómo sale</t>
  </si>
  <si>
    <t xml:space="preserve">pallets</t>
  </si>
  <si>
    <t xml:space="preserve">Stock_PT, sección 2</t>
  </si>
  <si>
    <t xml:space="preserve">Pallet más alto</t>
  </si>
  <si>
    <t xml:space="preserve">Paso entre largueros</t>
  </si>
  <si>
    <t xml:space="preserve">Pallet + holgura + larguero</t>
  </si>
  <si>
    <t xml:space="preserve">Altura del último larguero</t>
  </si>
  <si>
    <t xml:space="preserve">Altura a la que tiene que levantar el autoelevador</t>
  </si>
  <si>
    <t xml:space="preserve">Mástil que hace falta</t>
  </si>
  <si>
    <t xml:space="preserve">Pallet más pesado</t>
  </si>
  <si>
    <t xml:space="preserve">Pallets que van solo en el piso (más de la mitad de la carga del nivel)</t>
  </si>
  <si>
    <t xml:space="preserve">Los del 10 kg en caja (1.039 kg): dos juntos pasan los 2.000 kg del nivel</t>
  </si>
  <si>
    <t xml:space="preserve">Módulos de rack</t>
  </si>
  <si>
    <t xml:space="preserve">Lugares ÷ 6, y los pesados en el piso</t>
  </si>
  <si>
    <t xml:space="preserve">Lugares que da el rack</t>
  </si>
  <si>
    <t xml:space="preserve">Alto del bastidor</t>
  </si>
  <si>
    <t xml:space="preserve">Último larguero + guía para el pallet de arriba</t>
  </si>
  <si>
    <t xml:space="preserve">m² del rack con media calle</t>
  </si>
  <si>
    <t xml:space="preserve">m²</t>
  </si>
  <si>
    <t xml:space="preserve">2) CARROS TERMINADOS EN EL PISO (5 días de venta del mes pico)</t>
  </si>
  <si>
    <t xml:space="preserve">Modelo</t>
  </si>
  <si>
    <t xml:space="preserve">Carros</t>
  </si>
  <si>
    <t xml:space="preserve">m² por carro</t>
  </si>
  <si>
    <t xml:space="preserve">Largo × ancho del carro × F_CIRC</t>
  </si>
  <si>
    <t xml:space="preserve">m² de carros terminados</t>
  </si>
  <si>
    <t xml:space="preserve">3) ANDÉN (lo que sale en el día: un sider y un camión chico a la vez)</t>
  </si>
  <si>
    <t xml:space="preserve">Lugares de pallet en el andén</t>
  </si>
  <si>
    <t xml:space="preserve">m² del andén</t>
  </si>
  <si>
    <t xml:space="preserve">4) RAMA DE PINTURA Y CARROS DE MANIPULACIÓN</t>
  </si>
  <si>
    <t xml:space="preserve">Espera del pintor (recipientes parados con taco)</t>
  </si>
  <si>
    <t xml:space="preserve">Pintura B33</t>
  </si>
  <si>
    <t xml:space="preserve">Pintados esperando la carga</t>
  </si>
  <si>
    <t xml:space="preserve">Pintura B34</t>
  </si>
  <si>
    <t xml:space="preserve">Carros de manipulación estacionados</t>
  </si>
  <si>
    <t xml:space="preserve">Carro_manip B27</t>
  </si>
  <si>
    <t xml:space="preserve">m² de la rama de pintura</t>
  </si>
  <si>
    <t xml:space="preserve">5) TOTAL</t>
  </si>
  <si>
    <t xml:space="preserve">Nota</t>
  </si>
  <si>
    <t xml:space="preserve">Almacén de PT (rack + carros + andén)</t>
  </si>
  <si>
    <t xml:space="preserve">Antes = manuales y cilindros (122,1) + carros liberados (51,1) del balanceo; sin reventa ni sustitutos</t>
  </si>
  <si>
    <t xml:space="preserve">Rama de pintura (espera, pintados, carros de manipulación)</t>
  </si>
  <si>
    <t xml:space="preserve">En el balanceo está en los pulmones de carros</t>
  </si>
  <si>
    <t xml:space="preserve">DESPACHO — qué camión, cuántos por viaje y cada cuánto sale</t>
  </si>
  <si>
    <t xml:space="preserve">Vehículos propios. Nuevos en caja en el camión chico, cilindros en el sider, carros terminados y la pintura en la Master con rampa.</t>
  </si>
  <si>
    <t xml:space="preserve">▶ Sección 2: viajes por semana en el pico, días fijos y vehículos que hacen falta.</t>
  </si>
  <si>
    <t xml:space="preserve">1) MES A MES</t>
  </si>
  <si>
    <t xml:space="preserve">Pico</t>
  </si>
  <si>
    <t xml:space="preserve">Camión chico · nuevos en caja: pallets</t>
  </si>
  <si>
    <t xml:space="preserve">Camión chico · nuevos en caja: kg</t>
  </si>
  <si>
    <t xml:space="preserve">Camión chico: viajes</t>
  </si>
  <si>
    <t xml:space="preserve">Sider · cilindros (manuales y de carro): pallets</t>
  </si>
  <si>
    <t xml:space="preserve">Sider · cilindros: kg</t>
  </si>
  <si>
    <t xml:space="preserve">Sider: viajes</t>
  </si>
  <si>
    <t xml:space="preserve">Master · carros terminados: cargas</t>
  </si>
  <si>
    <t xml:space="preserve">Master · carros terminados: kg</t>
  </si>
  <si>
    <t xml:space="preserve">Master a clientes: viajes</t>
  </si>
  <si>
    <t xml:space="preserve">Master al pintor: cargas del mes</t>
  </si>
  <si>
    <t xml:space="preserve">Master al pintor: viajes (ida y vuelta)</t>
  </si>
  <si>
    <t xml:space="preserve">2) VIAJES POR SEMANA EN EL MES PICO, DÍAS FIJOS Y VEHÍCULOS</t>
  </si>
  <si>
    <t xml:space="preserve">Vehículo · qué lleva</t>
  </si>
  <si>
    <t xml:space="preserve">Viajes por semana (pico)</t>
  </si>
  <si>
    <t xml:space="preserve">Salidas por semana</t>
  </si>
  <si>
    <t xml:space="preserve">Qué días</t>
  </si>
  <si>
    <t xml:space="preserve">Horas por viaje</t>
  </si>
  <si>
    <t xml:space="preserve">Horas por semana</t>
  </si>
  <si>
    <t xml:space="preserve">Vehículos</t>
  </si>
  <si>
    <t xml:space="preserve">Uso</t>
  </si>
  <si>
    <t xml:space="preserve">Camión chico · nuevos en caja</t>
  </si>
  <si>
    <t xml:space="preserve">Sider · cilindros de manuales y de carro</t>
  </si>
  <si>
    <t xml:space="preserve">Master · carros terminados a clientes</t>
  </si>
  <si>
    <t xml:space="preserve">Master · pintor (crudos de ida, pintados de vuelta)</t>
  </si>
  <si>
    <t xml:space="preserve">Master · total (clientes + pintor)</t>
  </si>
  <si>
    <t xml:space="preserve">Los pedidos se juntan hasta el día fijo de su vehículo ("se van entregando a medida"). Camión chico y sider salen en días distintos para no llenar el andén.</t>
  </si>
  <si>
    <t xml:space="preserve">Horas por viaje: supuestos (no hay distancias a clientes ni al pintor). Si cambian, se corrigen en Parametros sección 6.</t>
  </si>
  <si>
    <t xml:space="preserve">RAMA INTERMEDIA: CARROS A LA PINTURA TERCERIZADA</t>
  </si>
  <si>
    <t xml:space="preserve">Recipientes de carro (terminados y cilindros que se venden) con los accesorios soldados, probados y secos. Van sin ruedas, atados en la Master; vuelven pintados en 3 días hábiles.</t>
  </si>
  <si>
    <t xml:space="preserve">▶ Sección 2: cada cuántos días conviene mandar. Sección 3: lo que queda en planta y afuera.</t>
  </si>
  <si>
    <t xml:space="preserve">1) CUÁNTOS RECIPIENTES VAN A PINTAR (mes pico de carros)</t>
  </si>
  <si>
    <t xml:space="preserve">Recipientes del mes pico (term. + cil.)</t>
  </si>
  <si>
    <t xml:space="preserve">Por día</t>
  </si>
  <si>
    <t xml:space="preserve">Por Master</t>
  </si>
  <si>
    <t xml:space="preserve">Cargas de Master por día</t>
  </si>
  <si>
    <t xml:space="preserve">kg por día (con accesorios)</t>
  </si>
  <si>
    <t xml:space="preserve">Largo (mm)</t>
  </si>
  <si>
    <t xml:space="preserve">Ancho (mm)</t>
  </si>
  <si>
    <t xml:space="preserve">m² en el piso (con circulación)</t>
  </si>
  <si>
    <t xml:space="preserve">m² promedio</t>
  </si>
  <si>
    <t xml:space="preserve">Recipientes de carros por mes</t>
  </si>
  <si>
    <t xml:space="preserve">Mes pico de carros</t>
  </si>
  <si>
    <t xml:space="preserve">2) CADA CUÁNTOS DÍAS CONVIENE MANDAR (la Master va con los crudos y vuelve con los pintados del envío anterior)</t>
  </si>
  <si>
    <t xml:space="preserve">Días entre envíos</t>
  </si>
  <si>
    <t xml:space="preserve">Recipientes por envío</t>
  </si>
  <si>
    <t xml:space="preserve">Cargas de Master por envío</t>
  </si>
  <si>
    <t xml:space="preserve">Viajes por envío</t>
  </si>
  <si>
    <t xml:space="preserve">Llenado de la Master</t>
  </si>
  <si>
    <t xml:space="preserve">Viajes por semana</t>
  </si>
  <si>
    <t xml:space="preserve">Espera máxima en planta (días)</t>
  </si>
  <si>
    <t xml:space="preserve">Recipientes esperando (máx.)</t>
  </si>
  <si>
    <t xml:space="preserve">Recipientes en el pintor</t>
  </si>
  <si>
    <t xml:space="preserve">m² de espera</t>
  </si>
  <si>
    <t xml:space="preserve">Elegida</t>
  </si>
  <si>
    <t xml:space="preserve">5 días = el lote semanal del balanceo y del Word de carros. Los viajes son de ida y vuelta: la Master deja los crudos y trae los pintados que salieron un envío antes.</t>
  </si>
  <si>
    <t xml:space="preserve">3) CON LOS DÍAS ELEGIDOS (Parametros, DIAS_PINT)</t>
  </si>
  <si>
    <t xml:space="preserve">Antes (balanceo)</t>
  </si>
  <si>
    <t xml:space="preserve">Viajes de la Master por envío</t>
  </si>
  <si>
    <t xml:space="preserve">viajes</t>
  </si>
  <si>
    <t xml:space="preserve">Viajes de la Master por semana (ida y vuelta)</t>
  </si>
  <si>
    <t xml:space="preserve">Recipientes esperando el envío (máx.)</t>
  </si>
  <si>
    <t xml:space="preserve">Pintados esperando la carga de polvo (el envío entero)</t>
  </si>
  <si>
    <t xml:space="preserve">Total fuera de la línea (después del secado)</t>
  </si>
  <si>
    <t xml:space="preserve">m² de la espera del pintor</t>
  </si>
  <si>
    <t xml:space="preserve">m² de los pintados</t>
  </si>
  <si>
    <t xml:space="preserve">Filas 29 a 34: los recipientes y m² son los del pulmón (Pulmones-FLAMA2035, hoja Carros: enero, por modelo y en filas llenas, iguales al Balanceo). La sección 2 compara frecuencias con el promedio del mes pico de carros y sirve para elegir cada cuántos días mandar.</t>
  </si>
  <si>
    <t xml:space="preserve">Al volver, se baja con el carro de manipulación por la rampa y espera sin ruedas, parado sobre el taco: vuelve el envío entero junto y la carga de polvo hace 14 por día. Las ruedas se ponen en el montaje (13).</t>
  </si>
  <si>
    <t xml:space="preserve">CARRO DE MANIPULACIÓN ADAPTABLE — uno solo para los recipientes de 25, 50, 70 y 100 kg</t>
  </si>
  <si>
    <t xml:space="preserve">Reemplaza a los juegos provisorios de eje y ruedas. Lleva el recipiente de la salida de accesorios a la PH, al secado, a la espera del pintor y a la Master.</t>
  </si>
  <si>
    <t xml:space="preserve">▶ Fila 25: cuántos hay que fabricar.</t>
  </si>
  <si>
    <t xml:space="preserve">1) CÓMO ES (fabricación propia)</t>
  </si>
  <si>
    <t xml:space="preserve">Característica</t>
  </si>
  <si>
    <t xml:space="preserve">Por qué</t>
  </si>
  <si>
    <t xml:space="preserve">Capacidad</t>
  </si>
  <si>
    <t xml:space="preserve">El recipiente de 100 kg con accesorios lleno de agua en la PH pesa unos 175 kg (Word de carros: 157 kg el cuerpo lleno + accesorios). Margen 40 %.</t>
  </si>
  <si>
    <t xml:space="preserve">Diámetro que abraza la cuna en V</t>
  </si>
  <si>
    <t xml:space="preserve">250 a 420</t>
  </si>
  <si>
    <t xml:space="preserve">Recipientes de Ø 276,5 (25 kg), 320 (50 kg) y 390 (70 y 100 kg): la V se apoya en dos generatrices sin importar el Ø.</t>
  </si>
  <si>
    <t xml:space="preserve">Alto de la cuna (regulable con pasador, cada 50 mm)</t>
  </si>
  <si>
    <t xml:space="preserve">350 a 750</t>
  </si>
  <si>
    <t xml:space="preserve">La cuna toma el cuerpo arriba del centro de gravedad: cuerpos de 490 a 900 mm de alto.</t>
  </si>
  <si>
    <t xml:space="preserve">Nariz (placa donde apoya el fondo)</t>
  </si>
  <si>
    <t xml:space="preserve">420 × 320</t>
  </si>
  <si>
    <t xml:space="preserve">Entra por debajo del fondo de Ø 390 entre la pata y los triángulos; chapa de 6 mm.</t>
  </si>
  <si>
    <t xml:space="preserve">Ruedas</t>
  </si>
  <si>
    <t xml:space="preserve">Ø 300 × 50</t>
  </si>
  <si>
    <t xml:space="preserve">Macizas, las del carro de 25 kg (Ruedar): suben la rampa de la Master.</t>
  </si>
  <si>
    <t xml:space="preserve">Ancho total</t>
  </si>
  <si>
    <t xml:space="preserve">Pasa por puertas y entre los recipientes en la espera.</t>
  </si>
  <si>
    <t xml:space="preserve">Largo en planta (con el recipiente)</t>
  </si>
  <si>
    <t xml:space="preserve">Alto de la manija</t>
  </si>
  <si>
    <t xml:space="preserve">Como el de la foto: se empuja parado, sin agacharse.</t>
  </si>
  <si>
    <t xml:space="preserve">Sujeción</t>
  </si>
  <si>
    <t xml:space="preserve">Cinta 50 mm con crique</t>
  </si>
  <si>
    <t xml:space="preserve">Abraza el cuerpo contra la cuna; se abre con una mano.</t>
  </si>
  <si>
    <t xml:space="preserve">Peso propio (estimado)</t>
  </si>
  <si>
    <t xml:space="preserve">Caño de 1¼" × 2 mm, chapa de la nariz, eje y ruedas.</t>
  </si>
  <si>
    <t xml:space="preserve">2) CUÁNTOS HACEN FALTA</t>
  </si>
  <si>
    <t xml:space="preserve">Recipientes por día (mes pico)</t>
  </si>
  <si>
    <t xml:space="preserve">Hoja Pintura, C11</t>
  </si>
  <si>
    <t xml:space="preserve">Días que el recipiente está sobre el carro</t>
  </si>
  <si>
    <t xml:space="preserve">De la salida de accesorios (8) al fin del secado (10)</t>
  </si>
  <si>
    <t xml:space="preserve">Carros en uso</t>
  </si>
  <si>
    <t xml:space="preserve">Ley de Little: lo que entra por día × días que tarda</t>
  </si>
  <si>
    <t xml:space="preserve">Reparaciones y rechazados de la PH</t>
  </si>
  <si>
    <t xml:space="preserve">Para cargar y descargar la Master</t>
  </si>
  <si>
    <t xml:space="preserve">Carros de manipulación a fabricar</t>
  </si>
  <si>
    <t xml:space="preserve">Antes: juegos provisorios de eje y ruedas</t>
  </si>
  <si>
    <t xml:space="preserve">juegos</t>
  </si>
  <si>
    <t xml:space="preserve">Word de carros: 354 ruedas y 177 ejes que viajaban al pintor</t>
  </si>
  <si>
    <t xml:space="preserve">m² para estacionarlos</t>
  </si>
  <si>
    <t xml:space="preserve">Al lado de la salida de accesorios</t>
  </si>
  <si>
    <t xml:space="preserve">EQUIPOS DEL ALMACÉN DE PT Y DE LA RAMA DE PINTURA</t>
  </si>
  <si>
    <t xml:space="preserve">Cantidades con fórmula; precios con IVA de la lista de MP. Lo que no tiene precio hay que cotizarlo. Los vehículos ya son de FLAMA.</t>
  </si>
  <si>
    <t xml:space="preserve">▶ Fila del total.</t>
  </si>
  <si>
    <t xml:space="preserve">Equipo</t>
  </si>
  <si>
    <t xml:space="preserve">Para qué</t>
  </si>
  <si>
    <t xml:space="preserve">Id</t>
  </si>
  <si>
    <t xml:space="preserve">Cantidad</t>
  </si>
  <si>
    <t xml:space="preserve">Precio con IVA</t>
  </si>
  <si>
    <t xml:space="preserve">Subtotal</t>
  </si>
  <si>
    <t xml:space="preserve">Cómo sale la cantidad</t>
  </si>
  <si>
    <t xml:space="preserve">Rack selectivo 2.000 kg/nivel — módulo inicial</t>
  </si>
  <si>
    <t xml:space="preserve">Pallets de nuevos y cilindros</t>
  </si>
  <si>
    <t xml:space="preserve">R1I</t>
  </si>
  <si>
    <t xml:space="preserve">1 por fila de rack. Bastidor de 4 m: el precio es del de 3 m</t>
  </si>
  <si>
    <t xml:space="preserve">Rack selectivo 2.000 kg/nivel — módulo adicional</t>
  </si>
  <si>
    <t xml:space="preserve">Ídem</t>
  </si>
  <si>
    <t xml:space="preserve">R1A</t>
  </si>
  <si>
    <t xml:space="preserve">Almacen_PT B15 − 1</t>
  </si>
  <si>
    <t xml:space="preserve">Mástil de 4,5 m para el Heli</t>
  </si>
  <si>
    <t xml:space="preserve">Llegar al 2.º larguero</t>
  </si>
  <si>
    <t xml:space="preserve">M45</t>
  </si>
  <si>
    <t xml:space="preserve">Almacen_PT B12</t>
  </si>
  <si>
    <t xml:space="preserve">Carro de manipulación adaptable</t>
  </si>
  <si>
    <t xml:space="preserve">Recipientes de carro de accesorios a la espera y a la Master</t>
  </si>
  <si>
    <t xml:space="preserve">CM</t>
  </si>
  <si>
    <t xml:space="preserve">Carro_manip B25</t>
  </si>
  <si>
    <t xml:space="preserve">Cinta de amarre 50 mm con crique</t>
  </si>
  <si>
    <t xml:space="preserve">Atar los recipientes y los carros en la Master</t>
  </si>
  <si>
    <t xml:space="preserve">CC</t>
  </si>
  <si>
    <t xml:space="preserve">8 por Master</t>
  </si>
  <si>
    <t xml:space="preserve">Taco de madera</t>
  </si>
  <si>
    <t xml:space="preserve">Apoyar el recipiente en la espera</t>
  </si>
  <si>
    <t xml:space="preserve">TM</t>
  </si>
  <si>
    <t xml:space="preserve">Uno por recipiente esperando</t>
  </si>
  <si>
    <t xml:space="preserve">Cinta demarcatoria</t>
  </si>
  <si>
    <t xml:space="preserve">Rack, carros, andén, espera y pintados</t>
  </si>
  <si>
    <t xml:space="preserve">D1</t>
  </si>
  <si>
    <t xml:space="preserve">Criterio</t>
  </si>
  <si>
    <t xml:space="preserve">Total con IVA (sin lo que hay que cotizar)</t>
  </si>
  <si>
    <t xml:space="preserve">No incluye: envolvedora de pallets (ya está en el embalaje de manuales), vehículos (ya son de FLAMA, con su rampa), pallets descartables y film (consumibles).</t>
  </si>
  <si>
    <t xml:space="preserve">DATOS PEGADOS (balanceo limpio, palletizado_PT y Word de carros)</t>
  </si>
  <si>
    <t xml:space="preserve">Valores copiados de las planillas del proyecto. Si cambian, se vuelven a pegar acá; todo lo demás se recalcula.</t>
  </si>
  <si>
    <t xml:space="preserve">▶ Esta hoja no se lee: solo guarda los datos.</t>
  </si>
  <si>
    <t xml:space="preserve">1) VENTAS DE CADA MES 2035 (u) — Balanceo2035, Datos filas 79 a 86 y 162 a 169</t>
  </si>
  <si>
    <t xml:space="preserve">Carros terminados</t>
  </si>
  <si>
    <t xml:space="preserve">Cilindros de carros</t>
  </si>
  <si>
    <t xml:space="preserve">2) PERFIL DE PRODUCCIÓN DE MANUALES (% del año que se fabrica cada mes, con sobrestock) — Balanceo2035, Datos filas 173 a 176</t>
  </si>
  <si>
    <t xml:space="preserve">Los carros se fabrican mes a mes lo que se vende (plan mensual de carros del balanceo): no tienen sobrestock.</t>
  </si>
  <si>
    <t xml:space="preserve">3) CAJAS, CILINDROS Y CARROS — palletizado_PT (hoja Datos) y Word de carros</t>
  </si>
  <si>
    <t xml:space="preserve">Fuente</t>
  </si>
  <si>
    <t xml:space="preserve">ET de matafuegos (palletizado_PT)</t>
  </si>
  <si>
    <t xml:space="preserve">Caja: largo</t>
  </si>
  <si>
    <t xml:space="preserve">palletizado_PT</t>
  </si>
  <si>
    <t xml:space="preserve">Caja: ancho</t>
  </si>
  <si>
    <t xml:space="preserve">Caja: alto (el matafuego va parado)</t>
  </si>
  <si>
    <t xml:space="preserve">Caja: tara</t>
  </si>
  <si>
    <t xml:space="preserve">palletizado_PT (estimado)</t>
  </si>
  <si>
    <t xml:space="preserve">Matafuego lleno con accesorios</t>
  </si>
  <si>
    <t xml:space="preserve">Cilindro: Ø</t>
  </si>
  <si>
    <t xml:space="preserve">MP, hoja Geometria Acero</t>
  </si>
  <si>
    <t xml:space="preserve">Cilindro: alto con tapón</t>
  </si>
  <si>
    <t xml:space="preserve">Cilindro: masa</t>
  </si>
  <si>
    <t xml:space="preserve">Carro: largo</t>
  </si>
  <si>
    <t xml:space="preserve">Carro: ancho</t>
  </si>
  <si>
    <t xml:space="preserve">Carro terminado cargado</t>
  </si>
  <si>
    <t xml:space="preserve">Ficha Georgia ABC (palletizado_PT)</t>
  </si>
  <si>
    <t xml:space="preserve">Recipiente con accesorios, sin ruedas (va al pintor)</t>
  </si>
  <si>
    <t xml:space="preserve">Word de carros (puesto 9)</t>
  </si>
  <si>
    <t xml:space="preserve">Carros por Master (por lugar; el peso no limita)</t>
  </si>
  <si>
    <t xml:space="preserve">palletizado_PT, hoja Camion</t>
  </si>
  <si>
    <t xml:space="preserve">4) VEHÍCULOS PROPIOS — palletizado_vistas.pdf y palletizado_PT (hojas Datos y Camion)</t>
  </si>
  <si>
    <t xml:space="preserve">Vehículo</t>
  </si>
  <si>
    <t xml:space="preserve">Pallets por viaje</t>
  </si>
  <si>
    <t xml:space="preserve">Carga útil (kg)</t>
  </si>
  <si>
    <t xml:space="preserve">Largo útil (m)</t>
  </si>
  <si>
    <t xml:space="preserve">Ancho útil (m)</t>
  </si>
  <si>
    <t xml:space="preserve">Camión chico: GyL baranda volcable 4,30 m (Accelo 1016)</t>
  </si>
  <si>
    <t xml:space="preserve">3 × 2 pallets; carga lateral con autoelevador</t>
  </si>
  <si>
    <t xml:space="preserve">Sider GyL balancín 7,50 m</t>
  </si>
  <si>
    <t xml:space="preserve">7 × 2 pallets; carga lateral con autoelevador</t>
  </si>
  <si>
    <t xml:space="preserve">Renault Master L3H2 (con rampa)</t>
  </si>
  <si>
    <t xml:space="preserve">Carros sueltos: por modelo en la fila 46</t>
  </si>
  <si>
    <t xml:space="preserve">5) ANTES: LO QUE TIENE EL BALANCEO Y EL WORD DE CARROS</t>
  </si>
  <si>
    <t xml:space="preserve">PT de manuales y cilindros (pallets de 400 / 167 / 90 / 40)</t>
  </si>
  <si>
    <t xml:space="preserve">Balanceo2035, Pulmones F79</t>
  </si>
  <si>
    <t xml:space="preserve">PT de manuales y cilindros</t>
  </si>
  <si>
    <t xml:space="preserve">Balanceo2035, Pulmones D79</t>
  </si>
  <si>
    <t xml:space="preserve">Carros liberados en el piso</t>
  </si>
  <si>
    <t xml:space="preserve">Balanceo2035, Pulmones D83</t>
  </si>
  <si>
    <t xml:space="preserve">Almacén de PT total (con reventa y sustitutos)</t>
  </si>
  <si>
    <t xml:space="preserve">Balanceo2035, Pulmones D85</t>
  </si>
  <si>
    <t xml:space="preserve">Juegos provisorios de eje y ruedas</t>
  </si>
  <si>
    <t xml:space="preserve">Word de carros, puesto 8</t>
  </si>
  <si>
    <t xml:space="preserve">Carros secos esperando el lote semanal (5 días)</t>
  </si>
  <si>
    <t xml:space="preserve">Balanceo2035, Pulmones L48</t>
  </si>
  <si>
    <t xml:space="preserve">Carros en el pintor (3 días)</t>
  </si>
  <si>
    <t xml:space="preserve">Balanceo2035, Pulmones L49</t>
  </si>
  <si>
    <t xml:space="preserve">Carros pintados esperando la carga (2 días)</t>
  </si>
  <si>
    <t xml:space="preserve">Balanceo2035, Pulmones L50</t>
  </si>
  <si>
    <t xml:space="preserve">6) PRECIOS (con IVA, relevados el 21/10/2026 para MP)</t>
  </si>
  <si>
    <t xml:space="preserve">Tienda</t>
  </si>
  <si>
    <t xml:space="preserve">Rack selectivo 2,30 × 1,00 × 3 m, 2 niveles, 2.000 kg/nivel — módulo inicial</t>
  </si>
  <si>
    <t xml:space="preserve">Estanterías Boyacá</t>
  </si>
  <si>
    <t xml:space="preserve">Ídem — módulo adicional</t>
  </si>
  <si>
    <t xml:space="preserve">Cinta demarcatoria 50 mm × 33 m</t>
  </si>
  <si>
    <t xml:space="preserve">Easy</t>
  </si>
  <si>
    <t xml:space="preserve">Mástil de 4,5 m para el Heli CPCD50 (diferencia contra el de 3 m)</t>
  </si>
  <si>
    <t xml:space="preserve">A cotizar con Heli</t>
  </si>
  <si>
    <t xml:space="preserve">Carro de manipulación adaptable (fabricación propia)</t>
  </si>
  <si>
    <t xml:space="preserve">A cotizar: caño, 2 ruedas Ø 300, cinta con crique</t>
  </si>
  <si>
    <t xml:space="preserve">Cinta de amarre de 50 mm con crique, 2 t</t>
  </si>
  <si>
    <t xml:space="preserve">A cotizar</t>
  </si>
  <si>
    <t xml:space="preserve">Taco de madera para apoyar el recipiente en la espera</t>
  </si>
  <si>
    <t xml:space="preserve">Recorte propio</t>
  </si>
  <si>
    <t xml:space="preserve">6) PULMONES DE LA RAMA DE PINTURA — Pulmones-FLAMA2035.xlsx, hoja Carros, filas 11 a 13 (los mismos del Balanceo, Pulmones filas 48 a 50)</t>
  </si>
  <si>
    <t xml:space="preserve">Recipientes esperando el envío al pintor (máx.)</t>
  </si>
  <si>
    <t xml:space="preserve">Carros H11</t>
  </si>
  <si>
    <t xml:space="preserve">Carros H12</t>
  </si>
  <si>
    <t xml:space="preserve">Pintados esperando la carga de polvo (máx., el envío entero)</t>
  </si>
  <si>
    <t xml:space="preserve">Carros H13</t>
  </si>
  <si>
    <t xml:space="preserve">Carros J11</t>
  </si>
  <si>
    <t xml:space="preserve">Carros J13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</si>
</sst>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#,##0"/>
    <numFmt numFmtId="167" formatCode="&quot;$ &quot;#,##0"/>
    <numFmt numFmtId="168" formatCode="0%"/>
    <numFmt numFmtId="169" formatCode="0"/>
    <numFmt numFmtId="170" formatCode="0.00"/>
    <numFmt numFmtId="171" formatCode="0.0"/>
    <numFmt numFmtId="172" formatCode="0.0%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9"/>
      <color rgb="FF1F4E78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EAD3"/>
      </patternFill>
    </fill>
    <fill>
      <patternFill patternType="solid">
        <fgColor rgb="FF000000"/>
        <bgColor rgb="FF003300"/>
      </patternFill>
    </fill>
    <fill>
      <patternFill patternType="solid">
        <fgColor rgb="FFDDEBF7"/>
        <bgColor rgb="FFD9EAD3"/>
      </patternFill>
    </fill>
    <fill>
      <patternFill patternType="solid">
        <fgColor rgb="FFD9EAD3"/>
        <bgColor rgb="FFDDEBF7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8"/>
    <col collapsed="false" customWidth="true" hidden="false" outlineLevel="0" max="4" min="4" style="0" width="40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</row>
    <row r="6" customFormat="false" ht="42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</row>
    <row r="7" customFormat="false" ht="15" hidden="false" customHeight="false" outlineLevel="0" collapsed="false">
      <c r="A7" s="7" t="s">
        <v>8</v>
      </c>
      <c r="B7" s="8" t="n">
        <f aca="false">Almacen_PT!C42</f>
        <v>173.22</v>
      </c>
      <c r="C7" s="9" t="n">
        <f aca="false">Almacen_PT!B42</f>
        <v>183.686</v>
      </c>
      <c r="D7" s="10" t="s">
        <v>9</v>
      </c>
    </row>
    <row r="8" customFormat="false" ht="15" hidden="false" customHeight="false" outlineLevel="0" collapsed="false">
      <c r="A8" s="7" t="s">
        <v>10</v>
      </c>
      <c r="B8" s="11" t="n">
        <f aca="false">Datos!B56</f>
        <v>99</v>
      </c>
      <c r="C8" s="12" t="n">
        <f aca="false">Almacen_PT!B7</f>
        <v>85</v>
      </c>
      <c r="D8" s="10" t="s">
        <v>11</v>
      </c>
    </row>
    <row r="9" customFormat="false" ht="15" hidden="false" customHeight="false" outlineLevel="0" collapsed="false">
      <c r="A9" s="7" t="s">
        <v>12</v>
      </c>
      <c r="B9" s="11" t="s">
        <v>13</v>
      </c>
      <c r="C9" s="12" t="n">
        <f aca="false">Almacen_PT!B15</f>
        <v>15</v>
      </c>
      <c r="D9" s="10" t="s">
        <v>9</v>
      </c>
    </row>
    <row r="10" customFormat="false" ht="15" hidden="false" customHeight="false" outlineLevel="0" collapsed="false">
      <c r="A10" s="7" t="s">
        <v>14</v>
      </c>
      <c r="B10" s="11" t="s">
        <v>15</v>
      </c>
      <c r="C10" s="12" t="str">
        <f aca="false">Almacen_PT!B12</f>
        <v>Mástil de 4,5 m</v>
      </c>
      <c r="D10" s="10" t="s">
        <v>9</v>
      </c>
    </row>
    <row r="11" customFormat="false" ht="15" hidden="false" customHeight="false" outlineLevel="0" collapsed="false">
      <c r="A11" s="7" t="s">
        <v>16</v>
      </c>
      <c r="B11" s="11" t="s">
        <v>17</v>
      </c>
      <c r="C11" s="12" t="str">
        <f aca="false">"Cada "&amp;DIAS_PINT&amp;" días"</f>
        <v>Cada 2 días</v>
      </c>
      <c r="D11" s="10" t="s">
        <v>18</v>
      </c>
    </row>
    <row r="12" customFormat="false" ht="15" hidden="false" customHeight="false" outlineLevel="0" collapsed="false">
      <c r="A12" s="7" t="s">
        <v>19</v>
      </c>
      <c r="B12" s="11" t="n">
        <f aca="false">Pintura!D32</f>
        <v>132.06</v>
      </c>
      <c r="C12" s="12" t="n">
        <f aca="false">Pintura!B32</f>
        <v>99</v>
      </c>
      <c r="D12" s="10" t="s">
        <v>18</v>
      </c>
    </row>
    <row r="13" customFormat="false" ht="15" hidden="false" customHeight="false" outlineLevel="0" collapsed="false">
      <c r="A13" s="7" t="s">
        <v>20</v>
      </c>
      <c r="B13" s="11" t="n">
        <f aca="false">Datos!B60</f>
        <v>177</v>
      </c>
      <c r="C13" s="12" t="n">
        <f aca="false">Carro_manip!B25</f>
        <v>18</v>
      </c>
      <c r="D13" s="10" t="s">
        <v>21</v>
      </c>
    </row>
    <row r="14" customFormat="false" ht="15" hidden="false" customHeight="false" outlineLevel="0" collapsed="false">
      <c r="A14" s="7" t="s">
        <v>22</v>
      </c>
      <c r="B14" s="11" t="s">
        <v>13</v>
      </c>
      <c r="C14" s="9" t="n">
        <f aca="false">Despacho!B25</f>
        <v>2.47063774465443</v>
      </c>
      <c r="D14" s="10" t="s">
        <v>23</v>
      </c>
    </row>
    <row r="15" customFormat="false" ht="15" hidden="false" customHeight="false" outlineLevel="0" collapsed="false">
      <c r="A15" s="7" t="s">
        <v>24</v>
      </c>
      <c r="B15" s="11" t="s">
        <v>13</v>
      </c>
      <c r="C15" s="9" t="n">
        <f aca="false">Despacho!B26</f>
        <v>1.28886948123801</v>
      </c>
      <c r="D15" s="10" t="s">
        <v>23</v>
      </c>
    </row>
    <row r="16" customFormat="false" ht="15" hidden="false" customHeight="false" outlineLevel="0" collapsed="false">
      <c r="A16" s="7" t="s">
        <v>25</v>
      </c>
      <c r="B16" s="11" t="s">
        <v>13</v>
      </c>
      <c r="C16" s="9" t="n">
        <f aca="false">Despacho!B27+Despacho!B28</f>
        <v>11.64144101075</v>
      </c>
      <c r="D16" s="10" t="s">
        <v>23</v>
      </c>
    </row>
    <row r="17" customFormat="false" ht="15" hidden="false" customHeight="false" outlineLevel="0" collapsed="false">
      <c r="A17" s="7" t="s">
        <v>26</v>
      </c>
      <c r="B17" s="11" t="s">
        <v>13</v>
      </c>
      <c r="C17" s="12" t="n">
        <f aca="false">Despacho!G29</f>
        <v>1</v>
      </c>
      <c r="D17" s="10" t="s">
        <v>23</v>
      </c>
    </row>
    <row r="18" customFormat="false" ht="15" hidden="false" customHeight="false" outlineLevel="0" collapsed="false">
      <c r="A18" s="7" t="s">
        <v>27</v>
      </c>
      <c r="B18" s="13" t="s">
        <v>13</v>
      </c>
      <c r="C18" s="14" t="n">
        <f aca="false">Equipos!F13</f>
        <v>10088336</v>
      </c>
      <c r="D18" s="10" t="s">
        <v>28</v>
      </c>
    </row>
    <row r="21" customFormat="false" ht="15.75" hidden="false" customHeight="true" outlineLevel="0" collapsed="false">
      <c r="A21" s="4" t="s">
        <v>29</v>
      </c>
      <c r="B21" s="5"/>
      <c r="C21" s="5"/>
      <c r="D21" s="5"/>
    </row>
    <row r="22" customFormat="false" ht="15.75" hidden="false" customHeight="true" outlineLevel="0" collapsed="false">
      <c r="A22" s="2" t="s">
        <v>30</v>
      </c>
    </row>
    <row r="23" customFormat="false" ht="15.75" hidden="false" customHeight="true" outlineLevel="0" collapsed="false">
      <c r="A23" s="2" t="s">
        <v>31</v>
      </c>
    </row>
    <row r="24" customFormat="false" ht="15.75" hidden="false" customHeight="true" outlineLevel="0" collapsed="false">
      <c r="A24" s="2" t="s">
        <v>32</v>
      </c>
    </row>
    <row r="25" customFormat="false" ht="15.75" hidden="false" customHeight="true" outlineLevel="0" collapsed="false">
      <c r="A25" s="2" t="s">
        <v>33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2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3" t="s">
        <v>36</v>
      </c>
    </row>
    <row r="5" customFormat="false" ht="15" hidden="false" customHeight="false" outlineLevel="0" collapsed="false">
      <c r="A5" s="4" t="s">
        <v>37</v>
      </c>
      <c r="B5" s="5"/>
      <c r="C5" s="5"/>
      <c r="D5" s="5"/>
      <c r="E5" s="5"/>
    </row>
    <row r="6" customFormat="false" ht="42" hidden="false" customHeight="true" outlineLevel="0" collapsed="false">
      <c r="A6" s="6" t="s">
        <v>38</v>
      </c>
      <c r="B6" s="6" t="s">
        <v>39</v>
      </c>
      <c r="C6" s="6" t="s">
        <v>40</v>
      </c>
      <c r="D6" s="6" t="s">
        <v>41</v>
      </c>
      <c r="E6" s="6" t="s">
        <v>42</v>
      </c>
    </row>
    <row r="7" customFormat="false" ht="15" hidden="false" customHeight="false" outlineLevel="0" collapsed="false">
      <c r="A7" s="7" t="s">
        <v>43</v>
      </c>
      <c r="B7" s="15" t="n">
        <v>20</v>
      </c>
      <c r="C7" s="7" t="s">
        <v>44</v>
      </c>
      <c r="D7" s="16" t="s">
        <v>45</v>
      </c>
      <c r="E7" s="17" t="s">
        <v>46</v>
      </c>
    </row>
    <row r="8" customFormat="false" ht="15" hidden="false" customHeight="false" outlineLevel="0" collapsed="false">
      <c r="A8" s="7" t="s">
        <v>47</v>
      </c>
      <c r="B8" s="7" t="n">
        <f aca="false">DIAS*12</f>
        <v>240</v>
      </c>
      <c r="C8" s="7" t="s">
        <v>44</v>
      </c>
      <c r="D8" s="16"/>
      <c r="E8" s="17" t="s">
        <v>48</v>
      </c>
    </row>
    <row r="9" customFormat="false" ht="15" hidden="false" customHeight="false" outlineLevel="0" collapsed="false">
      <c r="A9" s="7" t="s">
        <v>49</v>
      </c>
      <c r="B9" s="18" t="n">
        <v>5</v>
      </c>
      <c r="C9" s="7" t="s">
        <v>50</v>
      </c>
      <c r="D9" s="16" t="s">
        <v>51</v>
      </c>
      <c r="E9" s="17" t="s">
        <v>52</v>
      </c>
    </row>
    <row r="10" customFormat="false" ht="15" hidden="false" customHeight="false" outlineLevel="0" collapsed="false">
      <c r="A10" s="7" t="s">
        <v>53</v>
      </c>
      <c r="B10" s="18" t="n">
        <v>5</v>
      </c>
      <c r="C10" s="7" t="s">
        <v>50</v>
      </c>
      <c r="D10" s="16" t="s">
        <v>54</v>
      </c>
      <c r="E10" s="17" t="s">
        <v>55</v>
      </c>
    </row>
    <row r="12" customFormat="false" ht="15" hidden="false" customHeight="false" outlineLevel="0" collapsed="false">
      <c r="A12" s="4" t="s">
        <v>56</v>
      </c>
      <c r="B12" s="5"/>
      <c r="C12" s="5"/>
      <c r="D12" s="5"/>
      <c r="E12" s="5"/>
    </row>
    <row r="13" customFormat="false" ht="42" hidden="false" customHeight="true" outlineLevel="0" collapsed="false">
      <c r="A13" s="6" t="s">
        <v>38</v>
      </c>
      <c r="B13" s="6" t="s">
        <v>39</v>
      </c>
      <c r="C13" s="6" t="s">
        <v>40</v>
      </c>
      <c r="D13" s="6" t="s">
        <v>41</v>
      </c>
      <c r="E13" s="6" t="s">
        <v>42</v>
      </c>
    </row>
    <row r="14" customFormat="false" ht="15" hidden="false" customHeight="false" outlineLevel="0" collapsed="false">
      <c r="A14" s="7" t="s">
        <v>57</v>
      </c>
      <c r="B14" s="15" t="n">
        <v>1200</v>
      </c>
      <c r="C14" s="7" t="s">
        <v>58</v>
      </c>
      <c r="D14" s="16" t="s">
        <v>59</v>
      </c>
      <c r="E14" s="17" t="s">
        <v>60</v>
      </c>
    </row>
    <row r="15" customFormat="false" ht="15" hidden="false" customHeight="false" outlineLevel="0" collapsed="false">
      <c r="A15" s="7" t="s">
        <v>61</v>
      </c>
      <c r="B15" s="15" t="n">
        <v>1000</v>
      </c>
      <c r="C15" s="7" t="s">
        <v>58</v>
      </c>
      <c r="D15" s="16"/>
      <c r="E15" s="17" t="s">
        <v>62</v>
      </c>
    </row>
    <row r="16" customFormat="false" ht="15" hidden="false" customHeight="false" outlineLevel="0" collapsed="false">
      <c r="A16" s="7" t="s">
        <v>63</v>
      </c>
      <c r="B16" s="15" t="n">
        <v>145</v>
      </c>
      <c r="C16" s="7" t="s">
        <v>58</v>
      </c>
      <c r="D16" s="16"/>
      <c r="E16" s="17" t="s">
        <v>64</v>
      </c>
    </row>
    <row r="17" customFormat="false" ht="15" hidden="false" customHeight="false" outlineLevel="0" collapsed="false">
      <c r="A17" s="7" t="s">
        <v>65</v>
      </c>
      <c r="B17" s="15" t="n">
        <v>35</v>
      </c>
      <c r="C17" s="7" t="s">
        <v>66</v>
      </c>
      <c r="D17" s="16"/>
      <c r="E17" s="17" t="s">
        <v>67</v>
      </c>
    </row>
    <row r="18" customFormat="false" ht="15" hidden="false" customHeight="false" outlineLevel="0" collapsed="false">
      <c r="A18" s="7" t="s">
        <v>68</v>
      </c>
      <c r="B18" s="18" t="n">
        <v>1600</v>
      </c>
      <c r="C18" s="7" t="s">
        <v>58</v>
      </c>
      <c r="D18" s="16" t="s">
        <v>69</v>
      </c>
      <c r="E18" s="17" t="s">
        <v>70</v>
      </c>
    </row>
    <row r="19" customFormat="false" ht="15" hidden="false" customHeight="false" outlineLevel="0" collapsed="false">
      <c r="A19" s="7" t="s">
        <v>71</v>
      </c>
      <c r="B19" s="18" t="n">
        <v>1100</v>
      </c>
      <c r="C19" s="7" t="s">
        <v>66</v>
      </c>
      <c r="D19" s="16" t="s">
        <v>72</v>
      </c>
      <c r="E19" s="17" t="s">
        <v>73</v>
      </c>
    </row>
    <row r="20" customFormat="false" ht="15" hidden="false" customHeight="false" outlineLevel="0" collapsed="false">
      <c r="A20" s="7" t="s">
        <v>74</v>
      </c>
      <c r="B20" s="18" t="n">
        <v>3</v>
      </c>
      <c r="C20" s="7" t="s">
        <v>58</v>
      </c>
      <c r="D20" s="16" t="s">
        <v>75</v>
      </c>
      <c r="E20" s="17" t="s">
        <v>76</v>
      </c>
    </row>
    <row r="21" customFormat="false" ht="15.75" hidden="false" customHeight="true" outlineLevel="0" collapsed="false">
      <c r="A21" s="7" t="s">
        <v>77</v>
      </c>
      <c r="B21" s="18" t="n">
        <v>0.6</v>
      </c>
      <c r="C21" s="7" t="s">
        <v>66</v>
      </c>
      <c r="D21" s="16"/>
      <c r="E21" s="17" t="s">
        <v>78</v>
      </c>
    </row>
    <row r="22" customFormat="false" ht="15.75" hidden="false" customHeight="true" outlineLevel="0" collapsed="false"/>
    <row r="23" customFormat="false" ht="15.75" hidden="false" customHeight="true" outlineLevel="0" collapsed="false">
      <c r="A23" s="4" t="s">
        <v>79</v>
      </c>
      <c r="B23" s="5"/>
      <c r="C23" s="5"/>
      <c r="D23" s="5"/>
      <c r="E23" s="5"/>
    </row>
    <row r="24" customFormat="false" ht="42" hidden="false" customHeight="true" outlineLevel="0" collapsed="false">
      <c r="A24" s="6" t="s">
        <v>38</v>
      </c>
      <c r="B24" s="6" t="s">
        <v>39</v>
      </c>
      <c r="C24" s="6" t="s">
        <v>40</v>
      </c>
      <c r="D24" s="6" t="s">
        <v>41</v>
      </c>
      <c r="E24" s="6" t="s">
        <v>42</v>
      </c>
    </row>
    <row r="25" customFormat="false" ht="15.75" hidden="false" customHeight="true" outlineLevel="0" collapsed="false">
      <c r="A25" s="7" t="s">
        <v>80</v>
      </c>
      <c r="B25" s="15" t="n">
        <v>2</v>
      </c>
      <c r="C25" s="7" t="s">
        <v>81</v>
      </c>
      <c r="D25" s="16" t="s">
        <v>82</v>
      </c>
      <c r="E25" s="17" t="s">
        <v>83</v>
      </c>
    </row>
    <row r="26" customFormat="false" ht="15.75" hidden="false" customHeight="true" outlineLevel="0" collapsed="false">
      <c r="A26" s="7" t="s">
        <v>84</v>
      </c>
      <c r="B26" s="18" t="n">
        <v>3</v>
      </c>
      <c r="C26" s="7" t="s">
        <v>81</v>
      </c>
      <c r="D26" s="16" t="s">
        <v>85</v>
      </c>
      <c r="E26" s="17" t="s">
        <v>86</v>
      </c>
    </row>
    <row r="27" customFormat="false" ht="15.75" hidden="false" customHeight="true" outlineLevel="0" collapsed="false">
      <c r="A27" s="7" t="s">
        <v>87</v>
      </c>
      <c r="B27" s="15" t="n">
        <v>2000</v>
      </c>
      <c r="C27" s="7" t="s">
        <v>66</v>
      </c>
      <c r="D27" s="16" t="s">
        <v>88</v>
      </c>
      <c r="E27" s="17" t="s">
        <v>89</v>
      </c>
    </row>
    <row r="28" customFormat="false" ht="15.75" hidden="false" customHeight="true" outlineLevel="0" collapsed="false">
      <c r="A28" s="7" t="s">
        <v>90</v>
      </c>
      <c r="B28" s="18" t="n">
        <v>150</v>
      </c>
      <c r="C28" s="7" t="s">
        <v>58</v>
      </c>
      <c r="D28" s="16" t="s">
        <v>91</v>
      </c>
      <c r="E28" s="17" t="s">
        <v>92</v>
      </c>
    </row>
    <row r="29" customFormat="false" ht="15.75" hidden="false" customHeight="true" outlineLevel="0" collapsed="false">
      <c r="A29" s="7" t="s">
        <v>93</v>
      </c>
      <c r="B29" s="15" t="n">
        <v>100</v>
      </c>
      <c r="C29" s="7" t="s">
        <v>58</v>
      </c>
      <c r="D29" s="16"/>
      <c r="E29" s="17" t="s">
        <v>94</v>
      </c>
    </row>
    <row r="30" customFormat="false" ht="15.75" hidden="false" customHeight="true" outlineLevel="0" collapsed="false">
      <c r="A30" s="7" t="s">
        <v>95</v>
      </c>
      <c r="B30" s="18" t="n">
        <v>0.2</v>
      </c>
      <c r="C30" s="7" t="s">
        <v>96</v>
      </c>
      <c r="D30" s="16"/>
      <c r="E30" s="17" t="s">
        <v>97</v>
      </c>
    </row>
    <row r="31" customFormat="false" ht="15.75" hidden="false" customHeight="true" outlineLevel="0" collapsed="false">
      <c r="A31" s="7" t="s">
        <v>98</v>
      </c>
      <c r="B31" s="15" t="n">
        <v>3</v>
      </c>
      <c r="C31" s="7" t="s">
        <v>96</v>
      </c>
      <c r="D31" s="16" t="s">
        <v>99</v>
      </c>
      <c r="E31" s="17" t="s">
        <v>100</v>
      </c>
    </row>
    <row r="32" customFormat="false" ht="15.75" hidden="false" customHeight="true" outlineLevel="0" collapsed="false">
      <c r="A32" s="7" t="s">
        <v>101</v>
      </c>
      <c r="B32" s="18" t="n">
        <v>4.5</v>
      </c>
      <c r="C32" s="7" t="s">
        <v>96</v>
      </c>
      <c r="D32" s="16" t="s">
        <v>102</v>
      </c>
      <c r="E32" s="17" t="s">
        <v>103</v>
      </c>
    </row>
    <row r="33" customFormat="false" ht="15.75" hidden="false" customHeight="true" outlineLevel="0" collapsed="false">
      <c r="A33" s="7" t="s">
        <v>104</v>
      </c>
      <c r="B33" s="15" t="n">
        <v>2.3</v>
      </c>
      <c r="C33" s="7" t="s">
        <v>96</v>
      </c>
      <c r="D33" s="16"/>
      <c r="E33" s="17" t="s">
        <v>105</v>
      </c>
    </row>
    <row r="34" customFormat="false" ht="15.75" hidden="false" customHeight="true" outlineLevel="0" collapsed="false">
      <c r="A34" s="7" t="s">
        <v>106</v>
      </c>
      <c r="B34" s="15" t="n">
        <v>1.1</v>
      </c>
      <c r="C34" s="7" t="s">
        <v>96</v>
      </c>
      <c r="D34" s="16" t="s">
        <v>107</v>
      </c>
      <c r="E34" s="17" t="s">
        <v>108</v>
      </c>
    </row>
    <row r="35" customFormat="false" ht="15.75" hidden="false" customHeight="true" outlineLevel="0" collapsed="false">
      <c r="A35" s="7" t="s">
        <v>109</v>
      </c>
      <c r="B35" s="15" t="n">
        <v>5</v>
      </c>
      <c r="C35" s="7" t="s">
        <v>96</v>
      </c>
      <c r="D35" s="16" t="s">
        <v>110</v>
      </c>
      <c r="E35" s="17" t="s">
        <v>111</v>
      </c>
    </row>
    <row r="36" customFormat="false" ht="15.75" hidden="false" customHeight="true" outlineLevel="0" collapsed="false">
      <c r="A36" s="7" t="s">
        <v>112</v>
      </c>
      <c r="B36" s="18" t="n">
        <v>1.4</v>
      </c>
      <c r="C36" s="7" t="s">
        <v>113</v>
      </c>
      <c r="D36" s="16" t="s">
        <v>114</v>
      </c>
      <c r="E36" s="17" t="s">
        <v>115</v>
      </c>
    </row>
    <row r="37" customFormat="false" ht="15.75" hidden="false" customHeight="true" outlineLevel="0" collapsed="false"/>
    <row r="38" customFormat="false" ht="15.75" hidden="false" customHeight="true" outlineLevel="0" collapsed="false">
      <c r="A38" s="4" t="s">
        <v>116</v>
      </c>
      <c r="B38" s="5"/>
      <c r="C38" s="5"/>
      <c r="D38" s="5"/>
      <c r="E38" s="5"/>
    </row>
    <row r="39" customFormat="false" ht="42" hidden="false" customHeight="true" outlineLevel="0" collapsed="false">
      <c r="A39" s="6" t="s">
        <v>38</v>
      </c>
      <c r="B39" s="6" t="s">
        <v>39</v>
      </c>
      <c r="C39" s="6" t="s">
        <v>40</v>
      </c>
      <c r="D39" s="6" t="s">
        <v>41</v>
      </c>
      <c r="E39" s="6" t="s">
        <v>42</v>
      </c>
    </row>
    <row r="40" customFormat="false" ht="15.75" hidden="false" customHeight="true" outlineLevel="0" collapsed="false">
      <c r="A40" s="7" t="s">
        <v>117</v>
      </c>
      <c r="B40" s="18" t="n">
        <v>3</v>
      </c>
      <c r="C40" s="7" t="s">
        <v>118</v>
      </c>
      <c r="D40" s="16" t="s">
        <v>119</v>
      </c>
      <c r="E40" s="17" t="s">
        <v>120</v>
      </c>
    </row>
    <row r="41" customFormat="false" ht="15.75" hidden="false" customHeight="true" outlineLevel="0" collapsed="false">
      <c r="A41" s="7" t="s">
        <v>121</v>
      </c>
      <c r="B41" s="18" t="n">
        <v>2</v>
      </c>
      <c r="C41" s="7" t="s">
        <v>118</v>
      </c>
      <c r="D41" s="16" t="s">
        <v>122</v>
      </c>
      <c r="E41" s="17" t="s">
        <v>123</v>
      </c>
    </row>
    <row r="42" customFormat="false" ht="15.75" hidden="false" customHeight="true" outlineLevel="0" collapsed="false">
      <c r="A42" s="7" t="s">
        <v>124</v>
      </c>
      <c r="B42" s="18" t="n">
        <v>2</v>
      </c>
      <c r="C42" s="7" t="s">
        <v>118</v>
      </c>
      <c r="D42" s="16" t="s">
        <v>125</v>
      </c>
      <c r="E42" s="17" t="s">
        <v>126</v>
      </c>
    </row>
    <row r="43" customFormat="false" ht="15.75" hidden="false" customHeight="true" outlineLevel="0" collapsed="false"/>
    <row r="44" customFormat="false" ht="15.75" hidden="false" customHeight="true" outlineLevel="0" collapsed="false">
      <c r="A44" s="4" t="s">
        <v>127</v>
      </c>
      <c r="B44" s="5"/>
      <c r="C44" s="5"/>
      <c r="D44" s="5"/>
      <c r="E44" s="5"/>
    </row>
    <row r="45" customFormat="false" ht="42" hidden="false" customHeight="true" outlineLevel="0" collapsed="false">
      <c r="A45" s="6" t="s">
        <v>38</v>
      </c>
      <c r="B45" s="6" t="s">
        <v>39</v>
      </c>
      <c r="C45" s="6" t="s">
        <v>40</v>
      </c>
      <c r="D45" s="6" t="s">
        <v>41</v>
      </c>
      <c r="E45" s="6" t="s">
        <v>42</v>
      </c>
    </row>
    <row r="46" customFormat="false" ht="15.75" hidden="false" customHeight="true" outlineLevel="0" collapsed="false">
      <c r="A46" s="7" t="s">
        <v>128</v>
      </c>
      <c r="B46" s="18" t="n">
        <v>1</v>
      </c>
      <c r="C46" s="7" t="s">
        <v>44</v>
      </c>
      <c r="D46" s="16" t="s">
        <v>129</v>
      </c>
      <c r="E46" s="17" t="s">
        <v>130</v>
      </c>
    </row>
    <row r="47" customFormat="false" ht="15.75" hidden="false" customHeight="true" outlineLevel="0" collapsed="false">
      <c r="A47" s="7" t="s">
        <v>131</v>
      </c>
      <c r="B47" s="19" t="n">
        <v>0.1</v>
      </c>
      <c r="C47" s="7"/>
      <c r="D47" s="16" t="s">
        <v>132</v>
      </c>
      <c r="E47" s="17" t="s">
        <v>133</v>
      </c>
    </row>
    <row r="48" customFormat="false" ht="15.75" hidden="false" customHeight="true" outlineLevel="0" collapsed="false">
      <c r="A48" s="7" t="s">
        <v>134</v>
      </c>
      <c r="B48" s="18" t="n">
        <v>2</v>
      </c>
      <c r="C48" s="7" t="s">
        <v>81</v>
      </c>
      <c r="D48" s="16" t="s">
        <v>135</v>
      </c>
      <c r="E48" s="17" t="s">
        <v>136</v>
      </c>
    </row>
    <row r="49" customFormat="false" ht="15.75" hidden="false" customHeight="true" outlineLevel="0" collapsed="false">
      <c r="A49" s="7" t="s">
        <v>137</v>
      </c>
      <c r="B49" s="15" t="n">
        <v>0.7</v>
      </c>
      <c r="C49" s="7" t="s">
        <v>96</v>
      </c>
      <c r="D49" s="16"/>
      <c r="E49" s="17" t="s">
        <v>138</v>
      </c>
    </row>
    <row r="50" customFormat="false" ht="15.75" hidden="false" customHeight="true" outlineLevel="0" collapsed="false">
      <c r="A50" s="7" t="s">
        <v>139</v>
      </c>
      <c r="B50" s="15" t="n">
        <v>0.65</v>
      </c>
      <c r="C50" s="7" t="s">
        <v>96</v>
      </c>
      <c r="D50" s="16"/>
      <c r="E50" s="17" t="s">
        <v>140</v>
      </c>
    </row>
    <row r="51" customFormat="false" ht="15.75" hidden="false" customHeight="true" outlineLevel="0" collapsed="false"/>
    <row r="52" customFormat="false" ht="15.75" hidden="false" customHeight="true" outlineLevel="0" collapsed="false">
      <c r="A52" s="4" t="s">
        <v>141</v>
      </c>
      <c r="B52" s="5"/>
      <c r="C52" s="5"/>
      <c r="D52" s="5"/>
      <c r="E52" s="5"/>
    </row>
    <row r="53" customFormat="false" ht="42" hidden="false" customHeight="true" outlineLevel="0" collapsed="false">
      <c r="A53" s="6" t="s">
        <v>38</v>
      </c>
      <c r="B53" s="6" t="s">
        <v>39</v>
      </c>
      <c r="C53" s="6" t="s">
        <v>40</v>
      </c>
      <c r="D53" s="6" t="s">
        <v>41</v>
      </c>
      <c r="E53" s="6" t="s">
        <v>42</v>
      </c>
    </row>
    <row r="54" customFormat="false" ht="15.75" hidden="false" customHeight="true" outlineLevel="0" collapsed="false">
      <c r="A54" s="7" t="s">
        <v>142</v>
      </c>
      <c r="B54" s="18" t="n">
        <v>8</v>
      </c>
      <c r="C54" s="7" t="s">
        <v>143</v>
      </c>
      <c r="D54" s="16"/>
      <c r="E54" s="17" t="s">
        <v>144</v>
      </c>
    </row>
    <row r="55" customFormat="false" ht="15.75" hidden="false" customHeight="true" outlineLevel="0" collapsed="false">
      <c r="A55" s="7" t="s">
        <v>145</v>
      </c>
      <c r="B55" s="18" t="n">
        <v>4</v>
      </c>
      <c r="C55" s="7" t="s">
        <v>143</v>
      </c>
      <c r="D55" s="16" t="s">
        <v>146</v>
      </c>
      <c r="E55" s="17" t="s">
        <v>147</v>
      </c>
    </row>
    <row r="56" customFormat="false" ht="15.75" hidden="false" customHeight="true" outlineLevel="0" collapsed="false">
      <c r="A56" s="7" t="s">
        <v>148</v>
      </c>
      <c r="B56" s="18" t="n">
        <v>6</v>
      </c>
      <c r="C56" s="7" t="s">
        <v>143</v>
      </c>
      <c r="D56" s="16" t="s">
        <v>149</v>
      </c>
      <c r="E56" s="17" t="s">
        <v>150</v>
      </c>
    </row>
    <row r="57" customFormat="false" ht="15.75" hidden="false" customHeight="true" outlineLevel="0" collapsed="false">
      <c r="A57" s="7" t="s">
        <v>151</v>
      </c>
      <c r="B57" s="18" t="n">
        <v>4</v>
      </c>
      <c r="C57" s="7" t="s">
        <v>143</v>
      </c>
      <c r="D57" s="16" t="s">
        <v>149</v>
      </c>
      <c r="E57" s="17" t="s">
        <v>152</v>
      </c>
    </row>
    <row r="58" customFormat="false" ht="15.75" hidden="false" customHeight="true" outlineLevel="0" collapsed="false">
      <c r="A58" s="7" t="s">
        <v>153</v>
      </c>
      <c r="B58" s="18" t="n">
        <v>2.5</v>
      </c>
      <c r="C58" s="7" t="s">
        <v>143</v>
      </c>
      <c r="D58" s="16" t="s">
        <v>154</v>
      </c>
      <c r="E58" s="17" t="s">
        <v>155</v>
      </c>
    </row>
    <row r="59" customFormat="false" ht="15.75" hidden="false" customHeight="true" outlineLevel="0" collapsed="false">
      <c r="A59" s="7" t="s">
        <v>156</v>
      </c>
      <c r="B59" s="18" t="n">
        <v>8</v>
      </c>
      <c r="C59" s="7" t="s">
        <v>81</v>
      </c>
      <c r="D59" s="16" t="s">
        <v>157</v>
      </c>
      <c r="E59" s="17" t="s">
        <v>158</v>
      </c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10" min="3" style="0" width="11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3" customFormat="false" ht="15" hidden="false" customHeight="false" outlineLevel="0" collapsed="false">
      <c r="A3" s="3" t="s">
        <v>161</v>
      </c>
    </row>
    <row r="5" customFormat="false" ht="15" hidden="false" customHeight="false" outlineLevel="0" collapsed="false">
      <c r="A5" s="4" t="s">
        <v>162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42" hidden="false" customHeight="true" outlineLevel="0" collapsed="false">
      <c r="A6" s="6" t="s">
        <v>4</v>
      </c>
      <c r="B6" s="6" t="s">
        <v>40</v>
      </c>
      <c r="C6" s="6" t="s">
        <v>163</v>
      </c>
      <c r="D6" s="6" t="s">
        <v>164</v>
      </c>
      <c r="E6" s="6" t="s">
        <v>165</v>
      </c>
      <c r="F6" s="6" t="s">
        <v>166</v>
      </c>
    </row>
    <row r="7" customFormat="false" ht="15" hidden="false" customHeight="false" outlineLevel="0" collapsed="false">
      <c r="A7" s="7" t="s">
        <v>167</v>
      </c>
      <c r="B7" s="10" t="s">
        <v>81</v>
      </c>
      <c r="C7" s="20" t="n">
        <f aca="false">Datos!C33</f>
        <v>6</v>
      </c>
      <c r="D7" s="20" t="n">
        <f aca="false">Datos!D33</f>
        <v>1</v>
      </c>
      <c r="E7" s="20" t="n">
        <f aca="false">Datos!E33</f>
        <v>1</v>
      </c>
      <c r="F7" s="20" t="n">
        <f aca="false">Datos!F33</f>
        <v>1</v>
      </c>
    </row>
    <row r="8" customFormat="false" ht="15" hidden="false" customHeight="false" outlineLevel="0" collapsed="false">
      <c r="A8" s="7" t="s">
        <v>168</v>
      </c>
      <c r="B8" s="10" t="s">
        <v>66</v>
      </c>
      <c r="C8" s="21" t="n">
        <f aca="false">C7*Datos!C38+Datos!C37</f>
        <v>12.83</v>
      </c>
      <c r="D8" s="21" t="n">
        <f aca="false">D7*Datos!D38+Datos!D37</f>
        <v>4.88</v>
      </c>
      <c r="E8" s="21" t="n">
        <f aca="false">E7*Datos!E38+Datos!E37</f>
        <v>8.83</v>
      </c>
      <c r="F8" s="21" t="n">
        <f aca="false">F7*Datos!F38+Datos!F37</f>
        <v>16.73</v>
      </c>
    </row>
    <row r="9" customFormat="false" ht="15" hidden="false" customHeight="false" outlineLevel="0" collapsed="false">
      <c r="A9" s="7" t="s">
        <v>169</v>
      </c>
      <c r="B9" s="10" t="s">
        <v>81</v>
      </c>
      <c r="C9" s="20" t="n">
        <f aca="false">INT(PAL_L/Datos!C34)</f>
        <v>4</v>
      </c>
      <c r="D9" s="20" t="n">
        <f aca="false">INT(PAL_L/Datos!D34)</f>
        <v>8</v>
      </c>
      <c r="E9" s="20" t="n">
        <f aca="false">INT(PAL_L/Datos!E34)</f>
        <v>7</v>
      </c>
      <c r="F9" s="20" t="n">
        <f aca="false">INT(PAL_L/Datos!F34)</f>
        <v>6</v>
      </c>
    </row>
    <row r="10" customFormat="false" ht="15" hidden="false" customHeight="false" outlineLevel="0" collapsed="false">
      <c r="A10" s="7" t="s">
        <v>170</v>
      </c>
      <c r="B10" s="10" t="s">
        <v>81</v>
      </c>
      <c r="C10" s="20" t="n">
        <f aca="false">INT(PAL_A/Datos!C35)</f>
        <v>5</v>
      </c>
      <c r="D10" s="20" t="n">
        <f aca="false">INT(PAL_A/Datos!D35)</f>
        <v>7</v>
      </c>
      <c r="E10" s="20" t="n">
        <f aca="false">INT(PAL_A/Datos!E35)</f>
        <v>6</v>
      </c>
      <c r="F10" s="20" t="n">
        <f aca="false">INT(PAL_A/Datos!F35)</f>
        <v>5</v>
      </c>
    </row>
    <row r="11" customFormat="false" ht="15" hidden="false" customHeight="false" outlineLevel="0" collapsed="false">
      <c r="A11" s="7" t="s">
        <v>171</v>
      </c>
      <c r="B11" s="10" t="s">
        <v>81</v>
      </c>
      <c r="C11" s="20" t="n">
        <f aca="false">C9*C10</f>
        <v>20</v>
      </c>
      <c r="D11" s="20" t="n">
        <f aca="false">D9*D10</f>
        <v>56</v>
      </c>
      <c r="E11" s="20" t="n">
        <f aca="false">E9*E10</f>
        <v>42</v>
      </c>
      <c r="F11" s="20" t="n">
        <f aca="false">F9*F10</f>
        <v>30</v>
      </c>
    </row>
    <row r="12" customFormat="false" ht="15" hidden="false" customHeight="false" outlineLevel="0" collapsed="false">
      <c r="A12" s="7" t="s">
        <v>172</v>
      </c>
      <c r="B12" s="10" t="s">
        <v>81</v>
      </c>
      <c r="C12" s="20" t="n">
        <f aca="false">INT((H_MAX-PAL_H)/Datos!C36)</f>
        <v>3</v>
      </c>
      <c r="D12" s="20" t="n">
        <f aca="false">INT((H_MAX-PAL_H)/Datos!D36)</f>
        <v>3</v>
      </c>
      <c r="E12" s="20" t="n">
        <f aca="false">INT((H_MAX-PAL_H)/Datos!E36)</f>
        <v>2</v>
      </c>
      <c r="F12" s="20" t="n">
        <f aca="false">INT((H_MAX-PAL_H)/Datos!F36)</f>
        <v>2</v>
      </c>
    </row>
    <row r="13" customFormat="false" ht="15" hidden="false" customHeight="false" outlineLevel="0" collapsed="false">
      <c r="A13" s="7" t="s">
        <v>173</v>
      </c>
      <c r="B13" s="10" t="s">
        <v>81</v>
      </c>
      <c r="C13" s="20" t="n">
        <f aca="false">INT(KG_MAX/(C11*C8))</f>
        <v>4</v>
      </c>
      <c r="D13" s="20" t="n">
        <f aca="false">INT(KG_MAX/(D11*D8))</f>
        <v>4</v>
      </c>
      <c r="E13" s="20" t="n">
        <f aca="false">INT(KG_MAX/(E11*E8))</f>
        <v>2</v>
      </c>
      <c r="F13" s="20" t="n">
        <f aca="false">INT(KG_MAX/(F11*F8))</f>
        <v>2</v>
      </c>
    </row>
    <row r="14" customFormat="false" ht="15" hidden="false" customHeight="false" outlineLevel="0" collapsed="false">
      <c r="A14" s="7" t="s">
        <v>174</v>
      </c>
      <c r="B14" s="10" t="s">
        <v>81</v>
      </c>
      <c r="C14" s="20" t="n">
        <f aca="false">MIN(C12,C13)</f>
        <v>3</v>
      </c>
      <c r="D14" s="20" t="n">
        <f aca="false">MIN(D12,D13)</f>
        <v>3</v>
      </c>
      <c r="E14" s="20" t="n">
        <f aca="false">MIN(E12,E13)</f>
        <v>2</v>
      </c>
      <c r="F14" s="20" t="n">
        <f aca="false">MIN(F12,F13)</f>
        <v>2</v>
      </c>
    </row>
    <row r="15" customFormat="false" ht="15" hidden="false" customHeight="false" outlineLevel="0" collapsed="false">
      <c r="A15" s="7" t="s">
        <v>175</v>
      </c>
      <c r="B15" s="10" t="s">
        <v>81</v>
      </c>
      <c r="C15" s="20" t="n">
        <f aca="false">C11*C14</f>
        <v>60</v>
      </c>
      <c r="D15" s="20" t="n">
        <f aca="false">D11*D14</f>
        <v>168</v>
      </c>
      <c r="E15" s="20" t="n">
        <f aca="false">E11*E14</f>
        <v>84</v>
      </c>
      <c r="F15" s="20" t="n">
        <f aca="false">F11*F14</f>
        <v>60</v>
      </c>
    </row>
    <row r="16" customFormat="false" ht="15" hidden="false" customHeight="false" outlineLevel="0" collapsed="false">
      <c r="A16" s="22" t="s">
        <v>176</v>
      </c>
      <c r="B16" s="10" t="s">
        <v>81</v>
      </c>
      <c r="C16" s="23" t="n">
        <f aca="false">C15*C7</f>
        <v>360</v>
      </c>
      <c r="D16" s="23" t="n">
        <f aca="false">D15*D7</f>
        <v>168</v>
      </c>
      <c r="E16" s="23" t="n">
        <f aca="false">E15*E7</f>
        <v>84</v>
      </c>
      <c r="F16" s="23" t="n">
        <f aca="false">F15*F7</f>
        <v>60</v>
      </c>
    </row>
    <row r="17" customFormat="false" ht="15" hidden="false" customHeight="false" outlineLevel="0" collapsed="false">
      <c r="A17" s="7" t="s">
        <v>177</v>
      </c>
      <c r="B17" s="10" t="s">
        <v>66</v>
      </c>
      <c r="C17" s="11" t="n">
        <f aca="false">C15*C8+PAL_TARA</f>
        <v>804.8</v>
      </c>
      <c r="D17" s="11" t="n">
        <f aca="false">D15*D8+PAL_TARA</f>
        <v>854.84</v>
      </c>
      <c r="E17" s="11" t="n">
        <f aca="false">E15*E8+PAL_TARA</f>
        <v>776.72</v>
      </c>
      <c r="F17" s="11" t="n">
        <f aca="false">F15*F8+PAL_TARA</f>
        <v>1038.8</v>
      </c>
    </row>
    <row r="18" customFormat="false" ht="15" hidden="false" customHeight="false" outlineLevel="0" collapsed="false">
      <c r="A18" s="7" t="s">
        <v>178</v>
      </c>
      <c r="B18" s="10" t="s">
        <v>58</v>
      </c>
      <c r="C18" s="11" t="n">
        <f aca="false">PAL_H+C14*Datos!C36</f>
        <v>1375</v>
      </c>
      <c r="D18" s="11" t="n">
        <f aca="false">PAL_H+D14*Datos!D36</f>
        <v>1450</v>
      </c>
      <c r="E18" s="11" t="n">
        <f aca="false">PAL_H+E14*Datos!E36</f>
        <v>1175</v>
      </c>
      <c r="F18" s="11" t="n">
        <f aca="false">PAL_H+F14*Datos!F36</f>
        <v>1515</v>
      </c>
    </row>
    <row r="20" customFormat="false" ht="15" hidden="false" customHeight="false" outlineLevel="0" collapsed="false">
      <c r="A20" s="4" t="s">
        <v>179</v>
      </c>
      <c r="B20" s="5"/>
      <c r="C20" s="5"/>
      <c r="D20" s="5"/>
      <c r="E20" s="5"/>
      <c r="F20" s="5"/>
      <c r="G20" s="5"/>
      <c r="H20" s="5"/>
      <c r="I20" s="5"/>
      <c r="J20" s="5"/>
    </row>
    <row r="21" customFormat="false" ht="42" hidden="false" customHeight="true" outlineLevel="0" collapsed="false">
      <c r="A21" s="6" t="s">
        <v>4</v>
      </c>
      <c r="B21" s="6" t="s">
        <v>40</v>
      </c>
      <c r="C21" s="6" t="s">
        <v>163</v>
      </c>
      <c r="D21" s="6" t="s">
        <v>164</v>
      </c>
      <c r="E21" s="6" t="s">
        <v>165</v>
      </c>
      <c r="F21" s="6" t="s">
        <v>166</v>
      </c>
      <c r="G21" s="6" t="s">
        <v>180</v>
      </c>
      <c r="H21" s="6" t="s">
        <v>181</v>
      </c>
      <c r="I21" s="6" t="s">
        <v>182</v>
      </c>
      <c r="J21" s="6" t="s">
        <v>183</v>
      </c>
    </row>
    <row r="22" customFormat="false" ht="15.75" hidden="false" customHeight="true" outlineLevel="0" collapsed="false">
      <c r="A22" s="7" t="s">
        <v>184</v>
      </c>
      <c r="B22" s="10" t="s">
        <v>58</v>
      </c>
      <c r="C22" s="24" t="n">
        <f aca="false">Datos!C39</f>
        <v>76.2</v>
      </c>
      <c r="D22" s="24" t="n">
        <f aca="false">Datos!D39</f>
        <v>124</v>
      </c>
      <c r="E22" s="24" t="n">
        <f aca="false">Datos!E39</f>
        <v>153</v>
      </c>
      <c r="F22" s="24" t="n">
        <f aca="false">Datos!F39</f>
        <v>181.5</v>
      </c>
      <c r="G22" s="24" t="n">
        <f aca="false">Datos!G39</f>
        <v>276.5</v>
      </c>
      <c r="H22" s="24" t="n">
        <f aca="false">Datos!H39</f>
        <v>320</v>
      </c>
      <c r="I22" s="24" t="n">
        <f aca="false">Datos!I39</f>
        <v>390</v>
      </c>
      <c r="J22" s="24" t="n">
        <f aca="false">Datos!J39</f>
        <v>390</v>
      </c>
    </row>
    <row r="23" customFormat="false" ht="15.75" hidden="false" customHeight="true" outlineLevel="0" collapsed="false">
      <c r="A23" s="7" t="s">
        <v>185</v>
      </c>
      <c r="B23" s="10" t="s">
        <v>58</v>
      </c>
      <c r="C23" s="24" t="n">
        <f aca="false">Datos!C40</f>
        <v>297.5</v>
      </c>
      <c r="D23" s="24" t="n">
        <f aca="false">Datos!D40</f>
        <v>333</v>
      </c>
      <c r="E23" s="24" t="n">
        <f aca="false">Datos!E40</f>
        <v>414</v>
      </c>
      <c r="F23" s="24" t="n">
        <f aca="false">Datos!F40</f>
        <v>582</v>
      </c>
      <c r="G23" s="24" t="n">
        <f aca="false">Datos!G40</f>
        <v>672</v>
      </c>
      <c r="H23" s="24" t="n">
        <f aca="false">Datos!H40</f>
        <v>858</v>
      </c>
      <c r="I23" s="24" t="n">
        <f aca="false">Datos!I40</f>
        <v>908</v>
      </c>
      <c r="J23" s="24" t="n">
        <f aca="false">Datos!J40</f>
        <v>1128</v>
      </c>
    </row>
    <row r="24" customFormat="false" ht="15.75" hidden="false" customHeight="true" outlineLevel="0" collapsed="false">
      <c r="A24" s="7" t="s">
        <v>186</v>
      </c>
      <c r="B24" s="10" t="s">
        <v>66</v>
      </c>
      <c r="C24" s="21" t="n">
        <f aca="false">Datos!C41</f>
        <v>0.76</v>
      </c>
      <c r="D24" s="21" t="n">
        <f aca="false">Datos!D41</f>
        <v>1.48</v>
      </c>
      <c r="E24" s="21" t="n">
        <f aca="false">Datos!E41</f>
        <v>2.78</v>
      </c>
      <c r="F24" s="21" t="n">
        <f aca="false">Datos!F41</f>
        <v>5.48</v>
      </c>
      <c r="G24" s="21" t="n">
        <f aca="false">Datos!G41</f>
        <v>15.92</v>
      </c>
      <c r="H24" s="21" t="n">
        <f aca="false">Datos!H41</f>
        <v>23.3</v>
      </c>
      <c r="I24" s="21" t="n">
        <f aca="false">Datos!I41</f>
        <v>46.86</v>
      </c>
      <c r="J24" s="21" t="n">
        <f aca="false">Datos!J41</f>
        <v>56.85</v>
      </c>
    </row>
    <row r="25" customFormat="false" ht="15.75" hidden="false" customHeight="true" outlineLevel="0" collapsed="false">
      <c r="A25" s="7" t="s">
        <v>187</v>
      </c>
      <c r="B25" s="10" t="s">
        <v>81</v>
      </c>
      <c r="C25" s="20" t="n">
        <f aca="false">INT(PAL_L/C22)</f>
        <v>15</v>
      </c>
      <c r="D25" s="20" t="n">
        <f aca="false">INT(PAL_L/D22)</f>
        <v>9</v>
      </c>
      <c r="E25" s="20" t="n">
        <f aca="false">INT(PAL_L/E22)</f>
        <v>7</v>
      </c>
      <c r="F25" s="20" t="n">
        <f aca="false">INT(PAL_L/F22)</f>
        <v>6</v>
      </c>
      <c r="G25" s="20" t="n">
        <f aca="false">INT(PAL_L/G22)</f>
        <v>4</v>
      </c>
      <c r="H25" s="20" t="n">
        <f aca="false">INT(PAL_L/H22)</f>
        <v>3</v>
      </c>
      <c r="I25" s="20" t="n">
        <f aca="false">INT(PAL_L/I22)</f>
        <v>3</v>
      </c>
      <c r="J25" s="20" t="n">
        <f aca="false">INT(PAL_L/J22)</f>
        <v>3</v>
      </c>
    </row>
    <row r="26" customFormat="false" ht="15.75" hidden="false" customHeight="true" outlineLevel="0" collapsed="false">
      <c r="A26" s="7" t="s">
        <v>188</v>
      </c>
      <c r="B26" s="10" t="s">
        <v>81</v>
      </c>
      <c r="C26" s="20" t="n">
        <f aca="false">INT(PAL_A/C22)</f>
        <v>13</v>
      </c>
      <c r="D26" s="20" t="n">
        <f aca="false">INT(PAL_A/D22)</f>
        <v>8</v>
      </c>
      <c r="E26" s="20" t="n">
        <f aca="false">INT(PAL_A/E22)</f>
        <v>6</v>
      </c>
      <c r="F26" s="20" t="n">
        <f aca="false">INT(PAL_A/F22)</f>
        <v>5</v>
      </c>
      <c r="G26" s="20" t="n">
        <f aca="false">INT(PAL_A/G22)</f>
        <v>3</v>
      </c>
      <c r="H26" s="20" t="n">
        <f aca="false">INT(PAL_A/H22)</f>
        <v>3</v>
      </c>
      <c r="I26" s="20" t="n">
        <f aca="false">INT(PAL_A/I22)</f>
        <v>2</v>
      </c>
      <c r="J26" s="20" t="n">
        <f aca="false">INT(PAL_A/J22)</f>
        <v>2</v>
      </c>
    </row>
    <row r="27" customFormat="false" ht="15.75" hidden="false" customHeight="true" outlineLevel="0" collapsed="false">
      <c r="A27" s="7" t="s">
        <v>189</v>
      </c>
      <c r="B27" s="10" t="s">
        <v>81</v>
      </c>
      <c r="C27" s="20" t="n">
        <f aca="false">C25*C26</f>
        <v>195</v>
      </c>
      <c r="D27" s="20" t="n">
        <f aca="false">D25*D26</f>
        <v>72</v>
      </c>
      <c r="E27" s="20" t="n">
        <f aca="false">E25*E26</f>
        <v>42</v>
      </c>
      <c r="F27" s="20" t="n">
        <f aca="false">F25*F26</f>
        <v>30</v>
      </c>
      <c r="G27" s="20" t="n">
        <f aca="false">G25*G26</f>
        <v>12</v>
      </c>
      <c r="H27" s="20" t="n">
        <f aca="false">H25*H26</f>
        <v>9</v>
      </c>
      <c r="I27" s="20" t="n">
        <f aca="false">I25*I26</f>
        <v>6</v>
      </c>
      <c r="J27" s="20" t="n">
        <f aca="false">J25*J26</f>
        <v>6</v>
      </c>
    </row>
    <row r="28" customFormat="false" ht="15.75" hidden="false" customHeight="true" outlineLevel="0" collapsed="false">
      <c r="A28" s="7" t="s">
        <v>172</v>
      </c>
      <c r="B28" s="10" t="s">
        <v>81</v>
      </c>
      <c r="C28" s="20" t="n">
        <f aca="false">INT((H_MAX-PAL_H-SEP_E)/(C23+SEP_E))</f>
        <v>4</v>
      </c>
      <c r="D28" s="20" t="n">
        <f aca="false">INT((H_MAX-PAL_H-SEP_E)/(D23+SEP_E))</f>
        <v>4</v>
      </c>
      <c r="E28" s="20" t="n">
        <f aca="false">INT((H_MAX-PAL_H-SEP_E)/(E23+SEP_E))</f>
        <v>3</v>
      </c>
      <c r="F28" s="20" t="n">
        <f aca="false">INT((H_MAX-PAL_H-SEP_E)/(F23+SEP_E))</f>
        <v>2</v>
      </c>
      <c r="G28" s="20" t="n">
        <f aca="false">INT((H_MAX-PAL_H-SEP_E)/(G23+SEP_E))</f>
        <v>2</v>
      </c>
      <c r="H28" s="20" t="n">
        <f aca="false">INT((H_MAX-PAL_H-SEP_E)/(H23+SEP_E))</f>
        <v>1</v>
      </c>
      <c r="I28" s="20" t="n">
        <f aca="false">INT((H_MAX-PAL_H-SEP_E)/(I23+SEP_E))</f>
        <v>1</v>
      </c>
      <c r="J28" s="20" t="n">
        <f aca="false">INT((H_MAX-PAL_H-SEP_E)/(J23+SEP_E))</f>
        <v>1</v>
      </c>
    </row>
    <row r="29" customFormat="false" ht="15.75" hidden="false" customHeight="true" outlineLevel="0" collapsed="false">
      <c r="A29" s="7" t="s">
        <v>173</v>
      </c>
      <c r="B29" s="10" t="s">
        <v>81</v>
      </c>
      <c r="C29" s="20" t="n">
        <f aca="false">INT(KG_MAX/(C27*C24))</f>
        <v>7</v>
      </c>
      <c r="D29" s="20" t="n">
        <f aca="false">INT(KG_MAX/(D27*D24))</f>
        <v>10</v>
      </c>
      <c r="E29" s="20" t="n">
        <f aca="false">INT(KG_MAX/(E27*E24))</f>
        <v>9</v>
      </c>
      <c r="F29" s="20" t="n">
        <f aca="false">INT(KG_MAX/(F27*F24))</f>
        <v>6</v>
      </c>
      <c r="G29" s="20" t="n">
        <f aca="false">INT(KG_MAX/(G27*G24))</f>
        <v>5</v>
      </c>
      <c r="H29" s="20" t="n">
        <f aca="false">INT(KG_MAX/(H27*H24))</f>
        <v>5</v>
      </c>
      <c r="I29" s="20" t="n">
        <f aca="false">INT(KG_MAX/(I27*I24))</f>
        <v>3</v>
      </c>
      <c r="J29" s="20" t="n">
        <f aca="false">INT(KG_MAX/(J27*J24))</f>
        <v>3</v>
      </c>
    </row>
    <row r="30" customFormat="false" ht="15.75" hidden="false" customHeight="true" outlineLevel="0" collapsed="false">
      <c r="A30" s="7" t="s">
        <v>174</v>
      </c>
      <c r="B30" s="10" t="s">
        <v>81</v>
      </c>
      <c r="C30" s="20" t="n">
        <f aca="false">MIN(C28,C29)</f>
        <v>4</v>
      </c>
      <c r="D30" s="20" t="n">
        <f aca="false">MIN(D28,D29)</f>
        <v>4</v>
      </c>
      <c r="E30" s="20" t="n">
        <f aca="false">MIN(E28,E29)</f>
        <v>3</v>
      </c>
      <c r="F30" s="20" t="n">
        <f aca="false">MIN(F28,F29)</f>
        <v>2</v>
      </c>
      <c r="G30" s="20" t="n">
        <f aca="false">MIN(G28,G29)</f>
        <v>2</v>
      </c>
      <c r="H30" s="20" t="n">
        <f aca="false">MIN(H28,H29)</f>
        <v>1</v>
      </c>
      <c r="I30" s="20" t="n">
        <f aca="false">MIN(I28,I29)</f>
        <v>1</v>
      </c>
      <c r="J30" s="20" t="n">
        <f aca="false">MIN(J28,J29)</f>
        <v>1</v>
      </c>
    </row>
    <row r="31" customFormat="false" ht="15.75" hidden="false" customHeight="true" outlineLevel="0" collapsed="false">
      <c r="A31" s="22" t="s">
        <v>190</v>
      </c>
      <c r="B31" s="10" t="s">
        <v>81</v>
      </c>
      <c r="C31" s="23" t="n">
        <f aca="false">C27*C30</f>
        <v>780</v>
      </c>
      <c r="D31" s="23" t="n">
        <f aca="false">D27*D30</f>
        <v>288</v>
      </c>
      <c r="E31" s="23" t="n">
        <f aca="false">E27*E30</f>
        <v>126</v>
      </c>
      <c r="F31" s="23" t="n">
        <f aca="false">F27*F30</f>
        <v>60</v>
      </c>
      <c r="G31" s="23" t="n">
        <f aca="false">G27*G30</f>
        <v>24</v>
      </c>
      <c r="H31" s="23" t="n">
        <f aca="false">H27*H30</f>
        <v>9</v>
      </c>
      <c r="I31" s="23" t="n">
        <f aca="false">I27*I30</f>
        <v>6</v>
      </c>
      <c r="J31" s="23" t="n">
        <f aca="false">J27*J30</f>
        <v>6</v>
      </c>
    </row>
    <row r="32" customFormat="false" ht="15.75" hidden="false" customHeight="true" outlineLevel="0" collapsed="false">
      <c r="A32" s="7" t="s">
        <v>177</v>
      </c>
      <c r="B32" s="10" t="s">
        <v>66</v>
      </c>
      <c r="C32" s="11" t="n">
        <f aca="false">C31*C24+PAL_TARA+(C30+1)*SEP_KG</f>
        <v>630.8</v>
      </c>
      <c r="D32" s="11" t="n">
        <f aca="false">D31*D24+PAL_TARA+(D30+1)*SEP_KG</f>
        <v>464.24</v>
      </c>
      <c r="E32" s="11" t="n">
        <f aca="false">E31*E24+PAL_TARA+(E30+1)*SEP_KG</f>
        <v>387.68</v>
      </c>
      <c r="F32" s="11" t="n">
        <f aca="false">F31*F24+PAL_TARA+(F30+1)*SEP_KG</f>
        <v>365.6</v>
      </c>
      <c r="G32" s="11" t="n">
        <f aca="false">G31*G24+PAL_TARA+(G30+1)*SEP_KG</f>
        <v>418.88</v>
      </c>
      <c r="H32" s="11" t="n">
        <f aca="false">H31*H24+PAL_TARA+(H30+1)*SEP_KG</f>
        <v>245.9</v>
      </c>
      <c r="I32" s="11" t="n">
        <f aca="false">I31*I24+PAL_TARA+(I30+1)*SEP_KG</f>
        <v>317.36</v>
      </c>
      <c r="J32" s="11" t="n">
        <f aca="false">J31*J24+PAL_TARA+(J30+1)*SEP_KG</f>
        <v>377.3</v>
      </c>
    </row>
    <row r="33" customFormat="false" ht="15.75" hidden="false" customHeight="true" outlineLevel="0" collapsed="false">
      <c r="A33" s="7" t="s">
        <v>178</v>
      </c>
      <c r="B33" s="10" t="s">
        <v>58</v>
      </c>
      <c r="C33" s="11" t="n">
        <f aca="false">PAL_H+C30*C23+(C30+1)*SEP_E</f>
        <v>1350</v>
      </c>
      <c r="D33" s="11" t="n">
        <f aca="false">PAL_H+D30*D23+(D30+1)*SEP_E</f>
        <v>1492</v>
      </c>
      <c r="E33" s="11" t="n">
        <f aca="false">PAL_H+E30*E23+(E30+1)*SEP_E</f>
        <v>1399</v>
      </c>
      <c r="F33" s="11" t="n">
        <f aca="false">PAL_H+F30*F23+(F30+1)*SEP_E</f>
        <v>1318</v>
      </c>
      <c r="G33" s="11" t="n">
        <f aca="false">PAL_H+G30*G23+(G30+1)*SEP_E</f>
        <v>1498</v>
      </c>
      <c r="H33" s="11" t="n">
        <f aca="false">PAL_H+H30*H23+(H30+1)*SEP_E</f>
        <v>1009</v>
      </c>
      <c r="I33" s="11" t="n">
        <f aca="false">PAL_H+I30*I23+(I30+1)*SEP_E</f>
        <v>1059</v>
      </c>
      <c r="J33" s="11" t="n">
        <f aca="false">PAL_H+J30*J23+(J30+1)*SEP_E</f>
        <v>1279</v>
      </c>
    </row>
    <row r="34" customFormat="false" ht="15.75" hidden="false" customHeight="true" outlineLevel="0" collapsed="false"/>
    <row r="35" customFormat="false" ht="15.75" hidden="false" customHeight="true" outlineLevel="0" collapsed="false">
      <c r="A35" s="4" t="s">
        <v>191</v>
      </c>
      <c r="B35" s="5"/>
      <c r="C35" s="5"/>
      <c r="D35" s="5"/>
      <c r="E35" s="5"/>
      <c r="F35" s="5"/>
      <c r="G35" s="5"/>
      <c r="H35" s="5"/>
      <c r="I35" s="5"/>
      <c r="J35" s="5"/>
    </row>
    <row r="36" customFormat="false" ht="42" hidden="false" customHeight="true" outlineLevel="0" collapsed="false">
      <c r="A36" s="6" t="s">
        <v>4</v>
      </c>
      <c r="B36" s="6" t="s">
        <v>40</v>
      </c>
      <c r="C36" s="6"/>
      <c r="D36" s="6"/>
      <c r="E36" s="6"/>
      <c r="F36" s="6"/>
      <c r="G36" s="6" t="s">
        <v>180</v>
      </c>
      <c r="H36" s="6" t="s">
        <v>181</v>
      </c>
      <c r="I36" s="6" t="s">
        <v>182</v>
      </c>
      <c r="J36" s="6" t="s">
        <v>183</v>
      </c>
    </row>
    <row r="37" customFormat="false" ht="15.75" hidden="false" customHeight="true" outlineLevel="0" collapsed="false">
      <c r="A37" s="22" t="s">
        <v>192</v>
      </c>
      <c r="B37" s="10" t="s">
        <v>81</v>
      </c>
      <c r="G37" s="23" t="n">
        <f aca="false">Datos!G46</f>
        <v>14</v>
      </c>
      <c r="H37" s="23" t="n">
        <f aca="false">Datos!H46</f>
        <v>10</v>
      </c>
      <c r="I37" s="23" t="n">
        <f aca="false">Datos!I46</f>
        <v>7</v>
      </c>
      <c r="J37" s="23" t="n">
        <f aca="false">Datos!J46</f>
        <v>7</v>
      </c>
    </row>
    <row r="38" customFormat="false" ht="15.75" hidden="false" customHeight="true" outlineLevel="0" collapsed="false">
      <c r="A38" s="7" t="s">
        <v>193</v>
      </c>
      <c r="B38" s="10" t="s">
        <v>66</v>
      </c>
      <c r="G38" s="20" t="n">
        <f aca="false">Datos!G44</f>
        <v>55</v>
      </c>
      <c r="H38" s="20" t="n">
        <f aca="false">Datos!H44</f>
        <v>100</v>
      </c>
      <c r="I38" s="20" t="n">
        <f aca="false">Datos!I44</f>
        <v>140</v>
      </c>
      <c r="J38" s="20" t="n">
        <f aca="false">Datos!J44</f>
        <v>185</v>
      </c>
    </row>
    <row r="39" customFormat="false" ht="15.75" hidden="false" customHeight="true" outlineLevel="0" collapsed="false"/>
    <row r="40" customFormat="false" ht="15.75" hidden="false" customHeight="true" outlineLevel="0" collapsed="false">
      <c r="A40" s="25" t="s">
        <v>194</v>
      </c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1"/>
    <col collapsed="false" customWidth="true" hidden="false" outlineLevel="0" max="26" min="15" style="0" width="8.71"/>
  </cols>
  <sheetData>
    <row r="1" customFormat="false" ht="1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3" customFormat="false" ht="15" hidden="false" customHeight="false" outlineLevel="0" collapsed="false">
      <c r="A3" s="3" t="s">
        <v>197</v>
      </c>
    </row>
    <row r="5" customFormat="false" ht="15" hidden="false" customHeight="false" outlineLevel="0" collapsed="false">
      <c r="A5" s="4" t="s">
        <v>198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42" hidden="false" customHeight="true" outlineLevel="0" collapsed="false">
      <c r="A6" s="6" t="s">
        <v>199</v>
      </c>
      <c r="B6" s="6" t="s">
        <v>200</v>
      </c>
      <c r="C6" s="6" t="s">
        <v>201</v>
      </c>
      <c r="D6" s="6" t="s">
        <v>202</v>
      </c>
      <c r="E6" s="6" t="s">
        <v>203</v>
      </c>
      <c r="F6" s="6" t="s">
        <v>204</v>
      </c>
      <c r="G6" s="6" t="s">
        <v>205</v>
      </c>
      <c r="H6" s="6" t="s">
        <v>206</v>
      </c>
      <c r="I6" s="6" t="s">
        <v>207</v>
      </c>
      <c r="J6" s="6" t="s">
        <v>208</v>
      </c>
      <c r="K6" s="6" t="s">
        <v>209</v>
      </c>
      <c r="L6" s="6" t="s">
        <v>210</v>
      </c>
      <c r="M6" s="6" t="s">
        <v>211</v>
      </c>
      <c r="N6" s="6" t="s">
        <v>212</v>
      </c>
    </row>
    <row r="7" customFormat="false" ht="15" hidden="false" customHeight="false" outlineLevel="0" collapsed="false">
      <c r="A7" s="10" t="s">
        <v>213</v>
      </c>
      <c r="B7" s="26" t="n">
        <f aca="false">Datos!D7</f>
        <v>3848.716696</v>
      </c>
      <c r="C7" s="26" t="n">
        <f aca="false">Datos!E7</f>
        <v>2886.537522</v>
      </c>
      <c r="D7" s="26" t="n">
        <f aca="false">Datos!F7</f>
        <v>2565.811131</v>
      </c>
      <c r="E7" s="26" t="n">
        <f aca="false">Datos!G7</f>
        <v>2405.447935</v>
      </c>
      <c r="F7" s="26" t="n">
        <f aca="false">Datos!H7</f>
        <v>2245.084739</v>
      </c>
      <c r="G7" s="26" t="n">
        <f aca="false">Datos!I7</f>
        <v>2245.084739</v>
      </c>
      <c r="H7" s="26" t="n">
        <f aca="false">Datos!J7</f>
        <v>2405.447935</v>
      </c>
      <c r="I7" s="26" t="n">
        <f aca="false">Datos!K7</f>
        <v>2405.447935</v>
      </c>
      <c r="J7" s="26" t="n">
        <f aca="false">Datos!L7</f>
        <v>2405.447935</v>
      </c>
      <c r="K7" s="26" t="n">
        <f aca="false">Datos!M7</f>
        <v>2405.447935</v>
      </c>
      <c r="L7" s="26" t="n">
        <f aca="false">Datos!N7</f>
        <v>2405.447935</v>
      </c>
      <c r="M7" s="26" t="n">
        <f aca="false">Datos!O7</f>
        <v>3848.716696</v>
      </c>
      <c r="N7" s="27" t="n">
        <f aca="false">SUM(B7:M7)</f>
        <v>32072.639133</v>
      </c>
    </row>
    <row r="8" customFormat="false" ht="15" hidden="false" customHeight="false" outlineLevel="0" collapsed="false">
      <c r="A8" s="10" t="s">
        <v>214</v>
      </c>
      <c r="B8" s="26" t="n">
        <f aca="false">Datos!D8</f>
        <v>743.6458444</v>
      </c>
      <c r="C8" s="26" t="n">
        <f aca="false">Datos!E8</f>
        <v>594.9166755</v>
      </c>
      <c r="D8" s="26" t="n">
        <f aca="false">Datos!F8</f>
        <v>632.0989678</v>
      </c>
      <c r="E8" s="26" t="n">
        <f aca="false">Datos!G8</f>
        <v>632.0989678</v>
      </c>
      <c r="F8" s="26" t="n">
        <f aca="false">Datos!H8</f>
        <v>594.9166755</v>
      </c>
      <c r="G8" s="26" t="n">
        <f aca="false">Datos!I8</f>
        <v>557.7343833</v>
      </c>
      <c r="H8" s="26" t="n">
        <f aca="false">Datos!J8</f>
        <v>594.9166755</v>
      </c>
      <c r="I8" s="26" t="n">
        <f aca="false">Datos!K8</f>
        <v>594.9166755</v>
      </c>
      <c r="J8" s="26" t="n">
        <f aca="false">Datos!L8</f>
        <v>594.9166755</v>
      </c>
      <c r="K8" s="26" t="n">
        <f aca="false">Datos!M8</f>
        <v>557.7343833</v>
      </c>
      <c r="L8" s="26" t="n">
        <f aca="false">Datos!N8</f>
        <v>520.5520911</v>
      </c>
      <c r="M8" s="26" t="n">
        <f aca="false">Datos!O8</f>
        <v>818.0104289</v>
      </c>
      <c r="N8" s="27" t="n">
        <f aca="false">SUM(B8:M8)</f>
        <v>7436.4584441</v>
      </c>
    </row>
    <row r="9" customFormat="false" ht="15" hidden="false" customHeight="false" outlineLevel="0" collapsed="false">
      <c r="A9" s="10" t="s">
        <v>215</v>
      </c>
      <c r="B9" s="26" t="n">
        <f aca="false">Datos!D9</f>
        <v>3081.497872</v>
      </c>
      <c r="C9" s="26" t="n">
        <f aca="false">Datos!E9</f>
        <v>2465.198298</v>
      </c>
      <c r="D9" s="26" t="n">
        <f aca="false">Datos!F9</f>
        <v>2619.273191</v>
      </c>
      <c r="E9" s="26" t="n">
        <f aca="false">Datos!G9</f>
        <v>2619.273191</v>
      </c>
      <c r="F9" s="26" t="n">
        <f aca="false">Datos!H9</f>
        <v>2465.198298</v>
      </c>
      <c r="G9" s="26" t="n">
        <f aca="false">Datos!I9</f>
        <v>2311.123404</v>
      </c>
      <c r="H9" s="26" t="n">
        <f aca="false">Datos!J9</f>
        <v>2465.198298</v>
      </c>
      <c r="I9" s="26" t="n">
        <f aca="false">Datos!K9</f>
        <v>2465.198298</v>
      </c>
      <c r="J9" s="26" t="n">
        <f aca="false">Datos!L9</f>
        <v>2465.198298</v>
      </c>
      <c r="K9" s="26" t="n">
        <f aca="false">Datos!M9</f>
        <v>2311.123404</v>
      </c>
      <c r="L9" s="26" t="n">
        <f aca="false">Datos!N9</f>
        <v>2157.04851</v>
      </c>
      <c r="M9" s="26" t="n">
        <f aca="false">Datos!O9</f>
        <v>3389.647659</v>
      </c>
      <c r="N9" s="27" t="n">
        <f aca="false">SUM(B9:M9)</f>
        <v>30814.978721</v>
      </c>
    </row>
    <row r="10" customFormat="false" ht="15" hidden="false" customHeight="false" outlineLevel="0" collapsed="false">
      <c r="A10" s="10" t="s">
        <v>216</v>
      </c>
      <c r="B10" s="26" t="n">
        <f aca="false">Datos!D10</f>
        <v>184.4928079</v>
      </c>
      <c r="C10" s="26" t="n">
        <f aca="false">Datos!E10</f>
        <v>147.5942463</v>
      </c>
      <c r="D10" s="26" t="n">
        <f aca="false">Datos!F10</f>
        <v>156.8188867</v>
      </c>
      <c r="E10" s="26" t="n">
        <f aca="false">Datos!G10</f>
        <v>156.8188867</v>
      </c>
      <c r="F10" s="26" t="n">
        <f aca="false">Datos!H10</f>
        <v>147.5942463</v>
      </c>
      <c r="G10" s="26" t="n">
        <f aca="false">Datos!I10</f>
        <v>138.3696059</v>
      </c>
      <c r="H10" s="26" t="n">
        <f aca="false">Datos!J10</f>
        <v>147.5942463</v>
      </c>
      <c r="I10" s="26" t="n">
        <f aca="false">Datos!K10</f>
        <v>147.5942463</v>
      </c>
      <c r="J10" s="26" t="n">
        <f aca="false">Datos!L10</f>
        <v>147.5942463</v>
      </c>
      <c r="K10" s="26" t="n">
        <f aca="false">Datos!M10</f>
        <v>138.3696059</v>
      </c>
      <c r="L10" s="26" t="n">
        <f aca="false">Datos!N10</f>
        <v>129.1449655</v>
      </c>
      <c r="M10" s="26" t="n">
        <f aca="false">Datos!O10</f>
        <v>202.9420886</v>
      </c>
      <c r="N10" s="27" t="n">
        <f aca="false">SUM(B10:M10)</f>
        <v>1844.9280787</v>
      </c>
    </row>
    <row r="11" customFormat="false" ht="15" hidden="false" customHeight="false" outlineLevel="0" collapsed="false">
      <c r="A11" s="10" t="s">
        <v>217</v>
      </c>
      <c r="B11" s="26" t="n">
        <f aca="false">Datos!D11</f>
        <v>20465.76</v>
      </c>
      <c r="C11" s="26" t="n">
        <f aca="false">Datos!E11</f>
        <v>15349.32</v>
      </c>
      <c r="D11" s="26" t="n">
        <f aca="false">Datos!F11</f>
        <v>13643.84</v>
      </c>
      <c r="E11" s="26" t="n">
        <f aca="false">Datos!G11</f>
        <v>12791.1</v>
      </c>
      <c r="F11" s="26" t="n">
        <f aca="false">Datos!H11</f>
        <v>11938.36</v>
      </c>
      <c r="G11" s="26" t="n">
        <f aca="false">Datos!I11</f>
        <v>11938.36</v>
      </c>
      <c r="H11" s="26" t="n">
        <f aca="false">Datos!J11</f>
        <v>12791.1</v>
      </c>
      <c r="I11" s="26" t="n">
        <f aca="false">Datos!K11</f>
        <v>12791.1</v>
      </c>
      <c r="J11" s="26" t="n">
        <f aca="false">Datos!L11</f>
        <v>12791.1</v>
      </c>
      <c r="K11" s="26" t="n">
        <f aca="false">Datos!M11</f>
        <v>12791.1</v>
      </c>
      <c r="L11" s="26" t="n">
        <f aca="false">Datos!N11</f>
        <v>12791.1</v>
      </c>
      <c r="M11" s="26" t="n">
        <f aca="false">Datos!O11</f>
        <v>20465.76</v>
      </c>
      <c r="N11" s="27" t="n">
        <f aca="false">SUM(B11:M11)</f>
        <v>170548</v>
      </c>
    </row>
    <row r="12" customFormat="false" ht="15" hidden="false" customHeight="false" outlineLevel="0" collapsed="false">
      <c r="A12" s="10" t="s">
        <v>218</v>
      </c>
      <c r="B12" s="26" t="n">
        <f aca="false">Datos!D12</f>
        <v>668.988</v>
      </c>
      <c r="C12" s="26" t="n">
        <f aca="false">Datos!E12</f>
        <v>535.1904</v>
      </c>
      <c r="D12" s="26" t="n">
        <f aca="false">Datos!F12</f>
        <v>568.6398</v>
      </c>
      <c r="E12" s="26" t="n">
        <f aca="false">Datos!G12</f>
        <v>568.6398</v>
      </c>
      <c r="F12" s="26" t="n">
        <f aca="false">Datos!H12</f>
        <v>535.1904</v>
      </c>
      <c r="G12" s="26" t="n">
        <f aca="false">Datos!I12</f>
        <v>501.741</v>
      </c>
      <c r="H12" s="26" t="n">
        <f aca="false">Datos!J12</f>
        <v>535.1904</v>
      </c>
      <c r="I12" s="26" t="n">
        <f aca="false">Datos!K12</f>
        <v>535.1904</v>
      </c>
      <c r="J12" s="26" t="n">
        <f aca="false">Datos!L12</f>
        <v>535.1904</v>
      </c>
      <c r="K12" s="26" t="n">
        <f aca="false">Datos!M12</f>
        <v>501.741</v>
      </c>
      <c r="L12" s="26" t="n">
        <f aca="false">Datos!N12</f>
        <v>468.2916</v>
      </c>
      <c r="M12" s="26" t="n">
        <f aca="false">Datos!O12</f>
        <v>735.8868</v>
      </c>
      <c r="N12" s="27" t="n">
        <f aca="false">SUM(B12:M12)</f>
        <v>6689.88</v>
      </c>
    </row>
    <row r="13" customFormat="false" ht="15" hidden="false" customHeight="false" outlineLevel="0" collapsed="false">
      <c r="A13" s="10" t="s">
        <v>219</v>
      </c>
      <c r="B13" s="26" t="n">
        <f aca="false">Datos!D13</f>
        <v>3303.768</v>
      </c>
      <c r="C13" s="26" t="n">
        <f aca="false">Datos!E13</f>
        <v>2643.0144</v>
      </c>
      <c r="D13" s="26" t="n">
        <f aca="false">Datos!F13</f>
        <v>2808.2028</v>
      </c>
      <c r="E13" s="26" t="n">
        <f aca="false">Datos!G13</f>
        <v>2808.2028</v>
      </c>
      <c r="F13" s="26" t="n">
        <f aca="false">Datos!H13</f>
        <v>2643.0144</v>
      </c>
      <c r="G13" s="26" t="n">
        <f aca="false">Datos!I13</f>
        <v>2477.826</v>
      </c>
      <c r="H13" s="26" t="n">
        <f aca="false">Datos!J13</f>
        <v>2643.0144</v>
      </c>
      <c r="I13" s="26" t="n">
        <f aca="false">Datos!K13</f>
        <v>2643.0144</v>
      </c>
      <c r="J13" s="26" t="n">
        <f aca="false">Datos!L13</f>
        <v>2643.0144</v>
      </c>
      <c r="K13" s="26" t="n">
        <f aca="false">Datos!M13</f>
        <v>2477.826</v>
      </c>
      <c r="L13" s="26" t="n">
        <f aca="false">Datos!N13</f>
        <v>2312.6376</v>
      </c>
      <c r="M13" s="26" t="n">
        <f aca="false">Datos!O13</f>
        <v>3634.1448</v>
      </c>
      <c r="N13" s="27" t="n">
        <f aca="false">SUM(B13:M13)</f>
        <v>33037.68</v>
      </c>
    </row>
    <row r="14" customFormat="false" ht="15" hidden="false" customHeight="false" outlineLevel="0" collapsed="false">
      <c r="A14" s="10" t="s">
        <v>220</v>
      </c>
      <c r="B14" s="26" t="n">
        <f aca="false">Datos!D14</f>
        <v>201.8</v>
      </c>
      <c r="C14" s="26" t="n">
        <f aca="false">Datos!E14</f>
        <v>161.44</v>
      </c>
      <c r="D14" s="26" t="n">
        <f aca="false">Datos!F14</f>
        <v>171.53</v>
      </c>
      <c r="E14" s="26" t="n">
        <f aca="false">Datos!G14</f>
        <v>171.53</v>
      </c>
      <c r="F14" s="26" t="n">
        <f aca="false">Datos!H14</f>
        <v>161.44</v>
      </c>
      <c r="G14" s="26" t="n">
        <f aca="false">Datos!I14</f>
        <v>151.35</v>
      </c>
      <c r="H14" s="26" t="n">
        <f aca="false">Datos!J14</f>
        <v>161.44</v>
      </c>
      <c r="I14" s="26" t="n">
        <f aca="false">Datos!K14</f>
        <v>161.44</v>
      </c>
      <c r="J14" s="26" t="n">
        <f aca="false">Datos!L14</f>
        <v>161.44</v>
      </c>
      <c r="K14" s="26" t="n">
        <f aca="false">Datos!M14</f>
        <v>151.35</v>
      </c>
      <c r="L14" s="26" t="n">
        <f aca="false">Datos!N14</f>
        <v>141.26</v>
      </c>
      <c r="M14" s="26" t="n">
        <f aca="false">Datos!O14</f>
        <v>221.98</v>
      </c>
      <c r="N14" s="27" t="n">
        <f aca="false">SUM(B14:M14)</f>
        <v>2018</v>
      </c>
    </row>
    <row r="15" customFormat="false" ht="15" hidden="false" customHeight="false" outlineLevel="0" collapsed="false">
      <c r="A15" s="10" t="s">
        <v>221</v>
      </c>
      <c r="B15" s="26" t="n">
        <f aca="false">Datos!D15</f>
        <v>38.56199533</v>
      </c>
      <c r="C15" s="26" t="n">
        <f aca="false">Datos!E15</f>
        <v>34.02528999</v>
      </c>
      <c r="D15" s="26" t="n">
        <f aca="false">Datos!F15</f>
        <v>40.83034799</v>
      </c>
      <c r="E15" s="26" t="n">
        <f aca="false">Datos!G15</f>
        <v>40.83034799</v>
      </c>
      <c r="F15" s="26" t="n">
        <f aca="false">Datos!H15</f>
        <v>40.83034799</v>
      </c>
      <c r="G15" s="26" t="n">
        <f aca="false">Datos!I15</f>
        <v>36.29364266</v>
      </c>
      <c r="H15" s="26" t="n">
        <f aca="false">Datos!J15</f>
        <v>40.83034799</v>
      </c>
      <c r="I15" s="26" t="n">
        <f aca="false">Datos!K15</f>
        <v>40.83034799</v>
      </c>
      <c r="J15" s="26" t="n">
        <f aca="false">Datos!L15</f>
        <v>38.56199533</v>
      </c>
      <c r="K15" s="26" t="n">
        <f aca="false">Datos!M15</f>
        <v>34.02528999</v>
      </c>
      <c r="L15" s="26" t="n">
        <f aca="false">Datos!N15</f>
        <v>31.75693733</v>
      </c>
      <c r="M15" s="26" t="n">
        <f aca="false">Datos!O15</f>
        <v>36.29364266</v>
      </c>
      <c r="N15" s="27" t="n">
        <f aca="false">SUM(B15:M15)</f>
        <v>453.67053324</v>
      </c>
    </row>
    <row r="16" customFormat="false" ht="15" hidden="false" customHeight="false" outlineLevel="0" collapsed="false">
      <c r="A16" s="10" t="s">
        <v>222</v>
      </c>
      <c r="B16" s="26" t="n">
        <f aca="false">Datos!D16</f>
        <v>84.82958972</v>
      </c>
      <c r="C16" s="26" t="n">
        <f aca="false">Datos!E16</f>
        <v>74.84963799</v>
      </c>
      <c r="D16" s="26" t="n">
        <f aca="false">Datos!F16</f>
        <v>89.81956558</v>
      </c>
      <c r="E16" s="26" t="n">
        <f aca="false">Datos!G16</f>
        <v>89.81956558</v>
      </c>
      <c r="F16" s="26" t="n">
        <f aca="false">Datos!H16</f>
        <v>89.81956558</v>
      </c>
      <c r="G16" s="26" t="n">
        <f aca="false">Datos!I16</f>
        <v>79.83961385</v>
      </c>
      <c r="H16" s="26" t="n">
        <f aca="false">Datos!J16</f>
        <v>89.81956558</v>
      </c>
      <c r="I16" s="26" t="n">
        <f aca="false">Datos!K16</f>
        <v>89.81956558</v>
      </c>
      <c r="J16" s="26" t="n">
        <f aca="false">Datos!L16</f>
        <v>84.82958972</v>
      </c>
      <c r="K16" s="26" t="n">
        <f aca="false">Datos!M16</f>
        <v>74.84963799</v>
      </c>
      <c r="L16" s="26" t="n">
        <f aca="false">Datos!N16</f>
        <v>69.85966212</v>
      </c>
      <c r="M16" s="26" t="n">
        <f aca="false">Datos!O16</f>
        <v>79.83961385</v>
      </c>
      <c r="N16" s="27" t="n">
        <f aca="false">SUM(B16:M16)</f>
        <v>997.99517314</v>
      </c>
    </row>
    <row r="17" customFormat="false" ht="15" hidden="false" customHeight="false" outlineLevel="0" collapsed="false">
      <c r="A17" s="10" t="s">
        <v>223</v>
      </c>
      <c r="B17" s="26" t="n">
        <f aca="false">Datos!D17</f>
        <v>18.51383776</v>
      </c>
      <c r="C17" s="26" t="n">
        <f aca="false">Datos!E17</f>
        <v>16.3357392</v>
      </c>
      <c r="D17" s="26" t="n">
        <f aca="false">Datos!F17</f>
        <v>19.60288704</v>
      </c>
      <c r="E17" s="26" t="n">
        <f aca="false">Datos!G17</f>
        <v>19.60288704</v>
      </c>
      <c r="F17" s="26" t="n">
        <f aca="false">Datos!H17</f>
        <v>19.60288704</v>
      </c>
      <c r="G17" s="26" t="n">
        <f aca="false">Datos!I17</f>
        <v>17.42478848</v>
      </c>
      <c r="H17" s="26" t="n">
        <f aca="false">Datos!J17</f>
        <v>19.60288704</v>
      </c>
      <c r="I17" s="26" t="n">
        <f aca="false">Datos!K17</f>
        <v>19.60288704</v>
      </c>
      <c r="J17" s="26" t="n">
        <f aca="false">Datos!L17</f>
        <v>18.51383776</v>
      </c>
      <c r="K17" s="26" t="n">
        <f aca="false">Datos!M17</f>
        <v>16.3357392</v>
      </c>
      <c r="L17" s="26" t="n">
        <f aca="false">Datos!N17</f>
        <v>15.24668992</v>
      </c>
      <c r="M17" s="26" t="n">
        <f aca="false">Datos!O17</f>
        <v>17.42478848</v>
      </c>
      <c r="N17" s="27" t="n">
        <f aca="false">SUM(B17:M17)</f>
        <v>217.809856</v>
      </c>
    </row>
    <row r="18" customFormat="false" ht="15" hidden="false" customHeight="false" outlineLevel="0" collapsed="false">
      <c r="A18" s="10" t="s">
        <v>224</v>
      </c>
      <c r="B18" s="26" t="n">
        <f aca="false">Datos!D18</f>
        <v>12.3425585</v>
      </c>
      <c r="C18" s="26" t="n">
        <f aca="false">Datos!E18</f>
        <v>10.8904928</v>
      </c>
      <c r="D18" s="26" t="n">
        <f aca="false">Datos!F18</f>
        <v>13.06859136</v>
      </c>
      <c r="E18" s="26" t="n">
        <f aca="false">Datos!G18</f>
        <v>13.06859136</v>
      </c>
      <c r="F18" s="26" t="n">
        <f aca="false">Datos!H18</f>
        <v>13.06859136</v>
      </c>
      <c r="G18" s="26" t="n">
        <f aca="false">Datos!I18</f>
        <v>11.61652565</v>
      </c>
      <c r="H18" s="26" t="n">
        <f aca="false">Datos!J18</f>
        <v>13.06859136</v>
      </c>
      <c r="I18" s="26" t="n">
        <f aca="false">Datos!K18</f>
        <v>13.06859136</v>
      </c>
      <c r="J18" s="26" t="n">
        <f aca="false">Datos!L18</f>
        <v>12.3425585</v>
      </c>
      <c r="K18" s="26" t="n">
        <f aca="false">Datos!M18</f>
        <v>10.8904928</v>
      </c>
      <c r="L18" s="26" t="n">
        <f aca="false">Datos!N18</f>
        <v>10.16445994</v>
      </c>
      <c r="M18" s="26" t="n">
        <f aca="false">Datos!O18</f>
        <v>11.61652565</v>
      </c>
      <c r="N18" s="27" t="n">
        <f aca="false">SUM(B18:M18)</f>
        <v>145.20657064</v>
      </c>
    </row>
    <row r="19" customFormat="false" ht="15" hidden="false" customHeight="false" outlineLevel="0" collapsed="false">
      <c r="A19" s="10" t="s">
        <v>225</v>
      </c>
      <c r="B19" s="26" t="n">
        <f aca="false">Datos!D19</f>
        <v>27.5094</v>
      </c>
      <c r="C19" s="26" t="n">
        <f aca="false">Datos!E19</f>
        <v>24.273</v>
      </c>
      <c r="D19" s="26" t="n">
        <f aca="false">Datos!F19</f>
        <v>29.1276</v>
      </c>
      <c r="E19" s="26" t="n">
        <f aca="false">Datos!G19</f>
        <v>29.1276</v>
      </c>
      <c r="F19" s="26" t="n">
        <f aca="false">Datos!H19</f>
        <v>29.1276</v>
      </c>
      <c r="G19" s="26" t="n">
        <f aca="false">Datos!I19</f>
        <v>25.8912</v>
      </c>
      <c r="H19" s="26" t="n">
        <f aca="false">Datos!J19</f>
        <v>29.1276</v>
      </c>
      <c r="I19" s="26" t="n">
        <f aca="false">Datos!K19</f>
        <v>29.1276</v>
      </c>
      <c r="J19" s="26" t="n">
        <f aca="false">Datos!L19</f>
        <v>27.5094</v>
      </c>
      <c r="K19" s="26" t="n">
        <f aca="false">Datos!M19</f>
        <v>24.273</v>
      </c>
      <c r="L19" s="26" t="n">
        <f aca="false">Datos!N19</f>
        <v>22.6548</v>
      </c>
      <c r="M19" s="26" t="n">
        <f aca="false">Datos!O19</f>
        <v>25.8912</v>
      </c>
      <c r="N19" s="27" t="n">
        <f aca="false">SUM(B19:M19)</f>
        <v>323.64</v>
      </c>
    </row>
    <row r="20" customFormat="false" ht="15" hidden="false" customHeight="false" outlineLevel="0" collapsed="false">
      <c r="A20" s="10" t="s">
        <v>226</v>
      </c>
      <c r="B20" s="26" t="n">
        <f aca="false">Datos!D20</f>
        <v>60.3874</v>
      </c>
      <c r="C20" s="26" t="n">
        <f aca="false">Datos!E20</f>
        <v>53.283</v>
      </c>
      <c r="D20" s="26" t="n">
        <f aca="false">Datos!F20</f>
        <v>63.9396</v>
      </c>
      <c r="E20" s="26" t="n">
        <f aca="false">Datos!G20</f>
        <v>63.9396</v>
      </c>
      <c r="F20" s="26" t="n">
        <f aca="false">Datos!H20</f>
        <v>63.9396</v>
      </c>
      <c r="G20" s="26" t="n">
        <f aca="false">Datos!I20</f>
        <v>56.8352</v>
      </c>
      <c r="H20" s="26" t="n">
        <f aca="false">Datos!J20</f>
        <v>63.9396</v>
      </c>
      <c r="I20" s="26" t="n">
        <f aca="false">Datos!K20</f>
        <v>63.9396</v>
      </c>
      <c r="J20" s="26" t="n">
        <f aca="false">Datos!L20</f>
        <v>60.3874</v>
      </c>
      <c r="K20" s="26" t="n">
        <f aca="false">Datos!M20</f>
        <v>53.283</v>
      </c>
      <c r="L20" s="26" t="n">
        <f aca="false">Datos!N20</f>
        <v>49.7308</v>
      </c>
      <c r="M20" s="26" t="n">
        <f aca="false">Datos!O20</f>
        <v>56.8352</v>
      </c>
      <c r="N20" s="27" t="n">
        <f aca="false">SUM(B20:M20)</f>
        <v>710.44</v>
      </c>
    </row>
    <row r="21" customFormat="false" ht="15.75" hidden="false" customHeight="true" outlineLevel="0" collapsed="false">
      <c r="A21" s="10" t="s">
        <v>227</v>
      </c>
      <c r="B21" s="26" t="n">
        <f aca="false">Datos!D21</f>
        <v>13.2872</v>
      </c>
      <c r="C21" s="26" t="n">
        <f aca="false">Datos!E21</f>
        <v>11.724</v>
      </c>
      <c r="D21" s="26" t="n">
        <f aca="false">Datos!F21</f>
        <v>14.0688</v>
      </c>
      <c r="E21" s="26" t="n">
        <f aca="false">Datos!G21</f>
        <v>14.0688</v>
      </c>
      <c r="F21" s="26" t="n">
        <f aca="false">Datos!H21</f>
        <v>14.0688</v>
      </c>
      <c r="G21" s="26" t="n">
        <f aca="false">Datos!I21</f>
        <v>12.5056</v>
      </c>
      <c r="H21" s="26" t="n">
        <f aca="false">Datos!J21</f>
        <v>14.0688</v>
      </c>
      <c r="I21" s="26" t="n">
        <f aca="false">Datos!K21</f>
        <v>14.0688</v>
      </c>
      <c r="J21" s="26" t="n">
        <f aca="false">Datos!L21</f>
        <v>13.2872</v>
      </c>
      <c r="K21" s="26" t="n">
        <f aca="false">Datos!M21</f>
        <v>11.724</v>
      </c>
      <c r="L21" s="26" t="n">
        <f aca="false">Datos!N21</f>
        <v>10.9424</v>
      </c>
      <c r="M21" s="26" t="n">
        <f aca="false">Datos!O21</f>
        <v>12.5056</v>
      </c>
      <c r="N21" s="27" t="n">
        <f aca="false">SUM(B21:M21)</f>
        <v>156.32</v>
      </c>
    </row>
    <row r="22" customFormat="false" ht="15.75" hidden="false" customHeight="true" outlineLevel="0" collapsed="false">
      <c r="A22" s="10" t="s">
        <v>228</v>
      </c>
      <c r="B22" s="26" t="n">
        <f aca="false">Datos!D22</f>
        <v>8.6904</v>
      </c>
      <c r="C22" s="26" t="n">
        <f aca="false">Datos!E22</f>
        <v>7.668</v>
      </c>
      <c r="D22" s="26" t="n">
        <f aca="false">Datos!F22</f>
        <v>9.2016</v>
      </c>
      <c r="E22" s="26" t="n">
        <f aca="false">Datos!G22</f>
        <v>9.2016</v>
      </c>
      <c r="F22" s="26" t="n">
        <f aca="false">Datos!H22</f>
        <v>9.2016</v>
      </c>
      <c r="G22" s="26" t="n">
        <f aca="false">Datos!I22</f>
        <v>8.1792</v>
      </c>
      <c r="H22" s="26" t="n">
        <f aca="false">Datos!J22</f>
        <v>9.2016</v>
      </c>
      <c r="I22" s="26" t="n">
        <f aca="false">Datos!K22</f>
        <v>9.2016</v>
      </c>
      <c r="J22" s="26" t="n">
        <f aca="false">Datos!L22</f>
        <v>8.6904</v>
      </c>
      <c r="K22" s="26" t="n">
        <f aca="false">Datos!M22</f>
        <v>7.668</v>
      </c>
      <c r="L22" s="26" t="n">
        <f aca="false">Datos!N22</f>
        <v>7.1568</v>
      </c>
      <c r="M22" s="26" t="n">
        <f aca="false">Datos!O22</f>
        <v>8.1792</v>
      </c>
      <c r="N22" s="27" t="n">
        <f aca="false">SUM(B22:M22)</f>
        <v>102.24</v>
      </c>
    </row>
    <row r="23" customFormat="false" ht="15.75" hidden="false" customHeight="true" outlineLevel="0" collapsed="false"/>
    <row r="24" customFormat="false" ht="42" hidden="false" customHeight="true" outlineLevel="0" collapsed="false">
      <c r="A24" s="6" t="s">
        <v>229</v>
      </c>
      <c r="B24" s="6" t="s">
        <v>200</v>
      </c>
      <c r="C24" s="6" t="s">
        <v>201</v>
      </c>
      <c r="D24" s="6" t="s">
        <v>202</v>
      </c>
      <c r="E24" s="6" t="s">
        <v>203</v>
      </c>
      <c r="F24" s="6" t="s">
        <v>204</v>
      </c>
      <c r="G24" s="6" t="s">
        <v>205</v>
      </c>
      <c r="H24" s="6" t="s">
        <v>206</v>
      </c>
      <c r="I24" s="6" t="s">
        <v>207</v>
      </c>
      <c r="J24" s="6" t="s">
        <v>208</v>
      </c>
      <c r="K24" s="6" t="s">
        <v>209</v>
      </c>
      <c r="L24" s="6" t="s">
        <v>210</v>
      </c>
      <c r="M24" s="6" t="s">
        <v>211</v>
      </c>
      <c r="N24" s="6" t="s">
        <v>212</v>
      </c>
    </row>
    <row r="25" customFormat="false" ht="15.75" hidden="false" customHeight="true" outlineLevel="0" collapsed="false">
      <c r="A25" s="10" t="s">
        <v>213</v>
      </c>
      <c r="B25" s="26" t="n">
        <f aca="false">Datos!$P$7*Datos!D$26</f>
        <v>2886.53752197</v>
      </c>
      <c r="C25" s="26" t="n">
        <f aca="false">Datos!$P$7*Datos!E$26</f>
        <v>2886.53752197</v>
      </c>
      <c r="D25" s="26" t="n">
        <f aca="false">Datos!$P$7*Datos!F$26</f>
        <v>2565.81113064</v>
      </c>
      <c r="E25" s="26" t="n">
        <f aca="false">Datos!$P$7*Datos!G$26</f>
        <v>2405.447934975</v>
      </c>
      <c r="F25" s="26" t="n">
        <f aca="false">Datos!$P$7*Datos!H$26</f>
        <v>2245.08473931</v>
      </c>
      <c r="G25" s="26" t="n">
        <f aca="false">Datos!$P$7*Datos!I$26</f>
        <v>2245.08473931</v>
      </c>
      <c r="H25" s="26" t="n">
        <f aca="false">Datos!$P$7*Datos!J$26</f>
        <v>2405.447934975</v>
      </c>
      <c r="I25" s="26" t="n">
        <f aca="false">Datos!$P$7*Datos!K$26</f>
        <v>2886.53752197</v>
      </c>
      <c r="J25" s="26" t="n">
        <f aca="false">Datos!$P$7*Datos!L$26</f>
        <v>2886.53752197</v>
      </c>
      <c r="K25" s="26" t="n">
        <f aca="false">Datos!$P$7*Datos!M$26</f>
        <v>2886.53752197</v>
      </c>
      <c r="L25" s="26" t="n">
        <f aca="false">Datos!$P$7*Datos!N$26</f>
        <v>2886.53752197</v>
      </c>
      <c r="M25" s="26" t="n">
        <f aca="false">Datos!$P$7*Datos!O$26</f>
        <v>2886.53752197</v>
      </c>
      <c r="N25" s="27" t="n">
        <f aca="false">SUM(B25:M25)</f>
        <v>32072.639133</v>
      </c>
    </row>
    <row r="26" customFormat="false" ht="15.75" hidden="false" customHeight="true" outlineLevel="0" collapsed="false">
      <c r="A26" s="10" t="s">
        <v>214</v>
      </c>
      <c r="B26" s="26" t="n">
        <f aca="false">Datos!$P$8*Datos!D$27</f>
        <v>669.281259969</v>
      </c>
      <c r="C26" s="26" t="n">
        <f aca="false">Datos!$P$8*Datos!E$27</f>
        <v>594.916675528</v>
      </c>
      <c r="D26" s="26" t="n">
        <f aca="false">Datos!$P$8*Datos!F$27</f>
        <v>632.0989677485</v>
      </c>
      <c r="E26" s="26" t="n">
        <f aca="false">Datos!$P$8*Datos!G$27</f>
        <v>632.0989677485</v>
      </c>
      <c r="F26" s="26" t="n">
        <f aca="false">Datos!$P$8*Datos!H$27</f>
        <v>594.916675528</v>
      </c>
      <c r="G26" s="26" t="n">
        <f aca="false">Datos!$P$8*Datos!I$27</f>
        <v>557.7343833075</v>
      </c>
      <c r="H26" s="26" t="n">
        <f aca="false">Datos!$P$8*Datos!J$27</f>
        <v>594.916675528</v>
      </c>
      <c r="I26" s="26" t="n">
        <f aca="false">Datos!$P$8*Datos!K$27</f>
        <v>594.916675528</v>
      </c>
      <c r="J26" s="26" t="n">
        <f aca="false">Datos!$P$8*Datos!L$27</f>
        <v>594.916675528</v>
      </c>
      <c r="K26" s="26" t="n">
        <f aca="false">Datos!$P$8*Datos!M$27</f>
        <v>632.0989677485</v>
      </c>
      <c r="L26" s="26" t="n">
        <f aca="false">Datos!$P$8*Datos!N$27</f>
        <v>669.281259969</v>
      </c>
      <c r="M26" s="26" t="n">
        <f aca="false">Datos!$P$8*Datos!O$27</f>
        <v>669.281259969</v>
      </c>
      <c r="N26" s="27" t="n">
        <f aca="false">SUM(B26:M26)</f>
        <v>7436.4584441</v>
      </c>
    </row>
    <row r="27" customFormat="false" ht="15.75" hidden="false" customHeight="true" outlineLevel="0" collapsed="false">
      <c r="A27" s="10" t="s">
        <v>215</v>
      </c>
      <c r="B27" s="26" t="n">
        <f aca="false">Datos!$P$9*Datos!D$28</f>
        <v>2773.34808489</v>
      </c>
      <c r="C27" s="26" t="n">
        <f aca="false">Datos!$P$9*Datos!E$28</f>
        <v>2465.19829768</v>
      </c>
      <c r="D27" s="26" t="n">
        <f aca="false">Datos!$P$9*Datos!F$28</f>
        <v>2619.273191285</v>
      </c>
      <c r="E27" s="26" t="n">
        <f aca="false">Datos!$P$9*Datos!G$28</f>
        <v>2619.273191285</v>
      </c>
      <c r="F27" s="26" t="n">
        <f aca="false">Datos!$P$9*Datos!H$28</f>
        <v>2465.19829768</v>
      </c>
      <c r="G27" s="26" t="n">
        <f aca="false">Datos!$P$9*Datos!I$28</f>
        <v>2311.123404075</v>
      </c>
      <c r="H27" s="26" t="n">
        <f aca="false">Datos!$P$9*Datos!J$28</f>
        <v>2465.19829768</v>
      </c>
      <c r="I27" s="26" t="n">
        <f aca="false">Datos!$P$9*Datos!K$28</f>
        <v>2465.19829768</v>
      </c>
      <c r="J27" s="26" t="n">
        <f aca="false">Datos!$P$9*Datos!L$28</f>
        <v>2465.19829768</v>
      </c>
      <c r="K27" s="26" t="n">
        <f aca="false">Datos!$P$9*Datos!M$28</f>
        <v>2619.273191285</v>
      </c>
      <c r="L27" s="26" t="n">
        <f aca="false">Datos!$P$9*Datos!N$28</f>
        <v>2773.34808489</v>
      </c>
      <c r="M27" s="26" t="n">
        <f aca="false">Datos!$P$9*Datos!O$28</f>
        <v>2773.34808489</v>
      </c>
      <c r="N27" s="27" t="n">
        <f aca="false">SUM(B27:M27)</f>
        <v>30814.978721</v>
      </c>
    </row>
    <row r="28" customFormat="false" ht="15.75" hidden="false" customHeight="true" outlineLevel="0" collapsed="false">
      <c r="A28" s="10" t="s">
        <v>216</v>
      </c>
      <c r="B28" s="26" t="n">
        <f aca="false">Datos!$P$10*Datos!D$29</f>
        <v>166.043527083</v>
      </c>
      <c r="C28" s="26" t="n">
        <f aca="false">Datos!$P$10*Datos!E$29</f>
        <v>147.594246296</v>
      </c>
      <c r="D28" s="26" t="n">
        <f aca="false">Datos!$P$10*Datos!F$29</f>
        <v>156.8188866895</v>
      </c>
      <c r="E28" s="26" t="n">
        <f aca="false">Datos!$P$10*Datos!G$29</f>
        <v>156.8188866895</v>
      </c>
      <c r="F28" s="26" t="n">
        <f aca="false">Datos!$P$10*Datos!H$29</f>
        <v>147.594246296</v>
      </c>
      <c r="G28" s="26" t="n">
        <f aca="false">Datos!$P$10*Datos!I$29</f>
        <v>138.3696059025</v>
      </c>
      <c r="H28" s="26" t="n">
        <f aca="false">Datos!$P$10*Datos!J$29</f>
        <v>147.594246296</v>
      </c>
      <c r="I28" s="26" t="n">
        <f aca="false">Datos!$P$10*Datos!K$29</f>
        <v>147.594246296</v>
      </c>
      <c r="J28" s="26" t="n">
        <f aca="false">Datos!$P$10*Datos!L$29</f>
        <v>147.594246296</v>
      </c>
      <c r="K28" s="26" t="n">
        <f aca="false">Datos!$P$10*Datos!M$29</f>
        <v>156.8188866895</v>
      </c>
      <c r="L28" s="26" t="n">
        <f aca="false">Datos!$P$10*Datos!N$29</f>
        <v>166.043527083</v>
      </c>
      <c r="M28" s="26" t="n">
        <f aca="false">Datos!$P$10*Datos!O$29</f>
        <v>166.043527083</v>
      </c>
      <c r="N28" s="27" t="n">
        <f aca="false">SUM(B28:M28)</f>
        <v>1844.9280787</v>
      </c>
    </row>
    <row r="29" customFormat="false" ht="15.75" hidden="false" customHeight="true" outlineLevel="0" collapsed="false">
      <c r="A29" s="10" t="s">
        <v>217</v>
      </c>
      <c r="B29" s="26" t="n">
        <f aca="false">Datos!$P$11*Datos!D$26</f>
        <v>15349.32</v>
      </c>
      <c r="C29" s="26" t="n">
        <f aca="false">Datos!$P$11*Datos!E$26</f>
        <v>15349.32</v>
      </c>
      <c r="D29" s="26" t="n">
        <f aca="false">Datos!$P$11*Datos!F$26</f>
        <v>13643.84</v>
      </c>
      <c r="E29" s="26" t="n">
        <f aca="false">Datos!$P$11*Datos!G$26</f>
        <v>12791.1</v>
      </c>
      <c r="F29" s="26" t="n">
        <f aca="false">Datos!$P$11*Datos!H$26</f>
        <v>11938.36</v>
      </c>
      <c r="G29" s="26" t="n">
        <f aca="false">Datos!$P$11*Datos!I$26</f>
        <v>11938.36</v>
      </c>
      <c r="H29" s="26" t="n">
        <f aca="false">Datos!$P$11*Datos!J$26</f>
        <v>12791.1</v>
      </c>
      <c r="I29" s="26" t="n">
        <f aca="false">Datos!$P$11*Datos!K$26</f>
        <v>15349.32</v>
      </c>
      <c r="J29" s="26" t="n">
        <f aca="false">Datos!$P$11*Datos!L$26</f>
        <v>15349.32</v>
      </c>
      <c r="K29" s="26" t="n">
        <f aca="false">Datos!$P$11*Datos!M$26</f>
        <v>15349.32</v>
      </c>
      <c r="L29" s="26" t="n">
        <f aca="false">Datos!$P$11*Datos!N$26</f>
        <v>15349.32</v>
      </c>
      <c r="M29" s="26" t="n">
        <f aca="false">Datos!$P$11*Datos!O$26</f>
        <v>15349.32</v>
      </c>
      <c r="N29" s="27" t="n">
        <f aca="false">SUM(B29:M29)</f>
        <v>170548</v>
      </c>
    </row>
    <row r="30" customFormat="false" ht="15.75" hidden="false" customHeight="true" outlineLevel="0" collapsed="false">
      <c r="A30" s="10" t="s">
        <v>218</v>
      </c>
      <c r="B30" s="26" t="n">
        <f aca="false">Datos!$P$12*Datos!D$27</f>
        <v>602.0892</v>
      </c>
      <c r="C30" s="26" t="n">
        <f aca="false">Datos!$P$12*Datos!E$27</f>
        <v>535.1904</v>
      </c>
      <c r="D30" s="26" t="n">
        <f aca="false">Datos!$P$12*Datos!F$27</f>
        <v>568.6398</v>
      </c>
      <c r="E30" s="26" t="n">
        <f aca="false">Datos!$P$12*Datos!G$27</f>
        <v>568.6398</v>
      </c>
      <c r="F30" s="26" t="n">
        <f aca="false">Datos!$P$12*Datos!H$27</f>
        <v>535.1904</v>
      </c>
      <c r="G30" s="26" t="n">
        <f aca="false">Datos!$P$12*Datos!I$27</f>
        <v>501.741</v>
      </c>
      <c r="H30" s="26" t="n">
        <f aca="false">Datos!$P$12*Datos!J$27</f>
        <v>535.1904</v>
      </c>
      <c r="I30" s="26" t="n">
        <f aca="false">Datos!$P$12*Datos!K$27</f>
        <v>535.1904</v>
      </c>
      <c r="J30" s="26" t="n">
        <f aca="false">Datos!$P$12*Datos!L$27</f>
        <v>535.1904</v>
      </c>
      <c r="K30" s="26" t="n">
        <f aca="false">Datos!$P$12*Datos!M$27</f>
        <v>568.6398</v>
      </c>
      <c r="L30" s="26" t="n">
        <f aca="false">Datos!$P$12*Datos!N$27</f>
        <v>602.0892</v>
      </c>
      <c r="M30" s="26" t="n">
        <f aca="false">Datos!$P$12*Datos!O$27</f>
        <v>602.0892</v>
      </c>
      <c r="N30" s="27" t="n">
        <f aca="false">SUM(B30:M30)</f>
        <v>6689.88</v>
      </c>
    </row>
    <row r="31" customFormat="false" ht="15.75" hidden="false" customHeight="true" outlineLevel="0" collapsed="false">
      <c r="A31" s="10" t="s">
        <v>219</v>
      </c>
      <c r="B31" s="26" t="n">
        <f aca="false">Datos!$P$13*Datos!D$28</f>
        <v>2973.3912</v>
      </c>
      <c r="C31" s="26" t="n">
        <f aca="false">Datos!$P$13*Datos!E$28</f>
        <v>2643.0144</v>
      </c>
      <c r="D31" s="26" t="n">
        <f aca="false">Datos!$P$13*Datos!F$28</f>
        <v>2808.2028</v>
      </c>
      <c r="E31" s="26" t="n">
        <f aca="false">Datos!$P$13*Datos!G$28</f>
        <v>2808.2028</v>
      </c>
      <c r="F31" s="26" t="n">
        <f aca="false">Datos!$P$13*Datos!H$28</f>
        <v>2643.0144</v>
      </c>
      <c r="G31" s="26" t="n">
        <f aca="false">Datos!$P$13*Datos!I$28</f>
        <v>2477.826</v>
      </c>
      <c r="H31" s="26" t="n">
        <f aca="false">Datos!$P$13*Datos!J$28</f>
        <v>2643.0144</v>
      </c>
      <c r="I31" s="26" t="n">
        <f aca="false">Datos!$P$13*Datos!K$28</f>
        <v>2643.0144</v>
      </c>
      <c r="J31" s="26" t="n">
        <f aca="false">Datos!$P$13*Datos!L$28</f>
        <v>2643.0144</v>
      </c>
      <c r="K31" s="26" t="n">
        <f aca="false">Datos!$P$13*Datos!M$28</f>
        <v>2808.2028</v>
      </c>
      <c r="L31" s="26" t="n">
        <f aca="false">Datos!$P$13*Datos!N$28</f>
        <v>2973.3912</v>
      </c>
      <c r="M31" s="26" t="n">
        <f aca="false">Datos!$P$13*Datos!O$28</f>
        <v>2973.3912</v>
      </c>
      <c r="N31" s="27" t="n">
        <f aca="false">SUM(B31:M31)</f>
        <v>33037.68</v>
      </c>
    </row>
    <row r="32" customFormat="false" ht="15.75" hidden="false" customHeight="true" outlineLevel="0" collapsed="false">
      <c r="A32" s="10" t="s">
        <v>220</v>
      </c>
      <c r="B32" s="26" t="n">
        <f aca="false">Datos!$P$14*Datos!D$29</f>
        <v>181.62</v>
      </c>
      <c r="C32" s="26" t="n">
        <f aca="false">Datos!$P$14*Datos!E$29</f>
        <v>161.44</v>
      </c>
      <c r="D32" s="26" t="n">
        <f aca="false">Datos!$P$14*Datos!F$29</f>
        <v>171.53</v>
      </c>
      <c r="E32" s="26" t="n">
        <f aca="false">Datos!$P$14*Datos!G$29</f>
        <v>171.53</v>
      </c>
      <c r="F32" s="26" t="n">
        <f aca="false">Datos!$P$14*Datos!H$29</f>
        <v>161.44</v>
      </c>
      <c r="G32" s="26" t="n">
        <f aca="false">Datos!$P$14*Datos!I$29</f>
        <v>151.35</v>
      </c>
      <c r="H32" s="26" t="n">
        <f aca="false">Datos!$P$14*Datos!J$29</f>
        <v>161.44</v>
      </c>
      <c r="I32" s="26" t="n">
        <f aca="false">Datos!$P$14*Datos!K$29</f>
        <v>161.44</v>
      </c>
      <c r="J32" s="26" t="n">
        <f aca="false">Datos!$P$14*Datos!L$29</f>
        <v>161.44</v>
      </c>
      <c r="K32" s="26" t="n">
        <f aca="false">Datos!$P$14*Datos!M$29</f>
        <v>171.53</v>
      </c>
      <c r="L32" s="26" t="n">
        <f aca="false">Datos!$P$14*Datos!N$29</f>
        <v>181.62</v>
      </c>
      <c r="M32" s="26" t="n">
        <f aca="false">Datos!$P$14*Datos!O$29</f>
        <v>181.62</v>
      </c>
      <c r="N32" s="27" t="n">
        <f aca="false">SUM(B32:M32)</f>
        <v>2018</v>
      </c>
    </row>
    <row r="33" customFormat="false" ht="15.75" hidden="false" customHeight="true" outlineLevel="0" collapsed="false">
      <c r="A33" s="10" t="s">
        <v>221</v>
      </c>
      <c r="B33" s="26" t="n">
        <f aca="false">B15</f>
        <v>38.56199533</v>
      </c>
      <c r="C33" s="26" t="n">
        <f aca="false">C15</f>
        <v>34.02528999</v>
      </c>
      <c r="D33" s="26" t="n">
        <f aca="false">D15</f>
        <v>40.83034799</v>
      </c>
      <c r="E33" s="26" t="n">
        <f aca="false">E15</f>
        <v>40.83034799</v>
      </c>
      <c r="F33" s="26" t="n">
        <f aca="false">F15</f>
        <v>40.83034799</v>
      </c>
      <c r="G33" s="26" t="n">
        <f aca="false">G15</f>
        <v>36.29364266</v>
      </c>
      <c r="H33" s="26" t="n">
        <f aca="false">H15</f>
        <v>40.83034799</v>
      </c>
      <c r="I33" s="26" t="n">
        <f aca="false">I15</f>
        <v>40.83034799</v>
      </c>
      <c r="J33" s="26" t="n">
        <f aca="false">J15</f>
        <v>38.56199533</v>
      </c>
      <c r="K33" s="26" t="n">
        <f aca="false">K15</f>
        <v>34.02528999</v>
      </c>
      <c r="L33" s="26" t="n">
        <f aca="false">L15</f>
        <v>31.75693733</v>
      </c>
      <c r="M33" s="26" t="n">
        <f aca="false">M15</f>
        <v>36.29364266</v>
      </c>
      <c r="N33" s="27" t="n">
        <f aca="false">SUM(B33:M33)</f>
        <v>453.67053324</v>
      </c>
    </row>
    <row r="34" customFormat="false" ht="15.75" hidden="false" customHeight="true" outlineLevel="0" collapsed="false">
      <c r="A34" s="10" t="s">
        <v>222</v>
      </c>
      <c r="B34" s="26" t="n">
        <f aca="false">B16</f>
        <v>84.82958972</v>
      </c>
      <c r="C34" s="26" t="n">
        <f aca="false">C16</f>
        <v>74.84963799</v>
      </c>
      <c r="D34" s="26" t="n">
        <f aca="false">D16</f>
        <v>89.81956558</v>
      </c>
      <c r="E34" s="26" t="n">
        <f aca="false">E16</f>
        <v>89.81956558</v>
      </c>
      <c r="F34" s="26" t="n">
        <f aca="false">F16</f>
        <v>89.81956558</v>
      </c>
      <c r="G34" s="26" t="n">
        <f aca="false">G16</f>
        <v>79.83961385</v>
      </c>
      <c r="H34" s="26" t="n">
        <f aca="false">H16</f>
        <v>89.81956558</v>
      </c>
      <c r="I34" s="26" t="n">
        <f aca="false">I16</f>
        <v>89.81956558</v>
      </c>
      <c r="J34" s="26" t="n">
        <f aca="false">J16</f>
        <v>84.82958972</v>
      </c>
      <c r="K34" s="26" t="n">
        <f aca="false">K16</f>
        <v>74.84963799</v>
      </c>
      <c r="L34" s="26" t="n">
        <f aca="false">L16</f>
        <v>69.85966212</v>
      </c>
      <c r="M34" s="26" t="n">
        <f aca="false">M16</f>
        <v>79.83961385</v>
      </c>
      <c r="N34" s="27" t="n">
        <f aca="false">SUM(B34:M34)</f>
        <v>997.99517314</v>
      </c>
    </row>
    <row r="35" customFormat="false" ht="15.75" hidden="false" customHeight="true" outlineLevel="0" collapsed="false">
      <c r="A35" s="10" t="s">
        <v>223</v>
      </c>
      <c r="B35" s="26" t="n">
        <f aca="false">B17</f>
        <v>18.51383776</v>
      </c>
      <c r="C35" s="26" t="n">
        <f aca="false">C17</f>
        <v>16.3357392</v>
      </c>
      <c r="D35" s="26" t="n">
        <f aca="false">D17</f>
        <v>19.60288704</v>
      </c>
      <c r="E35" s="26" t="n">
        <f aca="false">E17</f>
        <v>19.60288704</v>
      </c>
      <c r="F35" s="26" t="n">
        <f aca="false">F17</f>
        <v>19.60288704</v>
      </c>
      <c r="G35" s="26" t="n">
        <f aca="false">G17</f>
        <v>17.42478848</v>
      </c>
      <c r="H35" s="26" t="n">
        <f aca="false">H17</f>
        <v>19.60288704</v>
      </c>
      <c r="I35" s="26" t="n">
        <f aca="false">I17</f>
        <v>19.60288704</v>
      </c>
      <c r="J35" s="26" t="n">
        <f aca="false">J17</f>
        <v>18.51383776</v>
      </c>
      <c r="K35" s="26" t="n">
        <f aca="false">K17</f>
        <v>16.3357392</v>
      </c>
      <c r="L35" s="26" t="n">
        <f aca="false">L17</f>
        <v>15.24668992</v>
      </c>
      <c r="M35" s="26" t="n">
        <f aca="false">M17</f>
        <v>17.42478848</v>
      </c>
      <c r="N35" s="27" t="n">
        <f aca="false">SUM(B35:M35)</f>
        <v>217.809856</v>
      </c>
    </row>
    <row r="36" customFormat="false" ht="15.75" hidden="false" customHeight="true" outlineLevel="0" collapsed="false">
      <c r="A36" s="10" t="s">
        <v>224</v>
      </c>
      <c r="B36" s="26" t="n">
        <f aca="false">B18</f>
        <v>12.3425585</v>
      </c>
      <c r="C36" s="26" t="n">
        <f aca="false">C18</f>
        <v>10.8904928</v>
      </c>
      <c r="D36" s="26" t="n">
        <f aca="false">D18</f>
        <v>13.06859136</v>
      </c>
      <c r="E36" s="26" t="n">
        <f aca="false">E18</f>
        <v>13.06859136</v>
      </c>
      <c r="F36" s="26" t="n">
        <f aca="false">F18</f>
        <v>13.06859136</v>
      </c>
      <c r="G36" s="26" t="n">
        <f aca="false">G18</f>
        <v>11.61652565</v>
      </c>
      <c r="H36" s="26" t="n">
        <f aca="false">H18</f>
        <v>13.06859136</v>
      </c>
      <c r="I36" s="26" t="n">
        <f aca="false">I18</f>
        <v>13.06859136</v>
      </c>
      <c r="J36" s="26" t="n">
        <f aca="false">J18</f>
        <v>12.3425585</v>
      </c>
      <c r="K36" s="26" t="n">
        <f aca="false">K18</f>
        <v>10.8904928</v>
      </c>
      <c r="L36" s="26" t="n">
        <f aca="false">L18</f>
        <v>10.16445994</v>
      </c>
      <c r="M36" s="26" t="n">
        <f aca="false">M18</f>
        <v>11.61652565</v>
      </c>
      <c r="N36" s="27" t="n">
        <f aca="false">SUM(B36:M36)</f>
        <v>145.20657064</v>
      </c>
    </row>
    <row r="37" customFormat="false" ht="15.75" hidden="false" customHeight="true" outlineLevel="0" collapsed="false">
      <c r="A37" s="10" t="s">
        <v>225</v>
      </c>
      <c r="B37" s="26" t="n">
        <f aca="false">B19</f>
        <v>27.5094</v>
      </c>
      <c r="C37" s="26" t="n">
        <f aca="false">C19</f>
        <v>24.273</v>
      </c>
      <c r="D37" s="26" t="n">
        <f aca="false">D19</f>
        <v>29.1276</v>
      </c>
      <c r="E37" s="26" t="n">
        <f aca="false">E19</f>
        <v>29.1276</v>
      </c>
      <c r="F37" s="26" t="n">
        <f aca="false">F19</f>
        <v>29.1276</v>
      </c>
      <c r="G37" s="26" t="n">
        <f aca="false">G19</f>
        <v>25.8912</v>
      </c>
      <c r="H37" s="26" t="n">
        <f aca="false">H19</f>
        <v>29.1276</v>
      </c>
      <c r="I37" s="26" t="n">
        <f aca="false">I19</f>
        <v>29.1276</v>
      </c>
      <c r="J37" s="26" t="n">
        <f aca="false">J19</f>
        <v>27.5094</v>
      </c>
      <c r="K37" s="26" t="n">
        <f aca="false">K19</f>
        <v>24.273</v>
      </c>
      <c r="L37" s="26" t="n">
        <f aca="false">L19</f>
        <v>22.6548</v>
      </c>
      <c r="M37" s="26" t="n">
        <f aca="false">M19</f>
        <v>25.8912</v>
      </c>
      <c r="N37" s="27" t="n">
        <f aca="false">SUM(B37:M37)</f>
        <v>323.64</v>
      </c>
    </row>
    <row r="38" customFormat="false" ht="15.75" hidden="false" customHeight="true" outlineLevel="0" collapsed="false">
      <c r="A38" s="10" t="s">
        <v>226</v>
      </c>
      <c r="B38" s="26" t="n">
        <f aca="false">B20</f>
        <v>60.3874</v>
      </c>
      <c r="C38" s="26" t="n">
        <f aca="false">C20</f>
        <v>53.283</v>
      </c>
      <c r="D38" s="26" t="n">
        <f aca="false">D20</f>
        <v>63.9396</v>
      </c>
      <c r="E38" s="26" t="n">
        <f aca="false">E20</f>
        <v>63.9396</v>
      </c>
      <c r="F38" s="26" t="n">
        <f aca="false">F20</f>
        <v>63.9396</v>
      </c>
      <c r="G38" s="26" t="n">
        <f aca="false">G20</f>
        <v>56.8352</v>
      </c>
      <c r="H38" s="26" t="n">
        <f aca="false">H20</f>
        <v>63.9396</v>
      </c>
      <c r="I38" s="26" t="n">
        <f aca="false">I20</f>
        <v>63.9396</v>
      </c>
      <c r="J38" s="26" t="n">
        <f aca="false">J20</f>
        <v>60.3874</v>
      </c>
      <c r="K38" s="26" t="n">
        <f aca="false">K20</f>
        <v>53.283</v>
      </c>
      <c r="L38" s="26" t="n">
        <f aca="false">L20</f>
        <v>49.7308</v>
      </c>
      <c r="M38" s="26" t="n">
        <f aca="false">M20</f>
        <v>56.8352</v>
      </c>
      <c r="N38" s="27" t="n">
        <f aca="false">SUM(B38:M38)</f>
        <v>710.44</v>
      </c>
    </row>
    <row r="39" customFormat="false" ht="15.75" hidden="false" customHeight="true" outlineLevel="0" collapsed="false">
      <c r="A39" s="10" t="s">
        <v>227</v>
      </c>
      <c r="B39" s="26" t="n">
        <f aca="false">B21</f>
        <v>13.2872</v>
      </c>
      <c r="C39" s="26" t="n">
        <f aca="false">C21</f>
        <v>11.724</v>
      </c>
      <c r="D39" s="26" t="n">
        <f aca="false">D21</f>
        <v>14.0688</v>
      </c>
      <c r="E39" s="26" t="n">
        <f aca="false">E21</f>
        <v>14.0688</v>
      </c>
      <c r="F39" s="26" t="n">
        <f aca="false">F21</f>
        <v>14.0688</v>
      </c>
      <c r="G39" s="26" t="n">
        <f aca="false">G21</f>
        <v>12.5056</v>
      </c>
      <c r="H39" s="26" t="n">
        <f aca="false">H21</f>
        <v>14.0688</v>
      </c>
      <c r="I39" s="26" t="n">
        <f aca="false">I21</f>
        <v>14.0688</v>
      </c>
      <c r="J39" s="26" t="n">
        <f aca="false">J21</f>
        <v>13.2872</v>
      </c>
      <c r="K39" s="26" t="n">
        <f aca="false">K21</f>
        <v>11.724</v>
      </c>
      <c r="L39" s="26" t="n">
        <f aca="false">L21</f>
        <v>10.9424</v>
      </c>
      <c r="M39" s="26" t="n">
        <f aca="false">M21</f>
        <v>12.5056</v>
      </c>
      <c r="N39" s="27" t="n">
        <f aca="false">SUM(B39:M39)</f>
        <v>156.32</v>
      </c>
    </row>
    <row r="40" customFormat="false" ht="15.75" hidden="false" customHeight="true" outlineLevel="0" collapsed="false">
      <c r="A40" s="10" t="s">
        <v>228</v>
      </c>
      <c r="B40" s="26" t="n">
        <f aca="false">B22</f>
        <v>8.6904</v>
      </c>
      <c r="C40" s="26" t="n">
        <f aca="false">C22</f>
        <v>7.668</v>
      </c>
      <c r="D40" s="26" t="n">
        <f aca="false">D22</f>
        <v>9.2016</v>
      </c>
      <c r="E40" s="26" t="n">
        <f aca="false">E22</f>
        <v>9.2016</v>
      </c>
      <c r="F40" s="26" t="n">
        <f aca="false">F22</f>
        <v>9.2016</v>
      </c>
      <c r="G40" s="26" t="n">
        <f aca="false">G22</f>
        <v>8.1792</v>
      </c>
      <c r="H40" s="26" t="n">
        <f aca="false">H22</f>
        <v>9.2016</v>
      </c>
      <c r="I40" s="26" t="n">
        <f aca="false">I22</f>
        <v>9.2016</v>
      </c>
      <c r="J40" s="26" t="n">
        <f aca="false">J22</f>
        <v>8.6904</v>
      </c>
      <c r="K40" s="26" t="n">
        <f aca="false">K22</f>
        <v>7.668</v>
      </c>
      <c r="L40" s="26" t="n">
        <f aca="false">L22</f>
        <v>7.1568</v>
      </c>
      <c r="M40" s="26" t="n">
        <f aca="false">M22</f>
        <v>8.1792</v>
      </c>
      <c r="N40" s="27" t="n">
        <f aca="false">SUM(B40:M40)</f>
        <v>102.24</v>
      </c>
    </row>
    <row r="41" customFormat="false" ht="15.75" hidden="false" customHeight="true" outlineLevel="0" collapsed="false"/>
    <row r="42" customFormat="false" ht="42" hidden="false" customHeight="true" outlineLevel="0" collapsed="false">
      <c r="A42" s="6" t="s">
        <v>230</v>
      </c>
      <c r="B42" s="6" t="s">
        <v>200</v>
      </c>
      <c r="C42" s="6" t="s">
        <v>201</v>
      </c>
      <c r="D42" s="6" t="s">
        <v>202</v>
      </c>
      <c r="E42" s="6" t="s">
        <v>203</v>
      </c>
      <c r="F42" s="6" t="s">
        <v>204</v>
      </c>
      <c r="G42" s="6" t="s">
        <v>205</v>
      </c>
      <c r="H42" s="6" t="s">
        <v>206</v>
      </c>
      <c r="I42" s="6" t="s">
        <v>207</v>
      </c>
      <c r="J42" s="6" t="s">
        <v>208</v>
      </c>
      <c r="K42" s="6" t="s">
        <v>209</v>
      </c>
      <c r="L42" s="6" t="s">
        <v>210</v>
      </c>
      <c r="M42" s="6" t="s">
        <v>211</v>
      </c>
      <c r="N42" s="6"/>
    </row>
    <row r="43" customFormat="false" ht="15.75" hidden="false" customHeight="true" outlineLevel="0" collapsed="false">
      <c r="A43" s="10" t="s">
        <v>213</v>
      </c>
      <c r="B43" s="26" t="n">
        <f aca="false">SUM($B25:B25)-SUM($B7:B7)</f>
        <v>-962.17917403</v>
      </c>
      <c r="C43" s="26" t="n">
        <f aca="false">SUM($B25:C25)-SUM($B7:C7)</f>
        <v>-962.17917406</v>
      </c>
      <c r="D43" s="26" t="n">
        <f aca="false">SUM($B25:D25)-SUM($B7:D7)</f>
        <v>-962.17917442</v>
      </c>
      <c r="E43" s="26" t="n">
        <f aca="false">SUM($B25:E25)-SUM($B7:E7)</f>
        <v>-962.179174445</v>
      </c>
      <c r="F43" s="26" t="n">
        <f aca="false">SUM($B25:F25)-SUM($B7:F7)</f>
        <v>-962.179174135001</v>
      </c>
      <c r="G43" s="26" t="n">
        <f aca="false">SUM($B25:G25)-SUM($B7:G7)</f>
        <v>-962.179173825</v>
      </c>
      <c r="H43" s="26" t="n">
        <f aca="false">SUM($B25:H25)-SUM($B7:H7)</f>
        <v>-962.17917385</v>
      </c>
      <c r="I43" s="26" t="n">
        <f aca="false">SUM($B25:I25)-SUM($B7:I7)</f>
        <v>-481.08958688</v>
      </c>
      <c r="J43" s="26" t="n">
        <f aca="false">SUM($B25:J25)-SUM($B7:J7)</f>
        <v>8.99999577086419E-008</v>
      </c>
      <c r="K43" s="26" t="n">
        <f aca="false">SUM($B25:K25)-SUM($B7:K7)</f>
        <v>481.08958706</v>
      </c>
      <c r="L43" s="26" t="n">
        <f aca="false">SUM($B25:L25)-SUM($B7:L7)</f>
        <v>962.17917403</v>
      </c>
      <c r="M43" s="26" t="n">
        <f aca="false">SUM($B25:M25)-SUM($B7:M7)</f>
        <v>0</v>
      </c>
    </row>
    <row r="44" customFormat="false" ht="15.75" hidden="false" customHeight="true" outlineLevel="0" collapsed="false">
      <c r="A44" s="10" t="s">
        <v>214</v>
      </c>
      <c r="B44" s="26" t="n">
        <f aca="false">SUM($B26:B26)-SUM($B8:B8)</f>
        <v>-74.364584431</v>
      </c>
      <c r="C44" s="26" t="n">
        <f aca="false">SUM($B26:C26)-SUM($B8:C8)</f>
        <v>-74.3645844030002</v>
      </c>
      <c r="D44" s="26" t="n">
        <f aca="false">SUM($B26:D26)-SUM($B8:D8)</f>
        <v>-74.3645844545004</v>
      </c>
      <c r="E44" s="26" t="n">
        <f aca="false">SUM($B26:E26)-SUM($B8:E8)</f>
        <v>-74.3645845059996</v>
      </c>
      <c r="F44" s="26" t="n">
        <f aca="false">SUM($B26:F26)-SUM($B8:F8)</f>
        <v>-74.3645844779999</v>
      </c>
      <c r="G44" s="26" t="n">
        <f aca="false">SUM($B26:G26)-SUM($B8:G8)</f>
        <v>-74.3645844704997</v>
      </c>
      <c r="H44" s="26" t="n">
        <f aca="false">SUM($B26:H26)-SUM($B8:H8)</f>
        <v>-74.3645844424991</v>
      </c>
      <c r="I44" s="26" t="n">
        <f aca="false">SUM($B26:I26)-SUM($B8:I8)</f>
        <v>-74.3645844144985</v>
      </c>
      <c r="J44" s="26" t="n">
        <f aca="false">SUM($B26:J26)-SUM($B8:J8)</f>
        <v>-74.3645843864997</v>
      </c>
      <c r="K44" s="26" t="n">
        <f aca="false">SUM($B26:K26)-SUM($B8:K8)</f>
        <v>6.20011633145623E-008</v>
      </c>
      <c r="L44" s="26" t="n">
        <f aca="false">SUM($B26:L26)-SUM($B8:L8)</f>
        <v>148.729168931</v>
      </c>
      <c r="M44" s="26" t="n">
        <f aca="false">SUM($B26:M26)-SUM($B8:M8)</f>
        <v>0</v>
      </c>
    </row>
    <row r="45" customFormat="false" ht="15.75" hidden="false" customHeight="true" outlineLevel="0" collapsed="false">
      <c r="A45" s="10" t="s">
        <v>215</v>
      </c>
      <c r="B45" s="26" t="n">
        <f aca="false">SUM($B27:B27)-SUM($B9:B9)</f>
        <v>-308.14978711</v>
      </c>
      <c r="C45" s="26" t="n">
        <f aca="false">SUM($B27:C27)-SUM($B9:C9)</f>
        <v>-308.149787429999</v>
      </c>
      <c r="D45" s="26" t="n">
        <f aca="false">SUM($B27:D27)-SUM($B9:D9)</f>
        <v>-308.149787144999</v>
      </c>
      <c r="E45" s="26" t="n">
        <f aca="false">SUM($B27:E27)-SUM($B9:E9)</f>
        <v>-308.14978686</v>
      </c>
      <c r="F45" s="26" t="n">
        <f aca="false">SUM($B27:F27)-SUM($B9:F9)</f>
        <v>-308.149787179998</v>
      </c>
      <c r="G45" s="26" t="n">
        <f aca="false">SUM($B27:G27)-SUM($B9:G9)</f>
        <v>-308.149787104998</v>
      </c>
      <c r="H45" s="26" t="n">
        <f aca="false">SUM($B27:H27)-SUM($B9:H9)</f>
        <v>-308.149787425002</v>
      </c>
      <c r="I45" s="26" t="n">
        <f aca="false">SUM($B27:I27)-SUM($B9:I9)</f>
        <v>-308.149787745002</v>
      </c>
      <c r="J45" s="26" t="n">
        <f aca="false">SUM($B27:J27)-SUM($B9:J9)</f>
        <v>-308.149788064999</v>
      </c>
      <c r="K45" s="26" t="n">
        <f aca="false">SUM($B27:K27)-SUM($B9:K9)</f>
        <v>-7.79997208155692E-007</v>
      </c>
      <c r="L45" s="26" t="n">
        <f aca="false">SUM($B27:L27)-SUM($B9:L9)</f>
        <v>616.299574109999</v>
      </c>
      <c r="M45" s="26" t="n">
        <f aca="false">SUM($B27:M27)-SUM($B9:M9)</f>
        <v>0</v>
      </c>
    </row>
    <row r="46" customFormat="false" ht="15.75" hidden="false" customHeight="true" outlineLevel="0" collapsed="false">
      <c r="A46" s="10" t="s">
        <v>216</v>
      </c>
      <c r="B46" s="26" t="n">
        <f aca="false">SUM($B28:B28)-SUM($B10:B10)</f>
        <v>-18.449280817</v>
      </c>
      <c r="C46" s="26" t="n">
        <f aca="false">SUM($B28:C28)-SUM($B10:C10)</f>
        <v>-18.449280821</v>
      </c>
      <c r="D46" s="26" t="n">
        <f aca="false">SUM($B28:D28)-SUM($B10:D10)</f>
        <v>-18.4492808315</v>
      </c>
      <c r="E46" s="26" t="n">
        <f aca="false">SUM($B28:E28)-SUM($B10:E10)</f>
        <v>-18.449280842</v>
      </c>
      <c r="F46" s="26" t="n">
        <f aca="false">SUM($B28:F28)-SUM($B10:F10)</f>
        <v>-18.4492808460001</v>
      </c>
      <c r="G46" s="26" t="n">
        <f aca="false">SUM($B28:G28)-SUM($B10:G10)</f>
        <v>-18.4492808435001</v>
      </c>
      <c r="H46" s="26" t="n">
        <f aca="false">SUM($B28:H28)-SUM($B10:H10)</f>
        <v>-18.4492808475002</v>
      </c>
      <c r="I46" s="26" t="n">
        <f aca="false">SUM($B28:I28)-SUM($B10:I10)</f>
        <v>-18.4492808515004</v>
      </c>
      <c r="J46" s="26" t="n">
        <f aca="false">SUM($B28:J28)-SUM($B10:J10)</f>
        <v>-18.4492808555001</v>
      </c>
      <c r="K46" s="26" t="n">
        <f aca="false">SUM($B28:K28)-SUM($B10:K10)</f>
        <v>-6.59999841445824E-008</v>
      </c>
      <c r="L46" s="26" t="n">
        <f aca="false">SUM($B28:L28)-SUM($B10:L10)</f>
        <v>36.898561517</v>
      </c>
      <c r="M46" s="26" t="n">
        <f aca="false">SUM($B28:M28)-SUM($B10:M10)</f>
        <v>0</v>
      </c>
    </row>
    <row r="47" customFormat="false" ht="15.75" hidden="false" customHeight="true" outlineLevel="0" collapsed="false">
      <c r="A47" s="10" t="s">
        <v>217</v>
      </c>
      <c r="B47" s="26" t="n">
        <f aca="false">SUM($B29:B29)-SUM($B11:B11)</f>
        <v>-5116.44</v>
      </c>
      <c r="C47" s="26" t="n">
        <f aca="false">SUM($B29:C29)-SUM($B11:C11)</f>
        <v>-5116.44</v>
      </c>
      <c r="D47" s="26" t="n">
        <f aca="false">SUM($B29:D29)-SUM($B11:D11)</f>
        <v>-5116.44</v>
      </c>
      <c r="E47" s="26" t="n">
        <f aca="false">SUM($B29:E29)-SUM($B11:E11)</f>
        <v>-5116.44</v>
      </c>
      <c r="F47" s="26" t="n">
        <f aca="false">SUM($B29:F29)-SUM($B11:F11)</f>
        <v>-5116.44</v>
      </c>
      <c r="G47" s="26" t="n">
        <f aca="false">SUM($B29:G29)-SUM($B11:G11)</f>
        <v>-5116.44</v>
      </c>
      <c r="H47" s="26" t="n">
        <f aca="false">SUM($B29:H29)-SUM($B11:H11)</f>
        <v>-5116.44</v>
      </c>
      <c r="I47" s="26" t="n">
        <f aca="false">SUM($B29:I29)-SUM($B11:I11)</f>
        <v>-2558.22</v>
      </c>
      <c r="J47" s="26" t="n">
        <f aca="false">SUM($B29:J29)-SUM($B11:J11)</f>
        <v>0</v>
      </c>
      <c r="K47" s="26" t="n">
        <f aca="false">SUM($B29:K29)-SUM($B11:K11)</f>
        <v>2558.22</v>
      </c>
      <c r="L47" s="26" t="n">
        <f aca="false">SUM($B29:L29)-SUM($B11:L11)</f>
        <v>5116.43999999997</v>
      </c>
      <c r="M47" s="26" t="n">
        <f aca="false">SUM($B29:M29)-SUM($B11:M11)</f>
        <v>0</v>
      </c>
    </row>
    <row r="48" customFormat="false" ht="15.75" hidden="false" customHeight="true" outlineLevel="0" collapsed="false">
      <c r="A48" s="10" t="s">
        <v>218</v>
      </c>
      <c r="B48" s="26" t="n">
        <f aca="false">SUM($B30:B30)-SUM($B12:B12)</f>
        <v>-66.8988000000001</v>
      </c>
      <c r="C48" s="26" t="n">
        <f aca="false">SUM($B30:C30)-SUM($B12:C12)</f>
        <v>-66.8987999999999</v>
      </c>
      <c r="D48" s="26" t="n">
        <f aca="false">SUM($B30:D30)-SUM($B12:D12)</f>
        <v>-66.8987999999999</v>
      </c>
      <c r="E48" s="26" t="n">
        <f aca="false">SUM($B30:E30)-SUM($B12:E12)</f>
        <v>-66.8987999999999</v>
      </c>
      <c r="F48" s="26" t="n">
        <f aca="false">SUM($B30:F30)-SUM($B12:F12)</f>
        <v>-66.8987999999999</v>
      </c>
      <c r="G48" s="26" t="n">
        <f aca="false">SUM($B30:G30)-SUM($B12:G12)</f>
        <v>-66.8987999999999</v>
      </c>
      <c r="H48" s="26" t="n">
        <f aca="false">SUM($B30:H30)-SUM($B12:H12)</f>
        <v>-66.8987999999999</v>
      </c>
      <c r="I48" s="26" t="n">
        <f aca="false">SUM($B30:I30)-SUM($B12:I12)</f>
        <v>-66.898799999999</v>
      </c>
      <c r="J48" s="26" t="n">
        <f aca="false">SUM($B30:J30)-SUM($B12:J12)</f>
        <v>-66.8987999999999</v>
      </c>
      <c r="K48" s="26" t="n">
        <f aca="false">SUM($B30:K30)-SUM($B12:K12)</f>
        <v>0</v>
      </c>
      <c r="L48" s="26" t="n">
        <f aca="false">SUM($B30:L30)-SUM($B12:L12)</f>
        <v>133.7976</v>
      </c>
      <c r="M48" s="26" t="n">
        <f aca="false">SUM($B30:M30)-SUM($B12:M12)</f>
        <v>0</v>
      </c>
    </row>
    <row r="49" customFormat="false" ht="15.75" hidden="false" customHeight="true" outlineLevel="0" collapsed="false">
      <c r="A49" s="10" t="s">
        <v>219</v>
      </c>
      <c r="B49" s="26" t="n">
        <f aca="false">SUM($B31:B31)-SUM($B13:B13)</f>
        <v>-330.3768</v>
      </c>
      <c r="C49" s="26" t="n">
        <f aca="false">SUM($B31:C31)-SUM($B13:C13)</f>
        <v>-330.3768</v>
      </c>
      <c r="D49" s="26" t="n">
        <f aca="false">SUM($B31:D31)-SUM($B13:D13)</f>
        <v>-330.376799999998</v>
      </c>
      <c r="E49" s="26" t="n">
        <f aca="false">SUM($B31:E31)-SUM($B13:E13)</f>
        <v>-330.376799999998</v>
      </c>
      <c r="F49" s="26" t="n">
        <f aca="false">SUM($B31:F31)-SUM($B13:F13)</f>
        <v>-330.3768</v>
      </c>
      <c r="G49" s="26" t="n">
        <f aca="false">SUM($B31:G31)-SUM($B13:G13)</f>
        <v>-330.376799999998</v>
      </c>
      <c r="H49" s="26" t="n">
        <f aca="false">SUM($B31:H31)-SUM($B13:H13)</f>
        <v>-330.376799999998</v>
      </c>
      <c r="I49" s="26" t="n">
        <f aca="false">SUM($B31:I31)-SUM($B13:I13)</f>
        <v>-330.376799999998</v>
      </c>
      <c r="J49" s="26" t="n">
        <f aca="false">SUM($B31:J31)-SUM($B13:J13)</f>
        <v>-330.376799999998</v>
      </c>
      <c r="K49" s="26" t="n">
        <f aca="false">SUM($B31:K31)-SUM($B13:K13)</f>
        <v>0</v>
      </c>
      <c r="L49" s="26" t="n">
        <f aca="false">SUM($B31:L31)-SUM($B13:L13)</f>
        <v>660.753600000004</v>
      </c>
      <c r="M49" s="26" t="n">
        <f aca="false">SUM($B31:M31)-SUM($B13:M13)</f>
        <v>0</v>
      </c>
    </row>
    <row r="50" customFormat="false" ht="15.75" hidden="false" customHeight="true" outlineLevel="0" collapsed="false">
      <c r="A50" s="10" t="s">
        <v>220</v>
      </c>
      <c r="B50" s="26" t="n">
        <f aca="false">SUM($B32:B32)-SUM($B14:B14)</f>
        <v>-20.18</v>
      </c>
      <c r="C50" s="26" t="n">
        <f aca="false">SUM($B32:C32)-SUM($B14:C14)</f>
        <v>-20.18</v>
      </c>
      <c r="D50" s="26" t="n">
        <f aca="false">SUM($B32:D32)-SUM($B14:D14)</f>
        <v>-20.18</v>
      </c>
      <c r="E50" s="26" t="n">
        <f aca="false">SUM($B32:E32)-SUM($B14:E14)</f>
        <v>-20.18</v>
      </c>
      <c r="F50" s="26" t="n">
        <f aca="false">SUM($B32:F32)-SUM($B14:F14)</f>
        <v>-20.1800000000001</v>
      </c>
      <c r="G50" s="26" t="n">
        <f aca="false">SUM($B32:G32)-SUM($B14:G14)</f>
        <v>-20.1800000000001</v>
      </c>
      <c r="H50" s="26" t="n">
        <f aca="false">SUM($B32:H32)-SUM($B14:H14)</f>
        <v>-20.1800000000001</v>
      </c>
      <c r="I50" s="26" t="n">
        <f aca="false">SUM($B32:I32)-SUM($B14:I14)</f>
        <v>-20.1800000000001</v>
      </c>
      <c r="J50" s="26" t="n">
        <f aca="false">SUM($B32:J32)-SUM($B14:J14)</f>
        <v>-20.1800000000001</v>
      </c>
      <c r="K50" s="26" t="n">
        <f aca="false">SUM($B32:K32)-SUM($B14:K14)</f>
        <v>0</v>
      </c>
      <c r="L50" s="26" t="n">
        <f aca="false">SUM($B32:L32)-SUM($B14:L14)</f>
        <v>40.3600000000001</v>
      </c>
      <c r="M50" s="26" t="n">
        <f aca="false">SUM($B32:M32)-SUM($B14:M14)</f>
        <v>0</v>
      </c>
    </row>
    <row r="51" customFormat="false" ht="15.75" hidden="false" customHeight="true" outlineLevel="0" collapsed="false">
      <c r="A51" s="10" t="s">
        <v>221</v>
      </c>
      <c r="B51" s="26" t="n">
        <f aca="false">SUM($B33:B33)-SUM($B15:B15)</f>
        <v>0</v>
      </c>
      <c r="C51" s="26" t="n">
        <f aca="false">SUM($B33:C33)-SUM($B15:C15)</f>
        <v>0</v>
      </c>
      <c r="D51" s="26" t="n">
        <f aca="false">SUM($B33:D33)-SUM($B15:D15)</f>
        <v>0</v>
      </c>
      <c r="E51" s="26" t="n">
        <f aca="false">SUM($B33:E33)-SUM($B15:E15)</f>
        <v>0</v>
      </c>
      <c r="F51" s="26" t="n">
        <f aca="false">SUM($B33:F33)-SUM($B15:F15)</f>
        <v>0</v>
      </c>
      <c r="G51" s="26" t="n">
        <f aca="false">SUM($B33:G33)-SUM($B15:G15)</f>
        <v>0</v>
      </c>
      <c r="H51" s="26" t="n">
        <f aca="false">SUM($B33:H33)-SUM($B15:H15)</f>
        <v>0</v>
      </c>
      <c r="I51" s="26" t="n">
        <f aca="false">SUM($B33:I33)-SUM($B15:I15)</f>
        <v>0</v>
      </c>
      <c r="J51" s="26" t="n">
        <f aca="false">SUM($B33:J33)-SUM($B15:J15)</f>
        <v>0</v>
      </c>
      <c r="K51" s="26" t="n">
        <f aca="false">SUM($B33:K33)-SUM($B15:K15)</f>
        <v>0</v>
      </c>
      <c r="L51" s="26" t="n">
        <f aca="false">SUM($B33:L33)-SUM($B15:L15)</f>
        <v>0</v>
      </c>
      <c r="M51" s="26" t="n">
        <f aca="false">SUM($B33:M33)-SUM($B15:M15)</f>
        <v>0</v>
      </c>
    </row>
    <row r="52" customFormat="false" ht="15.75" hidden="false" customHeight="true" outlineLevel="0" collapsed="false">
      <c r="A52" s="10" t="s">
        <v>222</v>
      </c>
      <c r="B52" s="26" t="n">
        <f aca="false">SUM($B34:B34)-SUM($B16:B16)</f>
        <v>0</v>
      </c>
      <c r="C52" s="26" t="n">
        <f aca="false">SUM($B34:C34)-SUM($B16:C16)</f>
        <v>0</v>
      </c>
      <c r="D52" s="26" t="n">
        <f aca="false">SUM($B34:D34)-SUM($B16:D16)</f>
        <v>0</v>
      </c>
      <c r="E52" s="26" t="n">
        <f aca="false">SUM($B34:E34)-SUM($B16:E16)</f>
        <v>0</v>
      </c>
      <c r="F52" s="26" t="n">
        <f aca="false">SUM($B34:F34)-SUM($B16:F16)</f>
        <v>0</v>
      </c>
      <c r="G52" s="26" t="n">
        <f aca="false">SUM($B34:G34)-SUM($B16:G16)</f>
        <v>0</v>
      </c>
      <c r="H52" s="26" t="n">
        <f aca="false">SUM($B34:H34)-SUM($B16:H16)</f>
        <v>0</v>
      </c>
      <c r="I52" s="26" t="n">
        <f aca="false">SUM($B34:I34)-SUM($B16:I16)</f>
        <v>0</v>
      </c>
      <c r="J52" s="26" t="n">
        <f aca="false">SUM($B34:J34)-SUM($B16:J16)</f>
        <v>0</v>
      </c>
      <c r="K52" s="26" t="n">
        <f aca="false">SUM($B34:K34)-SUM($B16:K16)</f>
        <v>0</v>
      </c>
      <c r="L52" s="26" t="n">
        <f aca="false">SUM($B34:L34)-SUM($B16:L16)</f>
        <v>0</v>
      </c>
      <c r="M52" s="26" t="n">
        <f aca="false">SUM($B34:M34)-SUM($B16:M16)</f>
        <v>0</v>
      </c>
    </row>
    <row r="53" customFormat="false" ht="15.75" hidden="false" customHeight="true" outlineLevel="0" collapsed="false">
      <c r="A53" s="10" t="s">
        <v>223</v>
      </c>
      <c r="B53" s="26" t="n">
        <f aca="false">SUM($B35:B35)-SUM($B17:B17)</f>
        <v>0</v>
      </c>
      <c r="C53" s="26" t="n">
        <f aca="false">SUM($B35:C35)-SUM($B17:C17)</f>
        <v>0</v>
      </c>
      <c r="D53" s="26" t="n">
        <f aca="false">SUM($B35:D35)-SUM($B17:D17)</f>
        <v>0</v>
      </c>
      <c r="E53" s="26" t="n">
        <f aca="false">SUM($B35:E35)-SUM($B17:E17)</f>
        <v>0</v>
      </c>
      <c r="F53" s="26" t="n">
        <f aca="false">SUM($B35:F35)-SUM($B17:F17)</f>
        <v>0</v>
      </c>
      <c r="G53" s="26" t="n">
        <f aca="false">SUM($B35:G35)-SUM($B17:G17)</f>
        <v>0</v>
      </c>
      <c r="H53" s="26" t="n">
        <f aca="false">SUM($B35:H35)-SUM($B17:H17)</f>
        <v>0</v>
      </c>
      <c r="I53" s="26" t="n">
        <f aca="false">SUM($B35:I35)-SUM($B17:I17)</f>
        <v>0</v>
      </c>
      <c r="J53" s="26" t="n">
        <f aca="false">SUM($B35:J35)-SUM($B17:J17)</f>
        <v>0</v>
      </c>
      <c r="K53" s="26" t="n">
        <f aca="false">SUM($B35:K35)-SUM($B17:K17)</f>
        <v>0</v>
      </c>
      <c r="L53" s="26" t="n">
        <f aca="false">SUM($B35:L35)-SUM($B17:L17)</f>
        <v>0</v>
      </c>
      <c r="M53" s="26" t="n">
        <f aca="false">SUM($B35:M35)-SUM($B17:M17)</f>
        <v>0</v>
      </c>
    </row>
    <row r="54" customFormat="false" ht="15.75" hidden="false" customHeight="true" outlineLevel="0" collapsed="false">
      <c r="A54" s="10" t="s">
        <v>224</v>
      </c>
      <c r="B54" s="26" t="n">
        <f aca="false">SUM($B36:B36)-SUM($B18:B18)</f>
        <v>0</v>
      </c>
      <c r="C54" s="26" t="n">
        <f aca="false">SUM($B36:C36)-SUM($B18:C18)</f>
        <v>0</v>
      </c>
      <c r="D54" s="26" t="n">
        <f aca="false">SUM($B36:D36)-SUM($B18:D18)</f>
        <v>0</v>
      </c>
      <c r="E54" s="26" t="n">
        <f aca="false">SUM($B36:E36)-SUM($B18:E18)</f>
        <v>0</v>
      </c>
      <c r="F54" s="26" t="n">
        <f aca="false">SUM($B36:F36)-SUM($B18:F18)</f>
        <v>0</v>
      </c>
      <c r="G54" s="26" t="n">
        <f aca="false">SUM($B36:G36)-SUM($B18:G18)</f>
        <v>0</v>
      </c>
      <c r="H54" s="26" t="n">
        <f aca="false">SUM($B36:H36)-SUM($B18:H18)</f>
        <v>0</v>
      </c>
      <c r="I54" s="26" t="n">
        <f aca="false">SUM($B36:I36)-SUM($B18:I18)</f>
        <v>0</v>
      </c>
      <c r="J54" s="26" t="n">
        <f aca="false">SUM($B36:J36)-SUM($B18:J18)</f>
        <v>0</v>
      </c>
      <c r="K54" s="26" t="n">
        <f aca="false">SUM($B36:K36)-SUM($B18:K18)</f>
        <v>0</v>
      </c>
      <c r="L54" s="26" t="n">
        <f aca="false">SUM($B36:L36)-SUM($B18:L18)</f>
        <v>0</v>
      </c>
      <c r="M54" s="26" t="n">
        <f aca="false">SUM($B36:M36)-SUM($B18:M18)</f>
        <v>0</v>
      </c>
    </row>
    <row r="55" customFormat="false" ht="15.75" hidden="false" customHeight="true" outlineLevel="0" collapsed="false">
      <c r="A55" s="10" t="s">
        <v>225</v>
      </c>
      <c r="B55" s="26" t="n">
        <f aca="false">SUM($B37:B37)-SUM($B19:B19)</f>
        <v>0</v>
      </c>
      <c r="C55" s="26" t="n">
        <f aca="false">SUM($B37:C37)-SUM($B19:C19)</f>
        <v>0</v>
      </c>
      <c r="D55" s="26" t="n">
        <f aca="false">SUM($B37:D37)-SUM($B19:D19)</f>
        <v>0</v>
      </c>
      <c r="E55" s="26" t="n">
        <f aca="false">SUM($B37:E37)-SUM($B19:E19)</f>
        <v>0</v>
      </c>
      <c r="F55" s="26" t="n">
        <f aca="false">SUM($B37:F37)-SUM($B19:F19)</f>
        <v>0</v>
      </c>
      <c r="G55" s="26" t="n">
        <f aca="false">SUM($B37:G37)-SUM($B19:G19)</f>
        <v>0</v>
      </c>
      <c r="H55" s="26" t="n">
        <f aca="false">SUM($B37:H37)-SUM($B19:H19)</f>
        <v>0</v>
      </c>
      <c r="I55" s="26" t="n">
        <f aca="false">SUM($B37:I37)-SUM($B19:I19)</f>
        <v>0</v>
      </c>
      <c r="J55" s="26" t="n">
        <f aca="false">SUM($B37:J37)-SUM($B19:J19)</f>
        <v>0</v>
      </c>
      <c r="K55" s="26" t="n">
        <f aca="false">SUM($B37:K37)-SUM($B19:K19)</f>
        <v>0</v>
      </c>
      <c r="L55" s="26" t="n">
        <f aca="false">SUM($B37:L37)-SUM($B19:L19)</f>
        <v>0</v>
      </c>
      <c r="M55" s="26" t="n">
        <f aca="false">SUM($B37:M37)-SUM($B19:M19)</f>
        <v>0</v>
      </c>
    </row>
    <row r="56" customFormat="false" ht="15.75" hidden="false" customHeight="true" outlineLevel="0" collapsed="false">
      <c r="A56" s="10" t="s">
        <v>226</v>
      </c>
      <c r="B56" s="26" t="n">
        <f aca="false">SUM($B38:B38)-SUM($B20:B20)</f>
        <v>0</v>
      </c>
      <c r="C56" s="26" t="n">
        <f aca="false">SUM($B38:C38)-SUM($B20:C20)</f>
        <v>0</v>
      </c>
      <c r="D56" s="26" t="n">
        <f aca="false">SUM($B38:D38)-SUM($B20:D20)</f>
        <v>0</v>
      </c>
      <c r="E56" s="26" t="n">
        <f aca="false">SUM($B38:E38)-SUM($B20:E20)</f>
        <v>0</v>
      </c>
      <c r="F56" s="26" t="n">
        <f aca="false">SUM($B38:F38)-SUM($B20:F20)</f>
        <v>0</v>
      </c>
      <c r="G56" s="26" t="n">
        <f aca="false">SUM($B38:G38)-SUM($B20:G20)</f>
        <v>0</v>
      </c>
      <c r="H56" s="26" t="n">
        <f aca="false">SUM($B38:H38)-SUM($B20:H20)</f>
        <v>0</v>
      </c>
      <c r="I56" s="26" t="n">
        <f aca="false">SUM($B38:I38)-SUM($B20:I20)</f>
        <v>0</v>
      </c>
      <c r="J56" s="26" t="n">
        <f aca="false">SUM($B38:J38)-SUM($B20:J20)</f>
        <v>0</v>
      </c>
      <c r="K56" s="26" t="n">
        <f aca="false">SUM($B38:K38)-SUM($B20:K20)</f>
        <v>0</v>
      </c>
      <c r="L56" s="26" t="n">
        <f aca="false">SUM($B38:L38)-SUM($B20:L20)</f>
        <v>0</v>
      </c>
      <c r="M56" s="26" t="n">
        <f aca="false">SUM($B38:M38)-SUM($B20:M20)</f>
        <v>0</v>
      </c>
    </row>
    <row r="57" customFormat="false" ht="15.75" hidden="false" customHeight="true" outlineLevel="0" collapsed="false">
      <c r="A57" s="10" t="s">
        <v>227</v>
      </c>
      <c r="B57" s="26" t="n">
        <f aca="false">SUM($B39:B39)-SUM($B21:B21)</f>
        <v>0</v>
      </c>
      <c r="C57" s="26" t="n">
        <f aca="false">SUM($B39:C39)-SUM($B21:C21)</f>
        <v>0</v>
      </c>
      <c r="D57" s="26" t="n">
        <f aca="false">SUM($B39:D39)-SUM($B21:D21)</f>
        <v>0</v>
      </c>
      <c r="E57" s="26" t="n">
        <f aca="false">SUM($B39:E39)-SUM($B21:E21)</f>
        <v>0</v>
      </c>
      <c r="F57" s="26" t="n">
        <f aca="false">SUM($B39:F39)-SUM($B21:F21)</f>
        <v>0</v>
      </c>
      <c r="G57" s="26" t="n">
        <f aca="false">SUM($B39:G39)-SUM($B21:G21)</f>
        <v>0</v>
      </c>
      <c r="H57" s="26" t="n">
        <f aca="false">SUM($B39:H39)-SUM($B21:H21)</f>
        <v>0</v>
      </c>
      <c r="I57" s="26" t="n">
        <f aca="false">SUM($B39:I39)-SUM($B21:I21)</f>
        <v>0</v>
      </c>
      <c r="J57" s="26" t="n">
        <f aca="false">SUM($B39:J39)-SUM($B21:J21)</f>
        <v>0</v>
      </c>
      <c r="K57" s="26" t="n">
        <f aca="false">SUM($B39:K39)-SUM($B21:K21)</f>
        <v>0</v>
      </c>
      <c r="L57" s="26" t="n">
        <f aca="false">SUM($B39:L39)-SUM($B21:L21)</f>
        <v>0</v>
      </c>
      <c r="M57" s="26" t="n">
        <f aca="false">SUM($B39:M39)-SUM($B21:M21)</f>
        <v>0</v>
      </c>
    </row>
    <row r="58" customFormat="false" ht="15.75" hidden="false" customHeight="true" outlineLevel="0" collapsed="false">
      <c r="A58" s="10" t="s">
        <v>228</v>
      </c>
      <c r="B58" s="26" t="n">
        <f aca="false">SUM($B40:B40)-SUM($B22:B22)</f>
        <v>0</v>
      </c>
      <c r="C58" s="26" t="n">
        <f aca="false">SUM($B40:C40)-SUM($B22:C22)</f>
        <v>0</v>
      </c>
      <c r="D58" s="26" t="n">
        <f aca="false">SUM($B40:D40)-SUM($B22:D22)</f>
        <v>0</v>
      </c>
      <c r="E58" s="26" t="n">
        <f aca="false">SUM($B40:E40)-SUM($B22:E22)</f>
        <v>0</v>
      </c>
      <c r="F58" s="26" t="n">
        <f aca="false">SUM($B40:F40)-SUM($B22:F22)</f>
        <v>0</v>
      </c>
      <c r="G58" s="26" t="n">
        <f aca="false">SUM($B40:G40)-SUM($B22:G22)</f>
        <v>0</v>
      </c>
      <c r="H58" s="26" t="n">
        <f aca="false">SUM($B40:H40)-SUM($B22:H22)</f>
        <v>0</v>
      </c>
      <c r="I58" s="26" t="n">
        <f aca="false">SUM($B40:I40)-SUM($B22:I22)</f>
        <v>0</v>
      </c>
      <c r="J58" s="26" t="n">
        <f aca="false">SUM($B40:J40)-SUM($B22:J22)</f>
        <v>0</v>
      </c>
      <c r="K58" s="26" t="n">
        <f aca="false">SUM($B40:K40)-SUM($B22:K22)</f>
        <v>0</v>
      </c>
      <c r="L58" s="26" t="n">
        <f aca="false">SUM($B40:L40)-SUM($B22:L22)</f>
        <v>0</v>
      </c>
      <c r="M58" s="26" t="n">
        <f aca="false">SUM($B40:M40)-SUM($B22:M22)</f>
        <v>0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>
      <c r="A61" s="4" t="s">
        <v>231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42" hidden="false" customHeight="true" outlineLevel="0" collapsed="false">
      <c r="A62" s="6" t="s">
        <v>232</v>
      </c>
      <c r="B62" s="6" t="s">
        <v>233</v>
      </c>
      <c r="C62" s="6" t="s">
        <v>234</v>
      </c>
      <c r="D62" s="6" t="s">
        <v>235</v>
      </c>
      <c r="E62" s="6" t="s">
        <v>236</v>
      </c>
      <c r="F62" s="6" t="s">
        <v>237</v>
      </c>
      <c r="G62" s="6" t="s">
        <v>238</v>
      </c>
      <c r="H62" s="6" t="s">
        <v>239</v>
      </c>
      <c r="I62" s="6" t="s">
        <v>240</v>
      </c>
      <c r="J62" s="6" t="s">
        <v>241</v>
      </c>
      <c r="K62" s="6" t="s">
        <v>242</v>
      </c>
      <c r="L62" s="6" t="s">
        <v>243</v>
      </c>
      <c r="M62" s="6" t="s">
        <v>244</v>
      </c>
      <c r="N62" s="6" t="s">
        <v>245</v>
      </c>
    </row>
    <row r="63" customFormat="false" ht="15.75" hidden="false" customHeight="true" outlineLevel="0" collapsed="false">
      <c r="A63" s="28" t="s">
        <v>213</v>
      </c>
      <c r="B63" s="26" t="n">
        <f aca="false">N7</f>
        <v>32072.639133</v>
      </c>
      <c r="C63" s="26" t="n">
        <f aca="false">MAX(0,-MIN(B43:M43))</f>
        <v>962.179174445</v>
      </c>
      <c r="D63" s="26" t="n">
        <f aca="false">C63+MAX(0,MAX(B43:M43))</f>
        <v>1924.358348475</v>
      </c>
      <c r="E63" s="10" t="str">
        <f aca="false">IF(MAX(B43:M43)&lt;=0,"—",INDEX({"Ene","Feb","Mar","Abr","May","Jun","Jul","Ago","Sep","Oct","Nov","Dic"},1,MATCH(MAX(B43:M43),B43:M43,0)))</f>
        <v>Nov</v>
      </c>
      <c r="F63" s="29" t="n">
        <f aca="false">B63/DIAS_ANIO</f>
        <v>133.6359963875</v>
      </c>
      <c r="G63" s="10" t="n">
        <f aca="false">SS_PT</f>
        <v>5</v>
      </c>
      <c r="H63" s="26" t="n">
        <f aca="false">ROUNDUP(F63*G63,0)</f>
        <v>669</v>
      </c>
      <c r="I63" s="26" t="n">
        <f aca="false">K63</f>
        <v>360</v>
      </c>
      <c r="J63" s="27" t="n">
        <f aca="false">D63+H63+I63</f>
        <v>2953.358348475</v>
      </c>
      <c r="K63" s="26" t="n">
        <f aca="false">Pallets!C16</f>
        <v>360</v>
      </c>
      <c r="L63" s="30" t="n">
        <f aca="false">ROUNDUP(J63/K63,0)</f>
        <v>9</v>
      </c>
      <c r="M63" s="26" t="n">
        <f aca="false">Pallets!C17</f>
        <v>804.8</v>
      </c>
      <c r="N63" s="26" t="n">
        <f aca="false">Pallets!C18</f>
        <v>1375</v>
      </c>
    </row>
    <row r="64" customFormat="false" ht="15.75" hidden="false" customHeight="true" outlineLevel="0" collapsed="false">
      <c r="A64" s="28" t="s">
        <v>214</v>
      </c>
      <c r="B64" s="26" t="n">
        <f aca="false">N8</f>
        <v>7436.4584441</v>
      </c>
      <c r="C64" s="26" t="n">
        <f aca="false">MAX(0,-MIN(B44:M44))</f>
        <v>74.3645845059996</v>
      </c>
      <c r="D64" s="26" t="n">
        <f aca="false">C64+MAX(0,MAX(B44:M44))</f>
        <v>223.093753436999</v>
      </c>
      <c r="E64" s="10" t="str">
        <f aca="false">IF(MAX(B44:M44)&lt;=0,"—",INDEX({"Ene","Feb","Mar","Abr","May","Jun","Jul","Ago","Sep","Oct","Nov","Dic"},1,MATCH(MAX(B44:M44),B44:M44,0)))</f>
        <v>Nov</v>
      </c>
      <c r="F64" s="29" t="n">
        <f aca="false">B64/DIAS_ANIO</f>
        <v>30.9852435170833</v>
      </c>
      <c r="G64" s="10" t="n">
        <f aca="false">SS_PT</f>
        <v>5</v>
      </c>
      <c r="H64" s="26" t="n">
        <f aca="false">ROUNDUP(F64*G64,0)</f>
        <v>155</v>
      </c>
      <c r="I64" s="26" t="n">
        <f aca="false">K64</f>
        <v>168</v>
      </c>
      <c r="J64" s="27" t="n">
        <f aca="false">D64+H64+I64</f>
        <v>546.093753436999</v>
      </c>
      <c r="K64" s="26" t="n">
        <f aca="false">Pallets!D16</f>
        <v>168</v>
      </c>
      <c r="L64" s="30" t="n">
        <f aca="false">ROUNDUP(J64/K64,0)</f>
        <v>4</v>
      </c>
      <c r="M64" s="26" t="n">
        <f aca="false">Pallets!D17</f>
        <v>854.84</v>
      </c>
      <c r="N64" s="26" t="n">
        <f aca="false">Pallets!D18</f>
        <v>1450</v>
      </c>
    </row>
    <row r="65" customFormat="false" ht="15.75" hidden="false" customHeight="true" outlineLevel="0" collapsed="false">
      <c r="A65" s="28" t="s">
        <v>215</v>
      </c>
      <c r="B65" s="26" t="n">
        <f aca="false">N9</f>
        <v>30814.978721</v>
      </c>
      <c r="C65" s="26" t="n">
        <f aca="false">MAX(0,-MIN(B45:M45))</f>
        <v>308.149788064999</v>
      </c>
      <c r="D65" s="26" t="n">
        <f aca="false">C65+MAX(0,MAX(B45:M45))</f>
        <v>924.449362174997</v>
      </c>
      <c r="E65" s="10" t="str">
        <f aca="false">IF(MAX(B45:M45)&lt;=0,"—",INDEX({"Ene","Feb","Mar","Abr","May","Jun","Jul","Ago","Sep","Oct","Nov","Dic"},1,MATCH(MAX(B45:M45),B45:M45,0)))</f>
        <v>Nov</v>
      </c>
      <c r="F65" s="29" t="n">
        <f aca="false">B65/DIAS_ANIO</f>
        <v>128.395744670833</v>
      </c>
      <c r="G65" s="10" t="n">
        <f aca="false">SS_PT</f>
        <v>5</v>
      </c>
      <c r="H65" s="26" t="n">
        <f aca="false">ROUNDUP(F65*G65,0)</f>
        <v>642</v>
      </c>
      <c r="I65" s="26" t="n">
        <f aca="false">K65</f>
        <v>84</v>
      </c>
      <c r="J65" s="27" t="n">
        <f aca="false">D65+H65+I65</f>
        <v>1650.449362175</v>
      </c>
      <c r="K65" s="26" t="n">
        <f aca="false">Pallets!E16</f>
        <v>84</v>
      </c>
      <c r="L65" s="30" t="n">
        <f aca="false">ROUNDUP(J65/K65,0)</f>
        <v>20</v>
      </c>
      <c r="M65" s="26" t="n">
        <f aca="false">Pallets!E17</f>
        <v>776.72</v>
      </c>
      <c r="N65" s="26" t="n">
        <f aca="false">Pallets!E18</f>
        <v>1175</v>
      </c>
    </row>
    <row r="66" customFormat="false" ht="15.75" hidden="false" customHeight="true" outlineLevel="0" collapsed="false">
      <c r="A66" s="28" t="s">
        <v>216</v>
      </c>
      <c r="B66" s="26" t="n">
        <f aca="false">N10</f>
        <v>1844.9280787</v>
      </c>
      <c r="C66" s="26" t="n">
        <f aca="false">MAX(0,-MIN(B46:M46))</f>
        <v>18.4492808555001</v>
      </c>
      <c r="D66" s="26" t="n">
        <f aca="false">C66+MAX(0,MAX(B46:M46))</f>
        <v>55.3478423725001</v>
      </c>
      <c r="E66" s="10" t="str">
        <f aca="false">IF(MAX(B46:M46)&lt;=0,"—",INDEX({"Ene","Feb","Mar","Abr","May","Jun","Jul","Ago","Sep","Oct","Nov","Dic"},1,MATCH(MAX(B46:M46),B46:M46,0)))</f>
        <v>Nov</v>
      </c>
      <c r="F66" s="29" t="n">
        <f aca="false">B66/DIAS_ANIO</f>
        <v>7.68720032791667</v>
      </c>
      <c r="G66" s="10" t="n">
        <f aca="false">SS_PT</f>
        <v>5</v>
      </c>
      <c r="H66" s="26" t="n">
        <f aca="false">ROUNDUP(F66*G66,0)</f>
        <v>39</v>
      </c>
      <c r="I66" s="26" t="n">
        <f aca="false">K66</f>
        <v>60</v>
      </c>
      <c r="J66" s="27" t="n">
        <f aca="false">D66+H66+I66</f>
        <v>154.3478423725</v>
      </c>
      <c r="K66" s="26" t="n">
        <f aca="false">Pallets!F16</f>
        <v>60</v>
      </c>
      <c r="L66" s="30" t="n">
        <f aca="false">ROUNDUP(J66/K66,0)</f>
        <v>3</v>
      </c>
      <c r="M66" s="26" t="n">
        <f aca="false">Pallets!F17</f>
        <v>1038.8</v>
      </c>
      <c r="N66" s="26" t="n">
        <f aca="false">Pallets!F18</f>
        <v>1515</v>
      </c>
    </row>
    <row r="67" customFormat="false" ht="15.75" hidden="false" customHeight="true" outlineLevel="0" collapsed="false">
      <c r="A67" s="28" t="s">
        <v>217</v>
      </c>
      <c r="B67" s="26" t="n">
        <f aca="false">N11</f>
        <v>170548</v>
      </c>
      <c r="C67" s="26" t="n">
        <f aca="false">MAX(0,-MIN(B47:M47))</f>
        <v>5116.44</v>
      </c>
      <c r="D67" s="26" t="n">
        <f aca="false">C67+MAX(0,MAX(B47:M47))</f>
        <v>10232.88</v>
      </c>
      <c r="E67" s="10" t="str">
        <f aca="false">IF(MAX(B47:M47)&lt;=0,"—",INDEX({"Ene","Feb","Mar","Abr","May","Jun","Jul","Ago","Sep","Oct","Nov","Dic"},1,MATCH(MAX(B47:M47),B47:M47,0)))</f>
        <v>Nov</v>
      </c>
      <c r="F67" s="29" t="n">
        <f aca="false">B67/DIAS_ANIO</f>
        <v>710.616666666667</v>
      </c>
      <c r="G67" s="10" t="n">
        <f aca="false">SS_PT</f>
        <v>5</v>
      </c>
      <c r="H67" s="26" t="n">
        <f aca="false">ROUNDUP(F67*G67,0)</f>
        <v>3554</v>
      </c>
      <c r="I67" s="26" t="n">
        <f aca="false">K67</f>
        <v>780</v>
      </c>
      <c r="J67" s="27" t="n">
        <f aca="false">D67+H67+I67</f>
        <v>14566.88</v>
      </c>
      <c r="K67" s="26" t="n">
        <f aca="false">Pallets!C31</f>
        <v>780</v>
      </c>
      <c r="L67" s="30" t="n">
        <f aca="false">ROUNDUP(J67/K67,0)</f>
        <v>19</v>
      </c>
      <c r="M67" s="26" t="n">
        <f aca="false">Pallets!C32</f>
        <v>630.8</v>
      </c>
      <c r="N67" s="26" t="n">
        <f aca="false">Pallets!C33</f>
        <v>1350</v>
      </c>
    </row>
    <row r="68" customFormat="false" ht="15.75" hidden="false" customHeight="true" outlineLevel="0" collapsed="false">
      <c r="A68" s="28" t="s">
        <v>218</v>
      </c>
      <c r="B68" s="26" t="n">
        <f aca="false">N12</f>
        <v>6689.88</v>
      </c>
      <c r="C68" s="26" t="n">
        <f aca="false">MAX(0,-MIN(B48:M48))</f>
        <v>66.8988000000001</v>
      </c>
      <c r="D68" s="26" t="n">
        <f aca="false">C68+MAX(0,MAX(B48:M48))</f>
        <v>200.6964</v>
      </c>
      <c r="E68" s="10" t="str">
        <f aca="false">IF(MAX(B48:M48)&lt;=0,"—",INDEX({"Ene","Feb","Mar","Abr","May","Jun","Jul","Ago","Sep","Oct","Nov","Dic"},1,MATCH(MAX(B48:M48),B48:M48,0)))</f>
        <v>Nov</v>
      </c>
      <c r="F68" s="29" t="n">
        <f aca="false">B68/DIAS_ANIO</f>
        <v>27.8745</v>
      </c>
      <c r="G68" s="10" t="n">
        <f aca="false">SS_PT</f>
        <v>5</v>
      </c>
      <c r="H68" s="26" t="n">
        <f aca="false">ROUNDUP(F68*G68,0)</f>
        <v>140</v>
      </c>
      <c r="I68" s="26" t="n">
        <f aca="false">K68</f>
        <v>288</v>
      </c>
      <c r="J68" s="27" t="n">
        <f aca="false">D68+H68+I68</f>
        <v>628.6964</v>
      </c>
      <c r="K68" s="26" t="n">
        <f aca="false">Pallets!D31</f>
        <v>288</v>
      </c>
      <c r="L68" s="30" t="n">
        <f aca="false">ROUNDUP(J68/K68,0)</f>
        <v>3</v>
      </c>
      <c r="M68" s="26" t="n">
        <f aca="false">Pallets!D32</f>
        <v>464.24</v>
      </c>
      <c r="N68" s="26" t="n">
        <f aca="false">Pallets!D33</f>
        <v>1492</v>
      </c>
    </row>
    <row r="69" customFormat="false" ht="15.75" hidden="false" customHeight="true" outlineLevel="0" collapsed="false">
      <c r="A69" s="28" t="s">
        <v>219</v>
      </c>
      <c r="B69" s="26" t="n">
        <f aca="false">N13</f>
        <v>33037.68</v>
      </c>
      <c r="C69" s="26" t="n">
        <f aca="false">MAX(0,-MIN(B49:M49))</f>
        <v>330.3768</v>
      </c>
      <c r="D69" s="26" t="n">
        <f aca="false">C69+MAX(0,MAX(B49:M49))</f>
        <v>991.130400000004</v>
      </c>
      <c r="E69" s="10" t="str">
        <f aca="false">IF(MAX(B49:M49)&lt;=0,"—",INDEX({"Ene","Feb","Mar","Abr","May","Jun","Jul","Ago","Sep","Oct","Nov","Dic"},1,MATCH(MAX(B49:M49),B49:M49,0)))</f>
        <v>Nov</v>
      </c>
      <c r="F69" s="29" t="n">
        <f aca="false">B69/DIAS_ANIO</f>
        <v>137.657</v>
      </c>
      <c r="G69" s="10" t="n">
        <f aca="false">SS_PT</f>
        <v>5</v>
      </c>
      <c r="H69" s="26" t="n">
        <f aca="false">ROUNDUP(F69*G69,0)</f>
        <v>689</v>
      </c>
      <c r="I69" s="26" t="n">
        <f aca="false">K69</f>
        <v>126</v>
      </c>
      <c r="J69" s="27" t="n">
        <f aca="false">D69+H69+I69</f>
        <v>1806.1304</v>
      </c>
      <c r="K69" s="26" t="n">
        <f aca="false">Pallets!E31</f>
        <v>126</v>
      </c>
      <c r="L69" s="30" t="n">
        <f aca="false">ROUNDUP(J69/K69,0)</f>
        <v>15</v>
      </c>
      <c r="M69" s="26" t="n">
        <f aca="false">Pallets!E32</f>
        <v>387.68</v>
      </c>
      <c r="N69" s="26" t="n">
        <f aca="false">Pallets!E33</f>
        <v>1399</v>
      </c>
    </row>
    <row r="70" customFormat="false" ht="15.75" hidden="false" customHeight="true" outlineLevel="0" collapsed="false">
      <c r="A70" s="28" t="s">
        <v>220</v>
      </c>
      <c r="B70" s="26" t="n">
        <f aca="false">N14</f>
        <v>2018</v>
      </c>
      <c r="C70" s="26" t="n">
        <f aca="false">MAX(0,-MIN(B50:M50))</f>
        <v>20.1800000000001</v>
      </c>
      <c r="D70" s="26" t="n">
        <f aca="false">C70+MAX(0,MAX(B50:M50))</f>
        <v>60.5400000000002</v>
      </c>
      <c r="E70" s="10" t="str">
        <f aca="false">IF(MAX(B50:M50)&lt;=0,"—",INDEX({"Ene","Feb","Mar","Abr","May","Jun","Jul","Ago","Sep","Oct","Nov","Dic"},1,MATCH(MAX(B50:M50),B50:M50,0)))</f>
        <v>Nov</v>
      </c>
      <c r="F70" s="29" t="n">
        <f aca="false">B70/DIAS_ANIO</f>
        <v>8.40833333333333</v>
      </c>
      <c r="G70" s="10" t="n">
        <f aca="false">SS_PT</f>
        <v>5</v>
      </c>
      <c r="H70" s="26" t="n">
        <f aca="false">ROUNDUP(F70*G70,0)</f>
        <v>43</v>
      </c>
      <c r="I70" s="26" t="n">
        <f aca="false">K70</f>
        <v>60</v>
      </c>
      <c r="J70" s="27" t="n">
        <f aca="false">D70+H70+I70</f>
        <v>163.54</v>
      </c>
      <c r="K70" s="26" t="n">
        <f aca="false">Pallets!F31</f>
        <v>60</v>
      </c>
      <c r="L70" s="30" t="n">
        <f aca="false">ROUNDUP(J70/K70,0)</f>
        <v>3</v>
      </c>
      <c r="M70" s="26" t="n">
        <f aca="false">Pallets!F32</f>
        <v>365.6</v>
      </c>
      <c r="N70" s="26" t="n">
        <f aca="false">Pallets!F33</f>
        <v>1318</v>
      </c>
    </row>
    <row r="71" customFormat="false" ht="15.75" hidden="false" customHeight="true" outlineLevel="0" collapsed="false">
      <c r="A71" s="28" t="s">
        <v>221</v>
      </c>
      <c r="B71" s="26" t="n">
        <f aca="false">N15</f>
        <v>453.67053324</v>
      </c>
      <c r="C71" s="26" t="n">
        <f aca="false">MAX(0,-MIN(B51:M51))</f>
        <v>-0</v>
      </c>
      <c r="D71" s="26" t="n">
        <f aca="false">C71+MAX(0,MAX(B51:M51))</f>
        <v>0</v>
      </c>
      <c r="E71" s="10" t="str">
        <f aca="false">IF(MAX(B51:M51)&lt;=0,"—",INDEX({"Ene","Feb","Mar","Abr","May","Jun","Jul","Ago","Sep","Oct","Nov","Dic"},1,MATCH(MAX(B51:M51),B51:M51,0)))</f>
        <v>—</v>
      </c>
      <c r="F71" s="29" t="n">
        <f aca="false">MAX(B15:M15)/DIAS</f>
        <v>2.0415173995</v>
      </c>
      <c r="G71" s="10" t="n">
        <f aca="false">DIAS_CAR</f>
        <v>5</v>
      </c>
      <c r="H71" s="26" t="n">
        <f aca="false">ROUNDUP(F71*G71,0)</f>
        <v>11</v>
      </c>
      <c r="I71" s="26" t="n">
        <v>0</v>
      </c>
      <c r="J71" s="27" t="n">
        <f aca="false">D71+H71+I71</f>
        <v>11</v>
      </c>
      <c r="K71" s="26" t="n">
        <f aca="false">Pallets!G37</f>
        <v>14</v>
      </c>
      <c r="L71" s="30" t="n">
        <f aca="false">J71</f>
        <v>11</v>
      </c>
    </row>
    <row r="72" customFormat="false" ht="15.75" hidden="false" customHeight="true" outlineLevel="0" collapsed="false">
      <c r="A72" s="28" t="s">
        <v>222</v>
      </c>
      <c r="B72" s="26" t="n">
        <f aca="false">N16</f>
        <v>997.99517314</v>
      </c>
      <c r="C72" s="26" t="n">
        <f aca="false">MAX(0,-MIN(B52:M52))</f>
        <v>-0</v>
      </c>
      <c r="D72" s="26" t="n">
        <f aca="false">C72+MAX(0,MAX(B52:M52))</f>
        <v>0</v>
      </c>
      <c r="E72" s="10" t="str">
        <f aca="false">IF(MAX(B52:M52)&lt;=0,"—",INDEX({"Ene","Feb","Mar","Abr","May","Jun","Jul","Ago","Sep","Oct","Nov","Dic"},1,MATCH(MAX(B52:M52),B52:M52,0)))</f>
        <v>—</v>
      </c>
      <c r="F72" s="29" t="n">
        <f aca="false">MAX(B16:M16)/DIAS</f>
        <v>4.490978279</v>
      </c>
      <c r="G72" s="10" t="n">
        <f aca="false">DIAS_CAR</f>
        <v>5</v>
      </c>
      <c r="H72" s="26" t="n">
        <f aca="false">ROUNDUP(F72*G72,0)</f>
        <v>23</v>
      </c>
      <c r="I72" s="26" t="n">
        <v>0</v>
      </c>
      <c r="J72" s="27" t="n">
        <f aca="false">D72+H72+I72</f>
        <v>23</v>
      </c>
      <c r="K72" s="26" t="n">
        <f aca="false">Pallets!H37</f>
        <v>10</v>
      </c>
      <c r="L72" s="30" t="n">
        <f aca="false">J72</f>
        <v>23</v>
      </c>
    </row>
    <row r="73" customFormat="false" ht="15.75" hidden="false" customHeight="true" outlineLevel="0" collapsed="false">
      <c r="A73" s="28" t="s">
        <v>223</v>
      </c>
      <c r="B73" s="26" t="n">
        <f aca="false">N17</f>
        <v>217.809856</v>
      </c>
      <c r="C73" s="26" t="n">
        <f aca="false">MAX(0,-MIN(B53:M53))</f>
        <v>-0</v>
      </c>
      <c r="D73" s="26" t="n">
        <f aca="false">C73+MAX(0,MAX(B53:M53))</f>
        <v>0</v>
      </c>
      <c r="E73" s="10" t="str">
        <f aca="false">IF(MAX(B53:M53)&lt;=0,"—",INDEX({"Ene","Feb","Mar","Abr","May","Jun","Jul","Ago","Sep","Oct","Nov","Dic"},1,MATCH(MAX(B53:M53),B53:M53,0)))</f>
        <v>—</v>
      </c>
      <c r="F73" s="29" t="n">
        <f aca="false">MAX(B17:M17)/DIAS</f>
        <v>0.980144352</v>
      </c>
      <c r="G73" s="10" t="n">
        <f aca="false">DIAS_CAR</f>
        <v>5</v>
      </c>
      <c r="H73" s="26" t="n">
        <f aca="false">ROUNDUP(F73*G73,0)</f>
        <v>5</v>
      </c>
      <c r="I73" s="26" t="n">
        <v>0</v>
      </c>
      <c r="J73" s="27" t="n">
        <f aca="false">D73+H73+I73</f>
        <v>5</v>
      </c>
      <c r="K73" s="26" t="n">
        <f aca="false">Pallets!I37</f>
        <v>7</v>
      </c>
      <c r="L73" s="30" t="n">
        <f aca="false">J73</f>
        <v>5</v>
      </c>
    </row>
    <row r="74" customFormat="false" ht="15.75" hidden="false" customHeight="true" outlineLevel="0" collapsed="false">
      <c r="A74" s="28" t="s">
        <v>224</v>
      </c>
      <c r="B74" s="26" t="n">
        <f aca="false">N18</f>
        <v>145.20657064</v>
      </c>
      <c r="C74" s="26" t="n">
        <f aca="false">MAX(0,-MIN(B54:M54))</f>
        <v>-0</v>
      </c>
      <c r="D74" s="26" t="n">
        <f aca="false">C74+MAX(0,MAX(B54:M54))</f>
        <v>0</v>
      </c>
      <c r="E74" s="10" t="str">
        <f aca="false">IF(MAX(B54:M54)&lt;=0,"—",INDEX({"Ene","Feb","Mar","Abr","May","Jun","Jul","Ago","Sep","Oct","Nov","Dic"},1,MATCH(MAX(B54:M54),B54:M54,0)))</f>
        <v>—</v>
      </c>
      <c r="F74" s="29" t="n">
        <f aca="false">MAX(B18:M18)/DIAS</f>
        <v>0.653429568</v>
      </c>
      <c r="G74" s="10" t="n">
        <f aca="false">DIAS_CAR</f>
        <v>5</v>
      </c>
      <c r="H74" s="26" t="n">
        <f aca="false">ROUNDUP(F74*G74,0)</f>
        <v>4</v>
      </c>
      <c r="I74" s="26" t="n">
        <v>0</v>
      </c>
      <c r="J74" s="27" t="n">
        <f aca="false">D74+H74+I74</f>
        <v>4</v>
      </c>
      <c r="K74" s="26" t="n">
        <f aca="false">Pallets!J37</f>
        <v>7</v>
      </c>
      <c r="L74" s="30" t="n">
        <f aca="false">J74</f>
        <v>4</v>
      </c>
    </row>
    <row r="75" customFormat="false" ht="15.75" hidden="false" customHeight="true" outlineLevel="0" collapsed="false">
      <c r="A75" s="28" t="s">
        <v>225</v>
      </c>
      <c r="B75" s="26" t="n">
        <f aca="false">N19</f>
        <v>323.64</v>
      </c>
      <c r="C75" s="26" t="n">
        <f aca="false">MAX(0,-MIN(B55:M55))</f>
        <v>-0</v>
      </c>
      <c r="D75" s="26" t="n">
        <f aca="false">C75+MAX(0,MAX(B55:M55))</f>
        <v>0</v>
      </c>
      <c r="E75" s="10" t="str">
        <f aca="false">IF(MAX(B55:M55)&lt;=0,"—",INDEX({"Ene","Feb","Mar","Abr","May","Jun","Jul","Ago","Sep","Oct","Nov","Dic"},1,MATCH(MAX(B55:M55),B55:M55,0)))</f>
        <v>—</v>
      </c>
      <c r="F75" s="29" t="n">
        <f aca="false">MAX(B19:M19)/DIAS</f>
        <v>1.45638</v>
      </c>
      <c r="G75" s="10" t="n">
        <f aca="false">DIAS_CAR</f>
        <v>5</v>
      </c>
      <c r="H75" s="26" t="n">
        <f aca="false">ROUNDUP(F75*G75,0)</f>
        <v>8</v>
      </c>
      <c r="I75" s="26" t="n">
        <f aca="false">K75</f>
        <v>24</v>
      </c>
      <c r="J75" s="27" t="n">
        <f aca="false">D75+H75+I75</f>
        <v>32</v>
      </c>
      <c r="K75" s="26" t="n">
        <f aca="false">Pallets!G31</f>
        <v>24</v>
      </c>
      <c r="L75" s="30" t="n">
        <f aca="false">ROUNDUP(J75/K75,0)</f>
        <v>2</v>
      </c>
      <c r="M75" s="26" t="n">
        <f aca="false">Pallets!G32</f>
        <v>418.88</v>
      </c>
      <c r="N75" s="26" t="n">
        <f aca="false">Pallets!G33</f>
        <v>1498</v>
      </c>
    </row>
    <row r="76" customFormat="false" ht="15.75" hidden="false" customHeight="true" outlineLevel="0" collapsed="false">
      <c r="A76" s="28" t="s">
        <v>226</v>
      </c>
      <c r="B76" s="26" t="n">
        <f aca="false">N20</f>
        <v>710.44</v>
      </c>
      <c r="C76" s="26" t="n">
        <f aca="false">MAX(0,-MIN(B56:M56))</f>
        <v>-0</v>
      </c>
      <c r="D76" s="26" t="n">
        <f aca="false">C76+MAX(0,MAX(B56:M56))</f>
        <v>0</v>
      </c>
      <c r="E76" s="10" t="str">
        <f aca="false">IF(MAX(B56:M56)&lt;=0,"—",INDEX({"Ene","Feb","Mar","Abr","May","Jun","Jul","Ago","Sep","Oct","Nov","Dic"},1,MATCH(MAX(B56:M56),B56:M56,0)))</f>
        <v>—</v>
      </c>
      <c r="F76" s="29" t="n">
        <f aca="false">MAX(B20:M20)/DIAS</f>
        <v>3.19698</v>
      </c>
      <c r="G76" s="10" t="n">
        <f aca="false">DIAS_CAR</f>
        <v>5</v>
      </c>
      <c r="H76" s="26" t="n">
        <f aca="false">ROUNDUP(F76*G76,0)</f>
        <v>16</v>
      </c>
      <c r="I76" s="26" t="n">
        <f aca="false">K76</f>
        <v>9</v>
      </c>
      <c r="J76" s="27" t="n">
        <f aca="false">D76+H76+I76</f>
        <v>25</v>
      </c>
      <c r="K76" s="26" t="n">
        <f aca="false">Pallets!H31</f>
        <v>9</v>
      </c>
      <c r="L76" s="30" t="n">
        <f aca="false">ROUNDUP(J76/K76,0)</f>
        <v>3</v>
      </c>
      <c r="M76" s="26" t="n">
        <f aca="false">Pallets!H32</f>
        <v>245.9</v>
      </c>
      <c r="N76" s="26" t="n">
        <f aca="false">Pallets!H33</f>
        <v>1009</v>
      </c>
    </row>
    <row r="77" customFormat="false" ht="15.75" hidden="false" customHeight="true" outlineLevel="0" collapsed="false">
      <c r="A77" s="28" t="s">
        <v>227</v>
      </c>
      <c r="B77" s="26" t="n">
        <f aca="false">N21</f>
        <v>156.32</v>
      </c>
      <c r="C77" s="26" t="n">
        <f aca="false">MAX(0,-MIN(B57:M57))</f>
        <v>-0</v>
      </c>
      <c r="D77" s="26" t="n">
        <f aca="false">C77+MAX(0,MAX(B57:M57))</f>
        <v>0</v>
      </c>
      <c r="E77" s="10" t="str">
        <f aca="false">IF(MAX(B57:M57)&lt;=0,"—",INDEX({"Ene","Feb","Mar","Abr","May","Jun","Jul","Ago","Sep","Oct","Nov","Dic"},1,MATCH(MAX(B57:M57),B57:M57,0)))</f>
        <v>—</v>
      </c>
      <c r="F77" s="29" t="n">
        <f aca="false">MAX(B21:M21)/DIAS</f>
        <v>0.70344</v>
      </c>
      <c r="G77" s="10" t="n">
        <f aca="false">DIAS_CAR</f>
        <v>5</v>
      </c>
      <c r="H77" s="26" t="n">
        <f aca="false">ROUNDUP(F77*G77,0)</f>
        <v>4</v>
      </c>
      <c r="I77" s="26" t="n">
        <f aca="false">K77</f>
        <v>6</v>
      </c>
      <c r="J77" s="27" t="n">
        <f aca="false">D77+H77+I77</f>
        <v>10</v>
      </c>
      <c r="K77" s="26" t="n">
        <f aca="false">Pallets!I31</f>
        <v>6</v>
      </c>
      <c r="L77" s="30" t="n">
        <f aca="false">ROUNDUP(J77/K77,0)</f>
        <v>2</v>
      </c>
      <c r="M77" s="26" t="n">
        <f aca="false">Pallets!I32</f>
        <v>317.36</v>
      </c>
      <c r="N77" s="26" t="n">
        <f aca="false">Pallets!I33</f>
        <v>1059</v>
      </c>
    </row>
    <row r="78" customFormat="false" ht="15.75" hidden="false" customHeight="true" outlineLevel="0" collapsed="false">
      <c r="A78" s="28" t="s">
        <v>228</v>
      </c>
      <c r="B78" s="26" t="n">
        <f aca="false">N22</f>
        <v>102.24</v>
      </c>
      <c r="C78" s="26" t="n">
        <f aca="false">MAX(0,-MIN(B58:M58))</f>
        <v>-0</v>
      </c>
      <c r="D78" s="26" t="n">
        <f aca="false">C78+MAX(0,MAX(B58:M58))</f>
        <v>0</v>
      </c>
      <c r="E78" s="10" t="str">
        <f aca="false">IF(MAX(B58:M58)&lt;=0,"—",INDEX({"Ene","Feb","Mar","Abr","May","Jun","Jul","Ago","Sep","Oct","Nov","Dic"},1,MATCH(MAX(B58:M58),B58:M58,0)))</f>
        <v>—</v>
      </c>
      <c r="F78" s="29" t="n">
        <f aca="false">MAX(B22:M22)/DIAS</f>
        <v>0.46008</v>
      </c>
      <c r="G78" s="10" t="n">
        <f aca="false">DIAS_CAR</f>
        <v>5</v>
      </c>
      <c r="H78" s="26" t="n">
        <f aca="false">ROUNDUP(F78*G78,0)</f>
        <v>3</v>
      </c>
      <c r="I78" s="26" t="n">
        <f aca="false">K78</f>
        <v>6</v>
      </c>
      <c r="J78" s="27" t="n">
        <f aca="false">D78+H78+I78</f>
        <v>9</v>
      </c>
      <c r="K78" s="26" t="n">
        <f aca="false">Pallets!J31</f>
        <v>6</v>
      </c>
      <c r="L78" s="30" t="n">
        <f aca="false">ROUNDUP(J78/K78,0)</f>
        <v>2</v>
      </c>
      <c r="M78" s="26" t="n">
        <f aca="false">Pallets!J32</f>
        <v>377.3</v>
      </c>
      <c r="N78" s="26" t="n">
        <f aca="false">Pallets!J33</f>
        <v>1279</v>
      </c>
    </row>
    <row r="79" customFormat="false" ht="15.75" hidden="false" customHeight="true" outlineLevel="0" collapsed="false">
      <c r="A79" s="22" t="s">
        <v>246</v>
      </c>
      <c r="L79" s="12" t="n">
        <f aca="false">SUM(L63:L66)</f>
        <v>36</v>
      </c>
    </row>
    <row r="80" customFormat="false" ht="15.75" hidden="false" customHeight="true" outlineLevel="0" collapsed="false">
      <c r="A80" s="22" t="s">
        <v>247</v>
      </c>
      <c r="L80" s="12" t="n">
        <f aca="false">SUM(L67:L70)</f>
        <v>40</v>
      </c>
    </row>
    <row r="81" customFormat="false" ht="15.75" hidden="false" customHeight="true" outlineLevel="0" collapsed="false">
      <c r="A81" s="22" t="s">
        <v>248</v>
      </c>
      <c r="L81" s="12" t="n">
        <f aca="false">SUM(L71:L74)</f>
        <v>43</v>
      </c>
    </row>
    <row r="82" customFormat="false" ht="15.75" hidden="false" customHeight="true" outlineLevel="0" collapsed="false">
      <c r="A82" s="22" t="s">
        <v>249</v>
      </c>
      <c r="L82" s="12" t="n">
        <f aca="false">SUM(L75:L78)</f>
        <v>9</v>
      </c>
    </row>
    <row r="83" customFormat="false" ht="15.75" hidden="false" customHeight="true" outlineLevel="0" collapsed="false"/>
    <row r="84" customFormat="false" ht="15.75" hidden="false" customHeight="true" outlineLevel="0" collapsed="false">
      <c r="A84" s="25" t="s">
        <v>250</v>
      </c>
    </row>
    <row r="85" customFormat="false" ht="15.75" hidden="false" customHeight="true" outlineLevel="0" collapsed="false"/>
    <row r="86" customFormat="false" ht="15.75" hidden="false" customHeight="true" outlineLevel="0" collapsed="false">
      <c r="A86" s="4" t="s">
        <v>251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42" hidden="false" customHeight="true" outlineLevel="0" collapsed="false">
      <c r="A87" s="6" t="s">
        <v>252</v>
      </c>
      <c r="B87" s="6" t="s">
        <v>200</v>
      </c>
      <c r="C87" s="6" t="s">
        <v>201</v>
      </c>
      <c r="D87" s="6" t="s">
        <v>202</v>
      </c>
      <c r="E87" s="6" t="s">
        <v>203</v>
      </c>
      <c r="F87" s="6" t="s">
        <v>204</v>
      </c>
      <c r="G87" s="6" t="s">
        <v>205</v>
      </c>
      <c r="H87" s="6" t="s">
        <v>206</v>
      </c>
      <c r="I87" s="6" t="s">
        <v>207</v>
      </c>
      <c r="J87" s="6" t="s">
        <v>208</v>
      </c>
      <c r="K87" s="6" t="s">
        <v>209</v>
      </c>
      <c r="L87" s="6" t="s">
        <v>210</v>
      </c>
      <c r="M87" s="6" t="s">
        <v>211</v>
      </c>
      <c r="N87" s="6" t="s">
        <v>253</v>
      </c>
    </row>
    <row r="88" customFormat="false" ht="15.75" hidden="false" customHeight="true" outlineLevel="0" collapsed="false">
      <c r="A88" s="10" t="s">
        <v>254</v>
      </c>
      <c r="B88" s="31" t="n">
        <f aca="false">($C$63+B$43+$H$63)/$K$63+($C$64+B$44+$H$64)/$K$64+($C$65+B$45+$H$65)/$K$65+($C$66+B$46+$H$66)/$K$66</f>
        <v>11.0738095374194</v>
      </c>
      <c r="C88" s="31" t="n">
        <f aca="false">($C$63+C$43+$H$63)/$K$63+($C$64+C$44+$H$64)/$K$64+($C$65+C$45+$H$65)/$K$65+($C$66+C$46+$H$66)/$K$66</f>
        <v>11.0738095336266</v>
      </c>
      <c r="D88" s="31" t="n">
        <f aca="false">($C$63+D$43+$H$63)/$K$63+($C$64+D$44+$H$64)/$K$64+($C$65+D$45+$H$65)/$K$65+($C$66+D$46+$H$66)/$K$66</f>
        <v>11.0738095355379</v>
      </c>
      <c r="E88" s="31" t="n">
        <f aca="false">($C$63+E$43+$H$63)/$K$63+($C$64+E$44+$H$64)/$K$64+($C$65+E$45+$H$65)/$K$65+($C$66+E$46+$H$66)/$K$66</f>
        <v>11.0738095383797</v>
      </c>
      <c r="F88" s="31" t="n">
        <f aca="false">($C$63+F$43+$H$63)/$K$63+($C$64+F$44+$H$64)/$K$64+($C$65+F$45+$H$65)/$K$65+($C$66+F$46+$H$66)/$K$66</f>
        <v>11.0738095355314</v>
      </c>
      <c r="G88" s="31" t="n">
        <f aca="false">($C$63+G$43+$H$63)/$K$63+($C$64+G$44+$H$64)/$K$64+($C$65+G$45+$H$65)/$K$65+($C$66+G$46+$H$66)/$K$66</f>
        <v>11.0738095373716</v>
      </c>
      <c r="H88" s="31" t="n">
        <f aca="false">($C$63+H$43+$H$63)/$K$63+($C$64+H$44+$H$64)/$K$64+($C$65+H$45+$H$65)/$K$65+($C$66+H$46+$H$66)/$K$66</f>
        <v>11.0738095335926</v>
      </c>
      <c r="I88" s="31" t="n">
        <f aca="false">($C$63+I$43+$H$63)/$K$63+($C$64+I$44+$H$64)/$K$64+($C$65+I$45+$H$65)/$K$65+($C$66+I$46+$H$66)/$K$66</f>
        <v>12.4101694936887</v>
      </c>
      <c r="J88" s="31" t="n">
        <f aca="false">($C$63+J$43+$H$63)/$K$63+($C$64+J$44+$H$64)/$K$64+($C$65+J$45+$H$65)/$K$65+($C$66+J$46+$H$66)/$K$66</f>
        <v>13.7465294537847</v>
      </c>
      <c r="K88" s="31" t="n">
        <f aca="false">($C$63+K$43+$H$63)/$K$63+($C$64+K$44+$H$64)/$K$64+($C$65+K$45+$H$65)/$K$65+($C$66+K$46+$H$66)/$K$66</f>
        <v>19.5014736153826</v>
      </c>
      <c r="L88" s="31" t="n">
        <f aca="false">($C$63+L$43+$H$63)/$K$63+($C$64+L$44+$H$64)/$K$64+($C$65+L$45+$H$65)/$K$65+($C$66+L$46+$H$66)/$K$66</f>
        <v>29.6750019784821</v>
      </c>
      <c r="M88" s="31" t="n">
        <f aca="false">($C$63+M$43+$H$63)/$K$63+($C$64+M$44+$H$64)/$K$64+($C$65+M$45+$H$65)/$K$65+($C$66+M$46+$H$66)/$K$66</f>
        <v>18.1651136613436</v>
      </c>
      <c r="N88" s="32" t="n">
        <f aca="false">MAX(B88:M88)</f>
        <v>29.6750019784821</v>
      </c>
    </row>
    <row r="89" customFormat="false" ht="15.75" hidden="false" customHeight="true" outlineLevel="0" collapsed="false">
      <c r="A89" s="10" t="s">
        <v>255</v>
      </c>
      <c r="B89" s="31" t="n">
        <f aca="false">($C$67+B$47+$H$67)/$K$67+($C$68+B$48+$H$68)/$K$68+($C$69+B$49+$H$69)/$K$69+($C$70+B$50+$H$70)/$K$70</f>
        <v>11.227442002442</v>
      </c>
      <c r="C89" s="31" t="n">
        <f aca="false">($C$67+C$47+$H$67)/$K$67+($C$68+C$48+$H$68)/$K$68+($C$69+C$49+$H$69)/$K$69+($C$70+C$50+$H$70)/$K$70</f>
        <v>11.227442002442</v>
      </c>
      <c r="D89" s="31" t="n">
        <f aca="false">($C$67+D$47+$H$67)/$K$67+($C$68+D$48+$H$68)/$K$68+($C$69+D$49+$H$69)/$K$69+($C$70+D$50+$H$70)/$K$70</f>
        <v>11.227442002442</v>
      </c>
      <c r="E89" s="31" t="n">
        <f aca="false">($C$67+E$47+$H$67)/$K$67+($C$68+E$48+$H$68)/$K$68+($C$69+E$49+$H$69)/$K$69+($C$70+E$50+$H$70)/$K$70</f>
        <v>11.227442002442</v>
      </c>
      <c r="F89" s="31" t="n">
        <f aca="false">($C$67+F$47+$H$67)/$K$67+($C$68+F$48+$H$68)/$K$68+($C$69+F$49+$H$69)/$K$69+($C$70+F$50+$H$70)/$K$70</f>
        <v>11.227442002442</v>
      </c>
      <c r="G89" s="31" t="n">
        <f aca="false">($C$67+G$47+$H$67)/$K$67+($C$68+G$48+$H$68)/$K$68+($C$69+G$49+$H$69)/$K$69+($C$70+G$50+$H$70)/$K$70</f>
        <v>11.227442002442</v>
      </c>
      <c r="H89" s="31" t="n">
        <f aca="false">($C$67+H$47+$H$67)/$K$67+($C$68+H$48+$H$68)/$K$68+($C$69+H$49+$H$69)/$K$69+($C$70+H$50+$H$70)/$K$70</f>
        <v>11.227442002442</v>
      </c>
      <c r="I89" s="31" t="n">
        <f aca="false">($C$67+I$47+$H$67)/$K$67+($C$68+I$48+$H$68)/$K$68+($C$69+I$49+$H$69)/$K$69+($C$70+I$50+$H$70)/$K$70</f>
        <v>14.5072112332113</v>
      </c>
      <c r="J89" s="31" t="n">
        <f aca="false">($C$67+J$47+$H$67)/$K$67+($C$68+J$48+$H$68)/$K$68+($C$69+J$49+$H$69)/$K$69+($C$70+J$50+$H$70)/$K$70</f>
        <v>17.7869804639805</v>
      </c>
      <c r="K89" s="31" t="n">
        <f aca="false">($C$67+K$47+$H$67)/$K$67+($C$68+K$48+$H$68)/$K$68+($C$69+K$49+$H$69)/$K$69+($C$70+K$50+$H$70)/$K$70</f>
        <v>24.2574086233211</v>
      </c>
      <c r="L89" s="31" t="n">
        <f aca="false">($C$67+L$47+$H$67)/$K$67+($C$68+L$48+$H$68)/$K$68+($C$69+L$49+$H$69)/$K$69+($C$70+L$50+$H$70)/$K$70</f>
        <v>33.9184957112332</v>
      </c>
      <c r="M89" s="31" t="n">
        <f aca="false">($C$67+M$47+$H$67)/$K$67+($C$68+M$48+$H$68)/$K$68+($C$69+M$49+$H$69)/$K$69+($C$70+M$50+$H$70)/$K$70</f>
        <v>20.9776393925519</v>
      </c>
      <c r="N89" s="32" t="n">
        <f aca="false">MAX(B89:M89)</f>
        <v>33.9184957112332</v>
      </c>
    </row>
    <row r="90" customFormat="false" ht="15.75" hidden="false" customHeight="true" outlineLevel="0" collapsed="false">
      <c r="A90" s="10" t="s">
        <v>256</v>
      </c>
      <c r="B90" s="31" t="n">
        <f aca="false">($C$75+B$55+$H$75)/$K$75+($C$76+B$56+$H$76)/$K$76+($C$77+B$57+$H$77)/$K$77+($C$78+B$58+$H$78)/$K$78</f>
        <v>3.27777777777778</v>
      </c>
      <c r="C90" s="31" t="n">
        <f aca="false">($C$75+C$55+$H$75)/$K$75+($C$76+C$56+$H$76)/$K$76+($C$77+C$57+$H$77)/$K$77+($C$78+C$58+$H$78)/$K$78</f>
        <v>3.27777777777778</v>
      </c>
      <c r="D90" s="31" t="n">
        <f aca="false">($C$75+D$55+$H$75)/$K$75+($C$76+D$56+$H$76)/$K$76+($C$77+D$57+$H$77)/$K$77+($C$78+D$58+$H$78)/$K$78</f>
        <v>3.27777777777778</v>
      </c>
      <c r="E90" s="31" t="n">
        <f aca="false">($C$75+E$55+$H$75)/$K$75+($C$76+E$56+$H$76)/$K$76+($C$77+E$57+$H$77)/$K$77+($C$78+E$58+$H$78)/$K$78</f>
        <v>3.27777777777778</v>
      </c>
      <c r="F90" s="31" t="n">
        <f aca="false">($C$75+F$55+$H$75)/$K$75+($C$76+F$56+$H$76)/$K$76+($C$77+F$57+$H$77)/$K$77+($C$78+F$58+$H$78)/$K$78</f>
        <v>3.27777777777778</v>
      </c>
      <c r="G90" s="31" t="n">
        <f aca="false">($C$75+G$55+$H$75)/$K$75+($C$76+G$56+$H$76)/$K$76+($C$77+G$57+$H$77)/$K$77+($C$78+G$58+$H$78)/$K$78</f>
        <v>3.27777777777778</v>
      </c>
      <c r="H90" s="31" t="n">
        <f aca="false">($C$75+H$55+$H$75)/$K$75+($C$76+H$56+$H$76)/$K$76+($C$77+H$57+$H$77)/$K$77+($C$78+H$58+$H$78)/$K$78</f>
        <v>3.27777777777778</v>
      </c>
      <c r="I90" s="31" t="n">
        <f aca="false">($C$75+I$55+$H$75)/$K$75+($C$76+I$56+$H$76)/$K$76+($C$77+I$57+$H$77)/$K$77+($C$78+I$58+$H$78)/$K$78</f>
        <v>3.27777777777778</v>
      </c>
      <c r="J90" s="31" t="n">
        <f aca="false">($C$75+J$55+$H$75)/$K$75+($C$76+J$56+$H$76)/$K$76+($C$77+J$57+$H$77)/$K$77+($C$78+J$58+$H$78)/$K$78</f>
        <v>3.27777777777778</v>
      </c>
      <c r="K90" s="31" t="n">
        <f aca="false">($C$75+K$55+$H$75)/$K$75+($C$76+K$56+$H$76)/$K$76+($C$77+K$57+$H$77)/$K$77+($C$78+K$58+$H$78)/$K$78</f>
        <v>3.27777777777778</v>
      </c>
      <c r="L90" s="31" t="n">
        <f aca="false">($C$75+L$55+$H$75)/$K$75+($C$76+L$56+$H$76)/$K$76+($C$77+L$57+$H$77)/$K$77+($C$78+L$58+$H$78)/$K$78</f>
        <v>3.27777777777778</v>
      </c>
      <c r="M90" s="31" t="n">
        <f aca="false">($C$75+M$55+$H$75)/$K$75+($C$76+M$56+$H$76)/$K$76+($C$77+M$57+$H$77)/$K$77+($C$78+M$58+$H$78)/$K$78</f>
        <v>3.27777777777778</v>
      </c>
      <c r="N90" s="32" t="n">
        <f aca="false">MAX(B90:M90)</f>
        <v>3.27777777777778</v>
      </c>
    </row>
    <row r="91" customFormat="false" ht="15.75" hidden="false" customHeight="true" outlineLevel="0" collapsed="false">
      <c r="A91" s="22" t="s">
        <v>257</v>
      </c>
      <c r="B91" s="33" t="n">
        <f aca="false">SUM(B88:B90)</f>
        <v>25.5790293176392</v>
      </c>
      <c r="C91" s="33" t="n">
        <f aca="false">SUM(C88:C90)</f>
        <v>25.5790293138464</v>
      </c>
      <c r="D91" s="33" t="n">
        <f aca="false">SUM(D88:D90)</f>
        <v>25.5790293157577</v>
      </c>
      <c r="E91" s="33" t="n">
        <f aca="false">SUM(E88:E90)</f>
        <v>25.5790293185995</v>
      </c>
      <c r="F91" s="33" t="n">
        <f aca="false">SUM(F88:F90)</f>
        <v>25.5790293157511</v>
      </c>
      <c r="G91" s="33" t="n">
        <f aca="false">SUM(G88:G90)</f>
        <v>25.5790293175914</v>
      </c>
      <c r="H91" s="33" t="n">
        <f aca="false">SUM(H88:H90)</f>
        <v>25.5790293138124</v>
      </c>
      <c r="I91" s="33" t="n">
        <f aca="false">SUM(I88:I90)</f>
        <v>30.1951585046777</v>
      </c>
      <c r="J91" s="33" t="n">
        <f aca="false">SUM(J88:J90)</f>
        <v>34.811287695543</v>
      </c>
      <c r="K91" s="33" t="n">
        <f aca="false">SUM(K88:K90)</f>
        <v>47.0366600164815</v>
      </c>
      <c r="L91" s="33" t="n">
        <f aca="false">SUM(L88:L90)</f>
        <v>66.8712754674931</v>
      </c>
      <c r="M91" s="33" t="n">
        <f aca="false">SUM(M88:M90)</f>
        <v>42.4205308316733</v>
      </c>
      <c r="N91" s="33" t="n">
        <f aca="false">SUM(N88:N90)</f>
        <v>66.8712754674931</v>
      </c>
    </row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259</v>
      </c>
    </row>
    <row r="3" customFormat="false" ht="15" hidden="false" customHeight="false" outlineLevel="0" collapsed="false">
      <c r="A3" s="3" t="s">
        <v>260</v>
      </c>
    </row>
    <row r="5" customFormat="false" ht="15" hidden="false" customHeight="false" outlineLevel="0" collapsed="false">
      <c r="A5" s="4" t="s">
        <v>261</v>
      </c>
      <c r="B5" s="5"/>
      <c r="C5" s="5"/>
      <c r="D5" s="5"/>
    </row>
    <row r="6" customFormat="false" ht="42" hidden="false" customHeight="true" outlineLevel="0" collapsed="false">
      <c r="A6" s="6" t="s">
        <v>4</v>
      </c>
      <c r="B6" s="6" t="s">
        <v>39</v>
      </c>
      <c r="C6" s="6" t="s">
        <v>40</v>
      </c>
      <c r="D6" s="6" t="s">
        <v>262</v>
      </c>
    </row>
    <row r="7" customFormat="false" ht="15" hidden="false" customHeight="false" outlineLevel="0" collapsed="false">
      <c r="A7" s="7" t="s">
        <v>10</v>
      </c>
      <c r="B7" s="20" t="n">
        <f aca="false">Stock_PT!L79+Stock_PT!L80+Stock_PT!L82</f>
        <v>85</v>
      </c>
      <c r="C7" s="10" t="s">
        <v>263</v>
      </c>
      <c r="D7" s="10" t="s">
        <v>264</v>
      </c>
    </row>
    <row r="8" customFormat="false" ht="15" hidden="false" customHeight="false" outlineLevel="0" collapsed="false">
      <c r="A8" s="7" t="s">
        <v>265</v>
      </c>
      <c r="B8" s="11" t="n">
        <f aca="false">MAX(Stock_PT!N63:N70,Stock_PT!N75:N78)</f>
        <v>1515</v>
      </c>
      <c r="C8" s="10" t="s">
        <v>58</v>
      </c>
      <c r="D8" s="10"/>
    </row>
    <row r="9" customFormat="false" ht="15" hidden="false" customHeight="false" outlineLevel="0" collapsed="false">
      <c r="A9" s="7" t="s">
        <v>266</v>
      </c>
      <c r="B9" s="11" t="n">
        <f aca="false">B8+HOLG_V+LARG</f>
        <v>1765</v>
      </c>
      <c r="C9" s="10" t="s">
        <v>58</v>
      </c>
      <c r="D9" s="10" t="s">
        <v>267</v>
      </c>
    </row>
    <row r="10" customFormat="false" ht="15" hidden="false" customHeight="false" outlineLevel="0" collapsed="false">
      <c r="A10" s="7" t="s">
        <v>268</v>
      </c>
      <c r="B10" s="21" t="n">
        <f aca="false">(NIV_PT-1)*B9/1000</f>
        <v>3.53</v>
      </c>
      <c r="C10" s="10" t="s">
        <v>96</v>
      </c>
      <c r="D10" s="10"/>
    </row>
    <row r="11" customFormat="false" ht="15" hidden="false" customHeight="false" outlineLevel="0" collapsed="false">
      <c r="A11" s="7" t="s">
        <v>269</v>
      </c>
      <c r="B11" s="21" t="n">
        <f aca="false">B10+MARGEN_ELEV</f>
        <v>3.73</v>
      </c>
      <c r="C11" s="10" t="s">
        <v>96</v>
      </c>
      <c r="D11" s="10"/>
    </row>
    <row r="12" customFormat="false" ht="15" hidden="false" customHeight="false" outlineLevel="0" collapsed="false">
      <c r="A12" s="7" t="s">
        <v>270</v>
      </c>
      <c r="B12" s="34" t="str">
        <f aca="false">IF(B11&lt;=ELEV_STD,"Estándar ("&amp;ELEV_STD&amp;" m)",IF(B11&lt;=ELEV_ALT,"Mástil de "&amp;SUBSTITUTE(TEXT(ELEV_ALT,"0.0"),".",",")&amp;" m","No alcanza: bajar un nivel"))</f>
        <v>Mástil de 4,5 m</v>
      </c>
      <c r="C12" s="10"/>
      <c r="D12" s="10"/>
    </row>
    <row r="13" customFormat="false" ht="15" hidden="false" customHeight="false" outlineLevel="0" collapsed="false">
      <c r="A13" s="7" t="s">
        <v>271</v>
      </c>
      <c r="B13" s="11" t="n">
        <f aca="false">MAX(Stock_PT!M63:M70,Stock_PT!M75:M78)</f>
        <v>1038.8</v>
      </c>
      <c r="C13" s="10" t="s">
        <v>66</v>
      </c>
      <c r="D13" s="10"/>
    </row>
    <row r="14" customFormat="false" ht="15" hidden="false" customHeight="false" outlineLevel="0" collapsed="false">
      <c r="A14" s="7" t="s">
        <v>272</v>
      </c>
      <c r="B14" s="20" t="n">
        <f aca="false">SUMPRODUCT((Stock_PT!M63:M70&gt;KG_NIV/POS_NIV)*Stock_PT!L63:L70)+SUMPRODUCT((Stock_PT!M75:M78&gt;KG_NIV/POS_NIV)*Stock_PT!L75:L78)</f>
        <v>3</v>
      </c>
      <c r="C14" s="10" t="s">
        <v>263</v>
      </c>
      <c r="D14" s="10" t="s">
        <v>273</v>
      </c>
    </row>
    <row r="15" customFormat="false" ht="15" hidden="false" customHeight="false" outlineLevel="0" collapsed="false">
      <c r="A15" s="22" t="s">
        <v>274</v>
      </c>
      <c r="B15" s="23" t="n">
        <f aca="false">MAX(ROUNDUP(B7/(POS_NIV*NIV_PT),0),ROUNDUP(B14/POS_NIV,0))</f>
        <v>15</v>
      </c>
      <c r="C15" s="10" t="s">
        <v>81</v>
      </c>
      <c r="D15" s="10" t="s">
        <v>275</v>
      </c>
    </row>
    <row r="16" customFormat="false" ht="15" hidden="false" customHeight="false" outlineLevel="0" collapsed="false">
      <c r="A16" s="7" t="s">
        <v>276</v>
      </c>
      <c r="B16" s="20" t="n">
        <f aca="false">B15*POS_NIV*NIV_PT</f>
        <v>90</v>
      </c>
      <c r="C16" s="10" t="s">
        <v>81</v>
      </c>
      <c r="D16" s="10"/>
    </row>
    <row r="17" customFormat="false" ht="15" hidden="false" customHeight="false" outlineLevel="0" collapsed="false">
      <c r="A17" s="7" t="s">
        <v>277</v>
      </c>
      <c r="B17" s="24" t="n">
        <f aca="false">CEILING(B10+0.4,0.5)</f>
        <v>4</v>
      </c>
      <c r="C17" s="10" t="s">
        <v>96</v>
      </c>
      <c r="D17" s="10" t="s">
        <v>278</v>
      </c>
    </row>
    <row r="18" customFormat="false" ht="15" hidden="false" customHeight="false" outlineLevel="0" collapsed="false">
      <c r="A18" s="22" t="s">
        <v>279</v>
      </c>
      <c r="B18" s="35" t="n">
        <f aca="false">B15*MOD_FRENTE*(MOD_FONDO+CALLE/2)</f>
        <v>124.2</v>
      </c>
      <c r="C18" s="10" t="s">
        <v>280</v>
      </c>
      <c r="D18" s="10"/>
    </row>
    <row r="20" customFormat="false" ht="15" hidden="false" customHeight="false" outlineLevel="0" collapsed="false">
      <c r="A20" s="4" t="s">
        <v>281</v>
      </c>
      <c r="B20" s="5"/>
      <c r="C20" s="5"/>
      <c r="D20" s="5"/>
    </row>
    <row r="21" customFormat="false" ht="42" hidden="false" customHeight="true" outlineLevel="0" collapsed="false">
      <c r="A21" s="6" t="s">
        <v>282</v>
      </c>
      <c r="B21" s="6" t="s">
        <v>283</v>
      </c>
      <c r="C21" s="6" t="s">
        <v>284</v>
      </c>
      <c r="D21" s="6" t="s">
        <v>262</v>
      </c>
    </row>
    <row r="22" customFormat="false" ht="15.75" hidden="false" customHeight="true" outlineLevel="0" collapsed="false">
      <c r="A22" s="7" t="s">
        <v>180</v>
      </c>
      <c r="B22" s="20" t="n">
        <f aca="false">Stock_PT!L71</f>
        <v>11</v>
      </c>
      <c r="C22" s="21" t="n">
        <f aca="false">Datos!G42*Datos!G43/1000000*F_CIRC</f>
        <v>0.462</v>
      </c>
      <c r="D22" s="10" t="s">
        <v>285</v>
      </c>
    </row>
    <row r="23" customFormat="false" ht="15.75" hidden="false" customHeight="true" outlineLevel="0" collapsed="false">
      <c r="A23" s="7" t="s">
        <v>181</v>
      </c>
      <c r="B23" s="20" t="n">
        <f aca="false">Stock_PT!L72</f>
        <v>23</v>
      </c>
      <c r="C23" s="21" t="n">
        <f aca="false">Datos!H42*Datos!H43/1000000*F_CIRC</f>
        <v>0.588</v>
      </c>
      <c r="D23" s="10" t="s">
        <v>285</v>
      </c>
    </row>
    <row r="24" customFormat="false" ht="15.75" hidden="false" customHeight="true" outlineLevel="0" collapsed="false">
      <c r="A24" s="7" t="s">
        <v>182</v>
      </c>
      <c r="B24" s="20" t="n">
        <f aca="false">Stock_PT!L73</f>
        <v>5</v>
      </c>
      <c r="C24" s="21" t="n">
        <f aca="false">Datos!I42*Datos!I43/1000000*F_CIRC</f>
        <v>0.784</v>
      </c>
      <c r="D24" s="10" t="s">
        <v>285</v>
      </c>
    </row>
    <row r="25" customFormat="false" ht="15.75" hidden="false" customHeight="true" outlineLevel="0" collapsed="false">
      <c r="A25" s="7" t="s">
        <v>183</v>
      </c>
      <c r="B25" s="20" t="n">
        <f aca="false">Stock_PT!L74</f>
        <v>4</v>
      </c>
      <c r="C25" s="21" t="n">
        <f aca="false">Datos!J42*Datos!J43/1000000*F_CIRC</f>
        <v>0.84</v>
      </c>
      <c r="D25" s="10" t="s">
        <v>285</v>
      </c>
    </row>
    <row r="26" customFormat="false" ht="15.75" hidden="false" customHeight="true" outlineLevel="0" collapsed="false">
      <c r="A26" s="22" t="s">
        <v>286</v>
      </c>
      <c r="B26" s="35" t="n">
        <f aca="false">SUMPRODUCT(B22:B25,C22:C25)</f>
        <v>25.886</v>
      </c>
    </row>
    <row r="27" customFormat="false" ht="15.75" hidden="false" customHeight="true" outlineLevel="0" collapsed="false"/>
    <row r="28" customFormat="false" ht="15.75" hidden="false" customHeight="true" outlineLevel="0" collapsed="false">
      <c r="A28" s="4" t="s">
        <v>287</v>
      </c>
      <c r="B28" s="5"/>
      <c r="C28" s="5"/>
      <c r="D28" s="5"/>
    </row>
    <row r="29" customFormat="false" ht="42" hidden="false" customHeight="true" outlineLevel="0" collapsed="false">
      <c r="A29" s="6" t="s">
        <v>4</v>
      </c>
      <c r="B29" s="6" t="s">
        <v>39</v>
      </c>
      <c r="C29" s="6" t="s">
        <v>40</v>
      </c>
      <c r="D29" s="6" t="s">
        <v>262</v>
      </c>
    </row>
    <row r="30" customFormat="false" ht="15.75" hidden="false" customHeight="true" outlineLevel="0" collapsed="false">
      <c r="A30" s="7" t="s">
        <v>288</v>
      </c>
      <c r="B30" s="20" t="n">
        <f aca="false">Datos!B51+Datos!B50</f>
        <v>20</v>
      </c>
      <c r="C30" s="10" t="s">
        <v>263</v>
      </c>
    </row>
    <row r="31" customFormat="false" ht="15.75" hidden="false" customHeight="true" outlineLevel="0" collapsed="false">
      <c r="A31" s="22" t="s">
        <v>289</v>
      </c>
      <c r="B31" s="35" t="n">
        <f aca="false">B30*PAL_L*PAL_A/1000000*F_CIRC</f>
        <v>33.6</v>
      </c>
      <c r="C31" s="10" t="s">
        <v>280</v>
      </c>
    </row>
    <row r="32" customFormat="false" ht="15.75" hidden="false" customHeight="true" outlineLevel="0" collapsed="false"/>
    <row r="33" customFormat="false" ht="15.75" hidden="false" customHeight="true" outlineLevel="0" collapsed="false">
      <c r="A33" s="4" t="s">
        <v>290</v>
      </c>
      <c r="B33" s="5"/>
      <c r="C33" s="5"/>
      <c r="D33" s="5"/>
    </row>
    <row r="34" customFormat="false" ht="42" hidden="false" customHeight="true" outlineLevel="0" collapsed="false">
      <c r="A34" s="6" t="s">
        <v>4</v>
      </c>
      <c r="B34" s="6" t="s">
        <v>39</v>
      </c>
      <c r="C34" s="6" t="s">
        <v>40</v>
      </c>
      <c r="D34" s="6" t="s">
        <v>262</v>
      </c>
    </row>
    <row r="35" customFormat="false" ht="15.75" hidden="false" customHeight="true" outlineLevel="0" collapsed="false">
      <c r="A35" s="7" t="s">
        <v>291</v>
      </c>
      <c r="B35" s="24" t="n">
        <f aca="false">Pintura!B33</f>
        <v>17.71</v>
      </c>
      <c r="C35" s="10" t="s">
        <v>280</v>
      </c>
      <c r="D35" s="10" t="s">
        <v>292</v>
      </c>
    </row>
    <row r="36" customFormat="false" ht="15.75" hidden="false" customHeight="true" outlineLevel="0" collapsed="false">
      <c r="A36" s="7" t="s">
        <v>293</v>
      </c>
      <c r="B36" s="24" t="n">
        <f aca="false">Pintura!B34</f>
        <v>17.71</v>
      </c>
      <c r="C36" s="10" t="s">
        <v>280</v>
      </c>
      <c r="D36" s="10" t="s">
        <v>294</v>
      </c>
    </row>
    <row r="37" customFormat="false" ht="15.75" hidden="false" customHeight="true" outlineLevel="0" collapsed="false">
      <c r="A37" s="7" t="s">
        <v>295</v>
      </c>
      <c r="B37" s="24" t="n">
        <f aca="false">Carro_manip!B27</f>
        <v>11.466</v>
      </c>
      <c r="C37" s="10" t="s">
        <v>280</v>
      </c>
      <c r="D37" s="10" t="s">
        <v>296</v>
      </c>
    </row>
    <row r="38" customFormat="false" ht="15.75" hidden="false" customHeight="true" outlineLevel="0" collapsed="false">
      <c r="A38" s="22" t="s">
        <v>297</v>
      </c>
      <c r="B38" s="35" t="n">
        <f aca="false">SUM(B35:B37)</f>
        <v>46.886</v>
      </c>
    </row>
    <row r="39" customFormat="false" ht="15.75" hidden="false" customHeight="true" outlineLevel="0" collapsed="false"/>
    <row r="40" customFormat="false" ht="15.75" hidden="false" customHeight="true" outlineLevel="0" collapsed="false">
      <c r="A40" s="4" t="s">
        <v>298</v>
      </c>
      <c r="B40" s="5"/>
      <c r="C40" s="5"/>
      <c r="D40" s="5"/>
    </row>
    <row r="41" customFormat="false" ht="42" hidden="false" customHeight="true" outlineLevel="0" collapsed="false">
      <c r="A41" s="6" t="s">
        <v>4</v>
      </c>
      <c r="B41" s="6" t="s">
        <v>6</v>
      </c>
      <c r="C41" s="6" t="s">
        <v>5</v>
      </c>
      <c r="D41" s="6" t="s">
        <v>299</v>
      </c>
    </row>
    <row r="42" customFormat="false" ht="15.75" hidden="false" customHeight="true" outlineLevel="0" collapsed="false">
      <c r="A42" s="7" t="s">
        <v>300</v>
      </c>
      <c r="B42" s="24" t="n">
        <f aca="false">B18+B26+B31</f>
        <v>183.686</v>
      </c>
      <c r="C42" s="24" t="n">
        <f aca="false">Datos!B57+Datos!B58</f>
        <v>173.22</v>
      </c>
      <c r="D42" s="10" t="s">
        <v>301</v>
      </c>
    </row>
    <row r="43" customFormat="false" ht="15.75" hidden="false" customHeight="true" outlineLevel="0" collapsed="false">
      <c r="A43" s="7" t="s">
        <v>302</v>
      </c>
      <c r="B43" s="24" t="n">
        <f aca="false">B38</f>
        <v>46.886</v>
      </c>
      <c r="D43" s="10" t="s">
        <v>303</v>
      </c>
    </row>
    <row r="44" customFormat="false" ht="15.75" hidden="false" customHeight="true" outlineLevel="0" collapsed="false">
      <c r="A44" s="22" t="s">
        <v>257</v>
      </c>
      <c r="B44" s="35" t="n">
        <f aca="false">B42+B43</f>
        <v>230.572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9"/>
    <col collapsed="false" customWidth="true" hidden="false" outlineLevel="0" max="4" min="4" style="0" width="23.43"/>
    <col collapsed="false" customWidth="true" hidden="false" outlineLevel="0" max="13" min="5" style="0" width="9"/>
    <col collapsed="false" customWidth="true" hidden="false" outlineLevel="0" max="15" min="14" style="0" width="10"/>
    <col collapsed="false" customWidth="true" hidden="false" outlineLevel="0" max="26" min="16" style="0" width="8.71"/>
  </cols>
  <sheetData>
    <row r="1" customFormat="false" ht="1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3" customFormat="false" ht="15" hidden="false" customHeight="false" outlineLevel="0" collapsed="false">
      <c r="A3" s="3" t="s">
        <v>306</v>
      </c>
    </row>
    <row r="5" customFormat="false" ht="15" hidden="false" customHeight="false" outlineLevel="0" collapsed="false">
      <c r="A5" s="4" t="s">
        <v>307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42" hidden="false" customHeight="true" outlineLevel="0" collapsed="false">
      <c r="A6" s="6" t="s">
        <v>4</v>
      </c>
      <c r="B6" s="6" t="s">
        <v>200</v>
      </c>
      <c r="C6" s="6" t="s">
        <v>201</v>
      </c>
      <c r="D6" s="6" t="s">
        <v>202</v>
      </c>
      <c r="E6" s="6" t="s">
        <v>203</v>
      </c>
      <c r="F6" s="6" t="s">
        <v>204</v>
      </c>
      <c r="G6" s="6" t="s">
        <v>205</v>
      </c>
      <c r="H6" s="6" t="s">
        <v>206</v>
      </c>
      <c r="I6" s="6" t="s">
        <v>207</v>
      </c>
      <c r="J6" s="6" t="s">
        <v>208</v>
      </c>
      <c r="K6" s="6" t="s">
        <v>209</v>
      </c>
      <c r="L6" s="6" t="s">
        <v>210</v>
      </c>
      <c r="M6" s="6" t="s">
        <v>211</v>
      </c>
      <c r="N6" s="6" t="s">
        <v>212</v>
      </c>
      <c r="O6" s="6" t="s">
        <v>308</v>
      </c>
    </row>
    <row r="7" customFormat="false" ht="15" hidden="false" customHeight="false" outlineLevel="0" collapsed="false">
      <c r="A7" s="10" t="s">
        <v>309</v>
      </c>
      <c r="B7" s="29" t="n">
        <f aca="false">SUMPRODUCT(Stock_PT!B7:B10/Stock_PT!$K$63:$K$66)</f>
        <v>54.8767216784921</v>
      </c>
      <c r="C7" s="29" t="n">
        <f aca="false">SUMPRODUCT(Stock_PT!C7:C10/Stock_PT!$K$63:$K$66)</f>
        <v>43.3668333615476</v>
      </c>
      <c r="D7" s="29" t="n">
        <f aca="false">SUMPRODUCT(Stock_PT!D7:D10/Stock_PT!$K$63:$K$66)</f>
        <v>44.6852188116667</v>
      </c>
      <c r="E7" s="29" t="n">
        <f aca="false">SUMPRODUCT(Stock_PT!E7:E10/Stock_PT!$K$63:$K$66)</f>
        <v>44.2397654894445</v>
      </c>
      <c r="F7" s="29" t="n">
        <f aca="false">SUMPRODUCT(Stock_PT!F7:F10/Stock_PT!$K$63:$K$66)</f>
        <v>41.5850200754365</v>
      </c>
      <c r="G7" s="29" t="n">
        <f aca="false">SUMPRODUCT(Stock_PT!G7:G10/Stock_PT!$K$63:$K$66)</f>
        <v>39.3757279723413</v>
      </c>
      <c r="H7" s="29" t="n">
        <f aca="false">SUMPRODUCT(Stock_PT!H7:H10/Stock_PT!$K$63:$K$66)</f>
        <v>42.0304733976587</v>
      </c>
      <c r="I7" s="29" t="n">
        <f aca="false">SUMPRODUCT(Stock_PT!I7:I10/Stock_PT!$K$63:$K$66)</f>
        <v>42.0304733976587</v>
      </c>
      <c r="J7" s="29" t="n">
        <f aca="false">SUMPRODUCT(Stock_PT!J7:J10/Stock_PT!$K$63:$K$66)</f>
        <v>42.0304733976587</v>
      </c>
      <c r="K7" s="29" t="n">
        <f aca="false">SUMPRODUCT(Stock_PT!K7:K10/Stock_PT!$K$63:$K$66)</f>
        <v>39.8211812945635</v>
      </c>
      <c r="L7" s="29" t="n">
        <f aca="false">SUMPRODUCT(Stock_PT!L7:L10/Stock_PT!$K$63:$K$66)</f>
        <v>37.6118891914683</v>
      </c>
      <c r="M7" s="29" t="n">
        <f aca="false">SUMPRODUCT(Stock_PT!M7:M10/Stock_PT!$K$63:$K$66)</f>
        <v>59.2953058717064</v>
      </c>
      <c r="N7" s="29" t="n">
        <f aca="false">SUM(B7:M7)</f>
        <v>530.949083939643</v>
      </c>
      <c r="O7" s="29" t="n">
        <f aca="false">MAX(B7:M7)</f>
        <v>59.2953058717064</v>
      </c>
    </row>
    <row r="8" customFormat="false" ht="15" hidden="false" customHeight="false" outlineLevel="0" collapsed="false">
      <c r="A8" s="10" t="s">
        <v>310</v>
      </c>
      <c r="B8" s="26" t="n">
        <f aca="false">SUMPRODUCT(Stock_PT!B7:B10/Stock_PT!$K$63:$K$66*Stock_PT!$M$63:$M$66)</f>
        <v>44075.7070669596</v>
      </c>
      <c r="C8" s="26" t="n">
        <f aca="false">SUMPRODUCT(Stock_PT!C7:C10/Stock_PT!$K$63:$K$66*Stock_PT!$M$63:$M$66)</f>
        <v>34830.3646572432</v>
      </c>
      <c r="D8" s="26" t="n">
        <f aca="false">SUMPRODUCT(Stock_PT!D7:D10/Stock_PT!$K$63:$K$66*Stock_PT!$M$63:$M$66)</f>
        <v>35886.9473407483</v>
      </c>
      <c r="E8" s="26" t="n">
        <f aca="false">SUMPRODUCT(Stock_PT!E7:E10/Stock_PT!$K$63:$K$66*Stock_PT!$M$63:$M$66)</f>
        <v>35528.4465070239</v>
      </c>
      <c r="F8" s="26" t="n">
        <f aca="false">SUMPRODUCT(Stock_PT!F7:F10/Stock_PT!$K$63:$K$66*Stock_PT!$M$63:$M$66)</f>
        <v>33396.3613245809</v>
      </c>
      <c r="G8" s="26" t="n">
        <f aca="false">SUMPRODUCT(Stock_PT!G7:G10/Stock_PT!$K$63:$K$66*Stock_PT!$M$63:$M$66)</f>
        <v>31622.7769671246</v>
      </c>
      <c r="H8" s="26" t="n">
        <f aca="false">SUMPRODUCT(Stock_PT!H7:H10/Stock_PT!$K$63:$K$66*Stock_PT!$M$63:$M$66)</f>
        <v>33754.8621583054</v>
      </c>
      <c r="I8" s="26" t="n">
        <f aca="false">SUMPRODUCT(Stock_PT!I7:I10/Stock_PT!$K$63:$K$66*Stock_PT!$M$63:$M$66)</f>
        <v>33754.8621583054</v>
      </c>
      <c r="J8" s="26" t="n">
        <f aca="false">SUMPRODUCT(Stock_PT!J7:J10/Stock_PT!$K$63:$K$66*Stock_PT!$M$63:$M$66)</f>
        <v>33754.8621583054</v>
      </c>
      <c r="K8" s="26" t="n">
        <f aca="false">SUMPRODUCT(Stock_PT!K7:K10/Stock_PT!$K$63:$K$66*Stock_PT!$M$63:$M$66)</f>
        <v>31981.2778008491</v>
      </c>
      <c r="L8" s="26" t="n">
        <f aca="false">SUMPRODUCT(Stock_PT!L7:L10/Stock_PT!$K$63:$K$66*Stock_PT!$M$63:$M$66)</f>
        <v>30207.6934433927</v>
      </c>
      <c r="M8" s="26" t="n">
        <f aca="false">SUMPRODUCT(Stock_PT!M7:M10/Stock_PT!$K$63:$K$66*Stock_PT!$M$63:$M$66)</f>
        <v>47622.8757714031</v>
      </c>
      <c r="N8" s="26" t="n">
        <f aca="false">SUM(B8:M8)</f>
        <v>426417.037354242</v>
      </c>
      <c r="O8" s="26" t="n">
        <f aca="false">MAX(B8:M8)</f>
        <v>47622.8757714031</v>
      </c>
    </row>
    <row r="9" customFormat="false" ht="15" hidden="false" customHeight="false" outlineLevel="0" collapsed="false">
      <c r="A9" s="28" t="s">
        <v>311</v>
      </c>
      <c r="B9" s="36" t="n">
        <f aca="false">MAX(B7/Datos!$B$50,B8/Datos!$C$50)</f>
        <v>9.14612027974868</v>
      </c>
      <c r="C9" s="36" t="n">
        <f aca="false">MAX(C7/Datos!$B$50,C8/Datos!$C$50)</f>
        <v>7.22780556025794</v>
      </c>
      <c r="D9" s="36" t="n">
        <f aca="false">MAX(D7/Datos!$B$50,D8/Datos!$C$50)</f>
        <v>7.44753646861111</v>
      </c>
      <c r="E9" s="36" t="n">
        <f aca="false">MAX(E7/Datos!$B$50,E8/Datos!$C$50)</f>
        <v>7.37329424824074</v>
      </c>
      <c r="F9" s="36" t="n">
        <f aca="false">MAX(F7/Datos!$B$50,F8/Datos!$C$50)</f>
        <v>6.93083667923942</v>
      </c>
      <c r="G9" s="36" t="n">
        <f aca="false">MAX(G7/Datos!$B$50,G8/Datos!$C$50)</f>
        <v>6.56262132872354</v>
      </c>
      <c r="H9" s="36" t="n">
        <f aca="false">MAX(H7/Datos!$B$50,H8/Datos!$C$50)</f>
        <v>7.00507889960979</v>
      </c>
      <c r="I9" s="36" t="n">
        <f aca="false">MAX(I7/Datos!$B$50,I8/Datos!$C$50)</f>
        <v>7.00507889960979</v>
      </c>
      <c r="J9" s="36" t="n">
        <f aca="false">MAX(J7/Datos!$B$50,J8/Datos!$C$50)</f>
        <v>7.00507889960979</v>
      </c>
      <c r="K9" s="36" t="n">
        <f aca="false">MAX(K7/Datos!$B$50,K8/Datos!$C$50)</f>
        <v>6.63686354909391</v>
      </c>
      <c r="L9" s="36" t="n">
        <f aca="false">MAX(L7/Datos!$B$50,L8/Datos!$C$50)</f>
        <v>6.26864819857804</v>
      </c>
      <c r="M9" s="36" t="n">
        <f aca="false">MAX(M7/Datos!$B$50,M8/Datos!$C$50)</f>
        <v>9.88255097861772</v>
      </c>
      <c r="N9" s="36" t="n">
        <f aca="false">SUM(B9:M9)</f>
        <v>88.4915139899405</v>
      </c>
      <c r="O9" s="37" t="n">
        <f aca="false">MAX(B9:M9)</f>
        <v>9.88255097861772</v>
      </c>
    </row>
    <row r="11" customFormat="false" ht="15" hidden="false" customHeight="false" outlineLevel="0" collapsed="false">
      <c r="A11" s="10" t="s">
        <v>312</v>
      </c>
      <c r="B11" s="29" t="n">
        <f aca="false">SUMPRODUCT(Stock_PT!B11:B14/Stock_PT!$K$67:$K$70)+SUMPRODUCT(Stock_PT!B19:B22/Stock_PT!$K$75:$K$78)</f>
        <v>69.6636125763126</v>
      </c>
      <c r="C11" s="29" t="n">
        <f aca="false">SUMPRODUCT(Stock_PT!C11:C14/Stock_PT!$K$67:$K$70)+SUMPRODUCT(Stock_PT!C19:C22/Stock_PT!$K$75:$K$78)</f>
        <v>55.3675951465201</v>
      </c>
      <c r="D11" s="29" t="n">
        <f aca="false">SUMPRODUCT(Stock_PT!D11:D14/Stock_PT!$K$67:$K$70)+SUMPRODUCT(Stock_PT!D19:D22/Stock_PT!$K$75:$K$78)</f>
        <v>56.8091534569597</v>
      </c>
      <c r="E11" s="29" t="n">
        <f aca="false">SUMPRODUCT(Stock_PT!E11:E14/Stock_PT!$K$67:$K$70)+SUMPRODUCT(Stock_PT!E19:E22/Stock_PT!$K$75:$K$78)</f>
        <v>55.7158970467033</v>
      </c>
      <c r="F11" s="29" t="n">
        <f aca="false">SUMPRODUCT(Stock_PT!F11:F14/Stock_PT!$K$67:$K$70)+SUMPRODUCT(Stock_PT!F19:F22/Stock_PT!$K$75:$K$78)</f>
        <v>53.0273111721612</v>
      </c>
      <c r="G11" s="29" t="n">
        <f aca="false">SUMPRODUCT(Stock_PT!G11:G14/Stock_PT!$K$67:$K$70)+SUMPRODUCT(Stock_PT!G19:G22/Stock_PT!$K$75:$K$78)</f>
        <v>50.0768205967644</v>
      </c>
      <c r="H11" s="29" t="n">
        <f aca="false">SUMPRODUCT(Stock_PT!H11:H14/Stock_PT!$K$67:$K$70)+SUMPRODUCT(Stock_PT!H19:H22/Stock_PT!$K$75:$K$78)</f>
        <v>54.1205675824176</v>
      </c>
      <c r="I11" s="29" t="n">
        <f aca="false">SUMPRODUCT(Stock_PT!I11:I14/Stock_PT!$K$67:$K$70)+SUMPRODUCT(Stock_PT!I19:I22/Stock_PT!$K$75:$K$78)</f>
        <v>54.1205675824176</v>
      </c>
      <c r="J11" s="29" t="n">
        <f aca="false">SUMPRODUCT(Stock_PT!J11:J14/Stock_PT!$K$67:$K$70)+SUMPRODUCT(Stock_PT!J19:J22/Stock_PT!$K$75:$K$78)</f>
        <v>53.442987026862</v>
      </c>
      <c r="K11" s="29" t="n">
        <f aca="false">SUMPRODUCT(Stock_PT!K11:K14/Stock_PT!$K$67:$K$70)+SUMPRODUCT(Stock_PT!K19:K22/Stock_PT!$K$75:$K$78)</f>
        <v>50.4924964514652</v>
      </c>
      <c r="L11" s="29" t="n">
        <f aca="false">SUMPRODUCT(Stock_PT!L11:L14/Stock_PT!$K$67:$K$70)+SUMPRODUCT(Stock_PT!L19:L22/Stock_PT!$K$75:$K$78)</f>
        <v>48.2195864316239</v>
      </c>
      <c r="M11" s="29" t="n">
        <f aca="false">SUMPRODUCT(Stock_PT!M11:M14/Stock_PT!$K$67:$K$70)+SUMPRODUCT(Stock_PT!M19:M22/Stock_PT!$K$75:$K$78)</f>
        <v>72.1766909493285</v>
      </c>
      <c r="N11" s="29" t="n">
        <f aca="false">SUM(B11:M11)</f>
        <v>673.233286019536</v>
      </c>
      <c r="O11" s="29" t="n">
        <f aca="false">MAX(B11:M11)</f>
        <v>72.1766909493285</v>
      </c>
    </row>
    <row r="12" customFormat="false" ht="15" hidden="false" customHeight="false" outlineLevel="0" collapsed="false">
      <c r="A12" s="10" t="s">
        <v>313</v>
      </c>
      <c r="B12" s="26" t="n">
        <f aca="false">SUMPRODUCT(Stock_PT!B11:B14/Stock_PT!$K$67:$K$70*Stock_PT!$M$67:$M$70)+SUMPRODUCT(Stock_PT!B19:B22/Stock_PT!$K$75:$K$78*Stock_PT!$M$75:$M$78)</f>
        <v>32403.4851993284</v>
      </c>
      <c r="C12" s="26" t="n">
        <f aca="false">SUMPRODUCT(Stock_PT!C11:C14/Stock_PT!$K$67:$K$70*Stock_PT!$M$67:$M$70)+SUMPRODUCT(Stock_PT!C19:C22/Stock_PT!$K$75:$K$78*Stock_PT!$M$75:$M$78)</f>
        <v>25373.5349067106</v>
      </c>
      <c r="D12" s="26" t="n">
        <f aca="false">SUMPRODUCT(Stock_PT!D11:D14/Stock_PT!$K$67:$K$70*Stock_PT!$M$67:$M$70)+SUMPRODUCT(Stock_PT!D19:D22/Stock_PT!$K$75:$K$78*Stock_PT!$M$75:$M$78)</f>
        <v>25214.2919050788</v>
      </c>
      <c r="E12" s="26" t="n">
        <f aca="false">SUMPRODUCT(Stock_PT!E11:E14/Stock_PT!$K$67:$K$70*Stock_PT!$M$67:$M$70)+SUMPRODUCT(Stock_PT!E19:E22/Stock_PT!$K$75:$K$78*Stock_PT!$M$75:$M$78)</f>
        <v>24524.665761489</v>
      </c>
      <c r="F12" s="26" t="n">
        <f aca="false">SUMPRODUCT(Stock_PT!F11:F14/Stock_PT!$K$67:$K$70*Stock_PT!$M$67:$M$70)+SUMPRODUCT(Stock_PT!F19:F22/Stock_PT!$K$75:$K$78*Stock_PT!$M$75:$M$78)</f>
        <v>23211.383445685</v>
      </c>
      <c r="G12" s="26" t="n">
        <f aca="false">SUMPRODUCT(Stock_PT!G11:G14/Stock_PT!$K$67:$K$70*Stock_PT!$M$67:$M$70)+SUMPRODUCT(Stock_PT!G19:G22/Stock_PT!$K$75:$K$78*Stock_PT!$M$75:$M$78)</f>
        <v>22190.1585312485</v>
      </c>
      <c r="H12" s="26" t="n">
        <f aca="false">SUMPRODUCT(Stock_PT!H11:H14/Stock_PT!$K$67:$K$70*Stock_PT!$M$67:$M$70)+SUMPRODUCT(Stock_PT!H19:H22/Stock_PT!$K$75:$K$78*Stock_PT!$M$75:$M$78)</f>
        <v>23901.0095892747</v>
      </c>
      <c r="I12" s="26" t="n">
        <f aca="false">SUMPRODUCT(Stock_PT!I11:I14/Stock_PT!$K$67:$K$70*Stock_PT!$M$67:$M$70)+SUMPRODUCT(Stock_PT!I19:I22/Stock_PT!$K$75:$K$78*Stock_PT!$M$75:$M$78)</f>
        <v>23901.0095892747</v>
      </c>
      <c r="J12" s="26" t="n">
        <f aca="false">SUMPRODUCT(Stock_PT!J11:J14/Stock_PT!$K$67:$K$70*Stock_PT!$M$67:$M$70)+SUMPRODUCT(Stock_PT!J19:J22/Stock_PT!$K$75:$K$78*Stock_PT!$M$75:$M$78)</f>
        <v>23702.2252181636</v>
      </c>
      <c r="K12" s="26" t="n">
        <f aca="false">SUMPRODUCT(Stock_PT!K11:K14/Stock_PT!$K$67:$K$70*Stock_PT!$M$67:$M$70)+SUMPRODUCT(Stock_PT!K19:K22/Stock_PT!$K$75:$K$78*Stock_PT!$M$75:$M$78)</f>
        <v>22681.0003037271</v>
      </c>
      <c r="L12" s="26" t="n">
        <f aca="false">SUMPRODUCT(Stock_PT!L11:L14/Stock_PT!$K$67:$K$70*Stock_PT!$M$67:$M$70)+SUMPRODUCT(Stock_PT!L19:L22/Stock_PT!$K$75:$K$78*Stock_PT!$M$75:$M$78)</f>
        <v>21858.5597604017</v>
      </c>
      <c r="M12" s="26" t="n">
        <f aca="false">SUMPRODUCT(Stock_PT!M11:M14/Stock_PT!$K$67:$K$70*Stock_PT!$M$67:$M$70)+SUMPRODUCT(Stock_PT!M19:M22/Stock_PT!$K$75:$K$78*Stock_PT!$M$75:$M$78)</f>
        <v>33452.0131726459</v>
      </c>
      <c r="N12" s="26" t="n">
        <f aca="false">SUM(B12:M12)</f>
        <v>302413.337383028</v>
      </c>
      <c r="O12" s="26" t="n">
        <f aca="false">MAX(B12:M12)</f>
        <v>33452.0131726459</v>
      </c>
    </row>
    <row r="13" customFormat="false" ht="15" hidden="false" customHeight="false" outlineLevel="0" collapsed="false">
      <c r="A13" s="28" t="s">
        <v>314</v>
      </c>
      <c r="B13" s="36" t="n">
        <f aca="false">MAX(B11/Datos!$B$51,B12/Datos!$C$51)</f>
        <v>4.97597232687947</v>
      </c>
      <c r="C13" s="36" t="n">
        <f aca="false">MAX(C11/Datos!$B$51,C12/Datos!$C$51)</f>
        <v>3.95482822475144</v>
      </c>
      <c r="D13" s="36" t="n">
        <f aca="false">MAX(D11/Datos!$B$51,D12/Datos!$C$51)</f>
        <v>4.05779667549712</v>
      </c>
      <c r="E13" s="36" t="n">
        <f aca="false">MAX(E11/Datos!$B$51,E12/Datos!$C$51)</f>
        <v>3.97970693190738</v>
      </c>
      <c r="F13" s="36" t="n">
        <f aca="false">MAX(F11/Datos!$B$51,F12/Datos!$C$51)</f>
        <v>3.7876650837258</v>
      </c>
      <c r="G13" s="36" t="n">
        <f aca="false">MAX(G11/Datos!$B$51,G12/Datos!$C$51)</f>
        <v>3.57691575691174</v>
      </c>
      <c r="H13" s="36" t="n">
        <f aca="false">MAX(H11/Datos!$B$51,H12/Datos!$C$51)</f>
        <v>3.86575482731554</v>
      </c>
      <c r="I13" s="36" t="n">
        <f aca="false">MAX(I11/Datos!$B$51,I12/Datos!$C$51)</f>
        <v>3.86575482731554</v>
      </c>
      <c r="J13" s="36" t="n">
        <f aca="false">MAX(J11/Datos!$B$51,J12/Datos!$C$51)</f>
        <v>3.81735621620443</v>
      </c>
      <c r="K13" s="36" t="n">
        <f aca="false">MAX(K11/Datos!$B$51,K12/Datos!$C$51)</f>
        <v>3.60660688939037</v>
      </c>
      <c r="L13" s="36" t="n">
        <f aca="false">MAX(L11/Datos!$B$51,L12/Datos!$C$51)</f>
        <v>3.44425617368742</v>
      </c>
      <c r="M13" s="36" t="n">
        <f aca="false">MAX(M11/Datos!$B$51,M12/Datos!$C$51)</f>
        <v>5.15547792495203</v>
      </c>
      <c r="N13" s="36" t="n">
        <f aca="false">SUM(B13:M13)</f>
        <v>48.0880918585383</v>
      </c>
      <c r="O13" s="37" t="n">
        <f aca="false">MAX(B13:M13)</f>
        <v>5.15547792495203</v>
      </c>
    </row>
    <row r="15" customFormat="false" ht="15" hidden="false" customHeight="false" outlineLevel="0" collapsed="false">
      <c r="A15" s="10" t="s">
        <v>315</v>
      </c>
      <c r="B15" s="29" t="n">
        <f aca="false">SUMPRODUCT(Stock_PT!B15:B18/Stock_PT!$K$71:$K$74)</f>
        <v>15.6454438184286</v>
      </c>
      <c r="C15" s="29" t="n">
        <f aca="false">SUMPRODUCT(Stock_PT!C15:C18/Stock_PT!$K$71:$K$74)</f>
        <v>13.8048033697143</v>
      </c>
      <c r="D15" s="29" t="n">
        <f aca="false">SUMPRODUCT(Stock_PT!D15:D18/Stock_PT!$K$71:$K$74)</f>
        <v>16.565764043</v>
      </c>
      <c r="E15" s="29" t="n">
        <f aca="false">SUMPRODUCT(Stock_PT!E15:E18/Stock_PT!$K$71:$K$74)</f>
        <v>16.565764043</v>
      </c>
      <c r="F15" s="29" t="n">
        <f aca="false">SUMPRODUCT(Stock_PT!F15:F18/Stock_PT!$K$71:$K$74)</f>
        <v>16.565764043</v>
      </c>
      <c r="G15" s="29" t="n">
        <f aca="false">SUMPRODUCT(Stock_PT!G15:G18/Stock_PT!$K$71:$K$74)</f>
        <v>14.7251235935714</v>
      </c>
      <c r="H15" s="29" t="n">
        <f aca="false">SUMPRODUCT(Stock_PT!H15:H18/Stock_PT!$K$71:$K$74)</f>
        <v>16.565764043</v>
      </c>
      <c r="I15" s="29" t="n">
        <f aca="false">SUMPRODUCT(Stock_PT!I15:I18/Stock_PT!$K$71:$K$74)</f>
        <v>16.565764043</v>
      </c>
      <c r="J15" s="29" t="n">
        <f aca="false">SUMPRODUCT(Stock_PT!J15:J18/Stock_PT!$K$71:$K$74)</f>
        <v>15.6454438184286</v>
      </c>
      <c r="K15" s="29" t="n">
        <f aca="false">SUMPRODUCT(Stock_PT!K15:K18/Stock_PT!$K$71:$K$74)</f>
        <v>13.8048033697143</v>
      </c>
      <c r="L15" s="29" t="n">
        <f aca="false">SUMPRODUCT(Stock_PT!L15:L18/Stock_PT!$K$71:$K$74)</f>
        <v>12.8844831441429</v>
      </c>
      <c r="M15" s="29" t="n">
        <f aca="false">SUMPRODUCT(Stock_PT!M15:M18/Stock_PT!$K$71:$K$74)</f>
        <v>14.7251235935714</v>
      </c>
      <c r="N15" s="29" t="n">
        <f aca="false">SUM(B15:M15)</f>
        <v>184.064044922571</v>
      </c>
      <c r="O15" s="29" t="n">
        <f aca="false">MAX(B15:M15)</f>
        <v>16.565764043</v>
      </c>
    </row>
    <row r="16" customFormat="false" ht="15" hidden="false" customHeight="false" outlineLevel="0" collapsed="false">
      <c r="A16" s="10" t="s">
        <v>316</v>
      </c>
      <c r="B16" s="26" t="n">
        <f aca="false">Stock_PT!B15*Datos!$G$44+Stock_PT!B16*Datos!$H$44+Stock_PT!B17*Datos!$I$44+Stock_PT!B18*Datos!$J$44</f>
        <v>15479.17932405</v>
      </c>
      <c r="C16" s="26" t="n">
        <f aca="false">Stock_PT!C15*Datos!$G$44+Stock_PT!C16*Datos!$H$44+Stock_PT!C17*Datos!$I$44+Stock_PT!C18*Datos!$J$44</f>
        <v>13658.09940445</v>
      </c>
      <c r="D16" s="26" t="n">
        <f aca="false">Stock_PT!D15*Datos!$G$44+Stock_PT!D16*Datos!$H$44+Stock_PT!D17*Datos!$I$44+Stock_PT!D18*Datos!$J$44</f>
        <v>16389.71928465</v>
      </c>
      <c r="E16" s="26" t="n">
        <f aca="false">Stock_PT!E15*Datos!$G$44+Stock_PT!E16*Datos!$H$44+Stock_PT!E17*Datos!$I$44+Stock_PT!E18*Datos!$J$44</f>
        <v>16389.71928465</v>
      </c>
      <c r="F16" s="26" t="n">
        <f aca="false">Stock_PT!F15*Datos!$G$44+Stock_PT!F16*Datos!$H$44+Stock_PT!F17*Datos!$I$44+Stock_PT!F18*Datos!$J$44</f>
        <v>16389.71928465</v>
      </c>
      <c r="G16" s="26" t="n">
        <f aca="false">Stock_PT!G15*Datos!$G$44+Stock_PT!G16*Datos!$H$44+Stock_PT!G17*Datos!$I$44+Stock_PT!G18*Datos!$J$44</f>
        <v>14568.63936375</v>
      </c>
      <c r="H16" s="26" t="n">
        <f aca="false">Stock_PT!H15*Datos!$G$44+Stock_PT!H16*Datos!$H$44+Stock_PT!H17*Datos!$I$44+Stock_PT!H18*Datos!$J$44</f>
        <v>16389.71928465</v>
      </c>
      <c r="I16" s="26" t="n">
        <f aca="false">Stock_PT!I15*Datos!$G$44+Stock_PT!I16*Datos!$H$44+Stock_PT!I17*Datos!$I$44+Stock_PT!I18*Datos!$J$44</f>
        <v>16389.71928465</v>
      </c>
      <c r="J16" s="26" t="n">
        <f aca="false">Stock_PT!J15*Datos!$G$44+Stock_PT!J16*Datos!$H$44+Stock_PT!J17*Datos!$I$44+Stock_PT!J18*Datos!$J$44</f>
        <v>15479.17932405</v>
      </c>
      <c r="K16" s="26" t="n">
        <f aca="false">Stock_PT!K15*Datos!$G$44+Stock_PT!K16*Datos!$H$44+Stock_PT!K17*Datos!$I$44+Stock_PT!K18*Datos!$J$44</f>
        <v>13658.09940445</v>
      </c>
      <c r="L16" s="26" t="n">
        <f aca="false">Stock_PT!L15*Datos!$G$44+Stock_PT!L16*Datos!$H$44+Stock_PT!L17*Datos!$I$44+Stock_PT!L18*Datos!$J$44</f>
        <v>12747.55944285</v>
      </c>
      <c r="M16" s="26" t="n">
        <f aca="false">Stock_PT!M15*Datos!$G$44+Stock_PT!M16*Datos!$H$44+Stock_PT!M17*Datos!$I$44+Stock_PT!M18*Datos!$J$44</f>
        <v>14568.63936375</v>
      </c>
      <c r="N16" s="26" t="n">
        <f aca="false">SUM(B16:M16)</f>
        <v>182107.9920506</v>
      </c>
      <c r="O16" s="26" t="n">
        <f aca="false">MAX(B16:M16)</f>
        <v>16389.71928465</v>
      </c>
    </row>
    <row r="17" customFormat="false" ht="15" hidden="false" customHeight="false" outlineLevel="0" collapsed="false">
      <c r="A17" s="28" t="s">
        <v>317</v>
      </c>
      <c r="B17" s="36" t="n">
        <f aca="false">MAX(B15,B16/Datos!$C$52)</f>
        <v>15.6454438184286</v>
      </c>
      <c r="C17" s="36" t="n">
        <f aca="false">MAX(C15,C16/Datos!$C$52)</f>
        <v>13.8048033697143</v>
      </c>
      <c r="D17" s="36" t="n">
        <f aca="false">MAX(D15,D16/Datos!$C$52)</f>
        <v>16.565764043</v>
      </c>
      <c r="E17" s="36" t="n">
        <f aca="false">MAX(E15,E16/Datos!$C$52)</f>
        <v>16.565764043</v>
      </c>
      <c r="F17" s="36" t="n">
        <f aca="false">MAX(F15,F16/Datos!$C$52)</f>
        <v>16.565764043</v>
      </c>
      <c r="G17" s="36" t="n">
        <f aca="false">MAX(G15,G16/Datos!$C$52)</f>
        <v>14.7251235935714</v>
      </c>
      <c r="H17" s="36" t="n">
        <f aca="false">MAX(H15,H16/Datos!$C$52)</f>
        <v>16.565764043</v>
      </c>
      <c r="I17" s="36" t="n">
        <f aca="false">MAX(I15,I16/Datos!$C$52)</f>
        <v>16.565764043</v>
      </c>
      <c r="J17" s="36" t="n">
        <f aca="false">MAX(J15,J16/Datos!$C$52)</f>
        <v>15.6454438184286</v>
      </c>
      <c r="K17" s="36" t="n">
        <f aca="false">MAX(K15,K16/Datos!$C$52)</f>
        <v>13.8048033697143</v>
      </c>
      <c r="L17" s="36" t="n">
        <f aca="false">MAX(L15,L16/Datos!$C$52)</f>
        <v>12.8844831441429</v>
      </c>
      <c r="M17" s="36" t="n">
        <f aca="false">MAX(M15,M16/Datos!$C$52)</f>
        <v>14.7251235935714</v>
      </c>
      <c r="N17" s="36" t="n">
        <f aca="false">SUM(B17:M17)</f>
        <v>184.064044922571</v>
      </c>
      <c r="O17" s="37" t="n">
        <f aca="false">MAX(B17:M17)</f>
        <v>16.565764043</v>
      </c>
    </row>
    <row r="19" customFormat="false" ht="15" hidden="false" customHeight="false" outlineLevel="0" collapsed="false">
      <c r="A19" s="10" t="s">
        <v>318</v>
      </c>
      <c r="B19" s="29" t="n">
        <f aca="false">(Stock_PT!B33+Stock_PT!B37)/Datos!$G$46+(Stock_PT!B34+Stock_PT!B38)/Datos!$H$46+(Stock_PT!B35+Stock_PT!B39)/Datos!$I$46+(Stock_PT!B36+Stock_PT!B40)/Datos!$J$46</f>
        <v>26.7887981041429</v>
      </c>
      <c r="C19" s="29" t="n">
        <f aca="false">(Stock_PT!C33+Stock_PT!C37)/Datos!$G$46+(Stock_PT!C34+Stock_PT!C38)/Datos!$H$46+(Stock_PT!C35+Stock_PT!C39)/Datos!$I$46+(Stock_PT!C36+Stock_PT!C40)/Datos!$J$46</f>
        <v>23.6371747982857</v>
      </c>
      <c r="D19" s="29" t="n">
        <f aca="false">(Stock_PT!D33+Stock_PT!D37)/Datos!$G$46+(Stock_PT!D34+Stock_PT!D38)/Datos!$H$46+(Stock_PT!D35+Stock_PT!D39)/Datos!$I$46+(Stock_PT!D36+Stock_PT!D40)/Datos!$J$46</f>
        <v>28.3646097572857</v>
      </c>
      <c r="E19" s="29" t="n">
        <f aca="false">(Stock_PT!E33+Stock_PT!E37)/Datos!$G$46+(Stock_PT!E34+Stock_PT!E38)/Datos!$H$46+(Stock_PT!E35+Stock_PT!E39)/Datos!$I$46+(Stock_PT!E36+Stock_PT!E40)/Datos!$J$46</f>
        <v>28.3646097572857</v>
      </c>
      <c r="F19" s="29" t="n">
        <f aca="false">(Stock_PT!F33+Stock_PT!F37)/Datos!$G$46+(Stock_PT!F34+Stock_PT!F38)/Datos!$H$46+(Stock_PT!F35+Stock_PT!F39)/Datos!$I$46+(Stock_PT!F36+Stock_PT!F40)/Datos!$J$46</f>
        <v>28.3646097572857</v>
      </c>
      <c r="G19" s="29" t="n">
        <f aca="false">(Stock_PT!G33+Stock_PT!G37)/Datos!$G$46+(Stock_PT!G34+Stock_PT!G38)/Datos!$H$46+(Stock_PT!G35+Stock_PT!G39)/Datos!$I$46+(Stock_PT!G36+Stock_PT!G40)/Datos!$J$46</f>
        <v>25.2129864507143</v>
      </c>
      <c r="H19" s="29" t="n">
        <f aca="false">(Stock_PT!H33+Stock_PT!H37)/Datos!$G$46+(Stock_PT!H34+Stock_PT!H38)/Datos!$H$46+(Stock_PT!H35+Stock_PT!H39)/Datos!$I$46+(Stock_PT!H36+Stock_PT!H40)/Datos!$J$46</f>
        <v>28.3646097572857</v>
      </c>
      <c r="I19" s="29" t="n">
        <f aca="false">(Stock_PT!I33+Stock_PT!I37)/Datos!$G$46+(Stock_PT!I34+Stock_PT!I38)/Datos!$H$46+(Stock_PT!I35+Stock_PT!I39)/Datos!$I$46+(Stock_PT!I36+Stock_PT!I40)/Datos!$J$46</f>
        <v>28.3646097572857</v>
      </c>
      <c r="J19" s="29" t="n">
        <f aca="false">(Stock_PT!J33+Stock_PT!J37)/Datos!$G$46+(Stock_PT!J34+Stock_PT!J38)/Datos!$H$46+(Stock_PT!J35+Stock_PT!J39)/Datos!$I$46+(Stock_PT!J36+Stock_PT!J40)/Datos!$J$46</f>
        <v>26.7887981041429</v>
      </c>
      <c r="K19" s="29" t="n">
        <f aca="false">(Stock_PT!K33+Stock_PT!K37)/Datos!$G$46+(Stock_PT!K34+Stock_PT!K38)/Datos!$H$46+(Stock_PT!K35+Stock_PT!K39)/Datos!$I$46+(Stock_PT!K36+Stock_PT!K40)/Datos!$J$46</f>
        <v>23.6371747982857</v>
      </c>
      <c r="L19" s="29" t="n">
        <f aca="false">(Stock_PT!L33+Stock_PT!L37)/Datos!$G$46+(Stock_PT!L34+Stock_PT!L38)/Datos!$H$46+(Stock_PT!L35+Stock_PT!L39)/Datos!$I$46+(Stock_PT!L36+Stock_PT!L40)/Datos!$J$46</f>
        <v>22.0613631441429</v>
      </c>
      <c r="M19" s="29" t="n">
        <f aca="false">(Stock_PT!M33+Stock_PT!M37)/Datos!$G$46+(Stock_PT!M34+Stock_PT!M38)/Datos!$H$46+(Stock_PT!M35+Stock_PT!M39)/Datos!$I$46+(Stock_PT!M36+Stock_PT!M40)/Datos!$J$46</f>
        <v>25.2129864507143</v>
      </c>
      <c r="N19" s="29" t="n">
        <f aca="false">SUM(B19:M19)</f>
        <v>315.162330636857</v>
      </c>
      <c r="O19" s="29" t="n">
        <f aca="false">MAX(B19:M19)</f>
        <v>28.3646097572857</v>
      </c>
    </row>
    <row r="20" customFormat="false" ht="15" hidden="false" customHeight="false" outlineLevel="0" collapsed="false">
      <c r="A20" s="28" t="s">
        <v>319</v>
      </c>
      <c r="B20" s="36" t="n">
        <f aca="false">ROUNDUP(B19/DIAS*DIAS_PINT,0)*DIAS/DIAS_PINT</f>
        <v>30</v>
      </c>
      <c r="C20" s="36" t="n">
        <f aca="false">ROUNDUP(C19/DIAS*DIAS_PINT,0)*DIAS/DIAS_PINT</f>
        <v>30</v>
      </c>
      <c r="D20" s="36" t="n">
        <f aca="false">ROUNDUP(D19/DIAS*DIAS_PINT,0)*DIAS/DIAS_PINT</f>
        <v>30</v>
      </c>
      <c r="E20" s="36" t="n">
        <f aca="false">ROUNDUP(E19/DIAS*DIAS_PINT,0)*DIAS/DIAS_PINT</f>
        <v>30</v>
      </c>
      <c r="F20" s="36" t="n">
        <f aca="false">ROUNDUP(F19/DIAS*DIAS_PINT,0)*DIAS/DIAS_PINT</f>
        <v>30</v>
      </c>
      <c r="G20" s="36" t="n">
        <f aca="false">ROUNDUP(G19/DIAS*DIAS_PINT,0)*DIAS/DIAS_PINT</f>
        <v>30</v>
      </c>
      <c r="H20" s="36" t="n">
        <f aca="false">ROUNDUP(H19/DIAS*DIAS_PINT,0)*DIAS/DIAS_PINT</f>
        <v>30</v>
      </c>
      <c r="I20" s="36" t="n">
        <f aca="false">ROUNDUP(I19/DIAS*DIAS_PINT,0)*DIAS/DIAS_PINT</f>
        <v>30</v>
      </c>
      <c r="J20" s="36" t="n">
        <f aca="false">ROUNDUP(J19/DIAS*DIAS_PINT,0)*DIAS/DIAS_PINT</f>
        <v>30</v>
      </c>
      <c r="K20" s="36" t="n">
        <f aca="false">ROUNDUP(K19/DIAS*DIAS_PINT,0)*DIAS/DIAS_PINT</f>
        <v>30</v>
      </c>
      <c r="L20" s="36" t="n">
        <f aca="false">ROUNDUP(L19/DIAS*DIAS_PINT,0)*DIAS/DIAS_PINT</f>
        <v>30</v>
      </c>
      <c r="M20" s="36" t="n">
        <f aca="false">ROUNDUP(M19/DIAS*DIAS_PINT,0)*DIAS/DIAS_PINT</f>
        <v>30</v>
      </c>
      <c r="N20" s="36" t="n">
        <f aca="false">SUM(B20:M20)</f>
        <v>360</v>
      </c>
      <c r="O20" s="37" t="n">
        <f aca="false">MAX(B20:M20)</f>
        <v>30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>
      <c r="A23" s="4" t="s">
        <v>320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customFormat="false" ht="42" hidden="false" customHeight="true" outlineLevel="0" collapsed="false">
      <c r="A24" s="6" t="s">
        <v>321</v>
      </c>
      <c r="B24" s="6" t="s">
        <v>322</v>
      </c>
      <c r="C24" s="6" t="s">
        <v>323</v>
      </c>
      <c r="D24" s="6" t="s">
        <v>324</v>
      </c>
      <c r="E24" s="6" t="s">
        <v>325</v>
      </c>
      <c r="F24" s="6" t="s">
        <v>326</v>
      </c>
      <c r="G24" s="6" t="s">
        <v>327</v>
      </c>
      <c r="H24" s="6" t="s">
        <v>328</v>
      </c>
    </row>
    <row r="25" customFormat="false" ht="15.75" hidden="false" customHeight="true" outlineLevel="0" collapsed="false">
      <c r="A25" s="28" t="s">
        <v>329</v>
      </c>
      <c r="B25" s="29" t="n">
        <f aca="false">O9/(DIAS/5)</f>
        <v>2.47063774465443</v>
      </c>
      <c r="C25" s="31" t="n">
        <f aca="false">ROUNDUP(B25,0)</f>
        <v>3</v>
      </c>
      <c r="D25" s="10" t="str">
        <f aca="false">IF(C25=0,"—",CHOOSE(MIN(C25,5),"Miércoles","Martes y jueves","Lunes, miércoles y viernes","Lunes a jueves","Lunes a viernes"))</f>
        <v>Lunes, miércoles y viernes</v>
      </c>
      <c r="E25" s="29" t="n">
        <f aca="false">H_CHICO</f>
        <v>4</v>
      </c>
      <c r="F25" s="29" t="n">
        <f aca="false">B25*E25</f>
        <v>9.88255097861772</v>
      </c>
      <c r="G25" s="38" t="n">
        <f aca="false">MAX(1,ROUNDUP(F25/(H_DIA*5),0))</f>
        <v>1</v>
      </c>
      <c r="H25" s="39" t="n">
        <f aca="false">F25/(G25*H_DIA*5)</f>
        <v>0.247063774465443</v>
      </c>
    </row>
    <row r="26" customFormat="false" ht="15.75" hidden="false" customHeight="true" outlineLevel="0" collapsed="false">
      <c r="A26" s="28" t="s">
        <v>330</v>
      </c>
      <c r="B26" s="29" t="n">
        <f aca="false">O13/(DIAS/5)</f>
        <v>1.28886948123801</v>
      </c>
      <c r="C26" s="31" t="n">
        <f aca="false">ROUNDUP(B26,0)</f>
        <v>2</v>
      </c>
      <c r="D26" s="10" t="str">
        <f aca="false">IF(C26=0,"—",CHOOSE(MIN(C26,5),"Miércoles","Martes y jueves","Lunes, miércoles y viernes","Lunes a jueves","Lunes a viernes"))</f>
        <v>Martes y jueves</v>
      </c>
      <c r="E26" s="29" t="n">
        <f aca="false">H_SIDER</f>
        <v>6</v>
      </c>
      <c r="F26" s="29" t="n">
        <f aca="false">B26*E26</f>
        <v>7.73321688742805</v>
      </c>
      <c r="G26" s="38" t="n">
        <f aca="false">MAX(1,ROUNDUP(F26/(H_DIA*5),0))</f>
        <v>1</v>
      </c>
      <c r="H26" s="39" t="n">
        <f aca="false">F26/(G26*H_DIA*5)</f>
        <v>0.193330422185701</v>
      </c>
    </row>
    <row r="27" customFormat="false" ht="15.75" hidden="false" customHeight="true" outlineLevel="0" collapsed="false">
      <c r="A27" s="28" t="s">
        <v>331</v>
      </c>
      <c r="B27" s="29" t="n">
        <f aca="false">O17/(DIAS/5)</f>
        <v>4.14144101075</v>
      </c>
      <c r="C27" s="31" t="n">
        <f aca="false">ROUNDUP(B27,0)</f>
        <v>5</v>
      </c>
      <c r="D27" s="10" t="str">
        <f aca="false">IF(C27=0,"—",CHOOSE(MIN(C27,5),"Miércoles","Martes y jueves","Lunes, miércoles y viernes","Lunes a jueves","Lunes a viernes"))</f>
        <v>Lunes a viernes</v>
      </c>
      <c r="E27" s="29" t="n">
        <f aca="false">H_MCLI</f>
        <v>4</v>
      </c>
      <c r="F27" s="29" t="n">
        <f aca="false">B27*E27</f>
        <v>16.565764043</v>
      </c>
    </row>
    <row r="28" customFormat="false" ht="15.75" hidden="false" customHeight="true" outlineLevel="0" collapsed="false">
      <c r="A28" s="28" t="s">
        <v>332</v>
      </c>
      <c r="B28" s="29" t="n">
        <f aca="false">O20/(DIAS/5)</f>
        <v>7.5</v>
      </c>
      <c r="C28" s="29" t="n">
        <f aca="false">5/DIAS_PINT</f>
        <v>2.5</v>
      </c>
      <c r="D28" s="10" t="str">
        <f aca="false">"Cada "&amp;DIAS_PINT&amp;" días hábiles, "&amp;Pintura!B27&amp;" viajes"</f>
        <v>Cada 2 días hábiles, 3 viajes</v>
      </c>
      <c r="E28" s="29" t="n">
        <f aca="false">H_MPINT</f>
        <v>2.5</v>
      </c>
      <c r="F28" s="29" t="n">
        <f aca="false">B28*E28</f>
        <v>18.75</v>
      </c>
    </row>
    <row r="29" customFormat="false" ht="15.75" hidden="false" customHeight="true" outlineLevel="0" collapsed="false">
      <c r="A29" s="28" t="s">
        <v>333</v>
      </c>
      <c r="F29" s="36" t="n">
        <f aca="false">F27+F28</f>
        <v>35.315764043</v>
      </c>
      <c r="G29" s="38" t="n">
        <f aca="false">MAX(1,ROUNDUP(F29/(H_DIA*5),0))</f>
        <v>1</v>
      </c>
      <c r="H29" s="39" t="n">
        <f aca="false">F29/(G29*H_DIA*5)</f>
        <v>0.882894101075</v>
      </c>
    </row>
    <row r="30" customFormat="false" ht="15.75" hidden="false" customHeight="true" outlineLevel="0" collapsed="false"/>
    <row r="31" customFormat="false" ht="15.75" hidden="false" customHeight="true" outlineLevel="0" collapsed="false">
      <c r="A31" s="25" t="s">
        <v>334</v>
      </c>
    </row>
    <row r="32" customFormat="false" ht="15.75" hidden="false" customHeight="true" outlineLevel="0" collapsed="false">
      <c r="A32" s="25" t="s">
        <v>335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11" min="3" style="0" width="12"/>
    <col collapsed="false" customWidth="true" hidden="false" outlineLevel="0" max="12" min="12" style="0" width="10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336</v>
      </c>
    </row>
    <row r="2" customFormat="false" ht="15" hidden="false" customHeight="false" outlineLevel="0" collapsed="false">
      <c r="A2" s="2" t="s">
        <v>337</v>
      </c>
    </row>
    <row r="3" customFormat="false" ht="15" hidden="false" customHeight="false" outlineLevel="0" collapsed="false">
      <c r="A3" s="3" t="s">
        <v>338</v>
      </c>
    </row>
    <row r="5" customFormat="false" ht="15" hidden="false" customHeight="false" outlineLevel="0" collapsed="false">
      <c r="A5" s="4" t="s">
        <v>339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42" hidden="false" customHeight="true" outlineLevel="0" collapsed="false">
      <c r="A6" s="6" t="s">
        <v>282</v>
      </c>
      <c r="B6" s="6" t="s">
        <v>340</v>
      </c>
      <c r="C6" s="6" t="s">
        <v>341</v>
      </c>
      <c r="D6" s="6" t="s">
        <v>342</v>
      </c>
      <c r="E6" s="6" t="s">
        <v>343</v>
      </c>
      <c r="F6" s="6" t="s">
        <v>344</v>
      </c>
      <c r="G6" s="6" t="s">
        <v>345</v>
      </c>
      <c r="H6" s="6" t="s">
        <v>346</v>
      </c>
      <c r="I6" s="6" t="s">
        <v>347</v>
      </c>
    </row>
    <row r="7" customFormat="false" ht="15" hidden="false" customHeight="false" outlineLevel="0" collapsed="false">
      <c r="A7" s="22" t="s">
        <v>180</v>
      </c>
      <c r="B7" s="24" t="n">
        <f aca="false" t="array" ref="B7:B7">INDEX(Stock_PT!$B$33:$M$33,1,MES_P)+INDEX(Stock_PT!$B$37:$M$37,1,MES_P)</f>
        <v>69.95794799</v>
      </c>
      <c r="C7" s="21" t="n">
        <f aca="false">B7/DIAS</f>
        <v>3.4978973995</v>
      </c>
      <c r="D7" s="20" t="n">
        <f aca="false">Datos!G46</f>
        <v>14</v>
      </c>
      <c r="E7" s="21" t="n">
        <f aca="false">C7/D7</f>
        <v>0.24984981425</v>
      </c>
      <c r="F7" s="20" t="n">
        <f aca="false">C7*Datos!G45</f>
        <v>66.4600505905</v>
      </c>
      <c r="G7" s="20" t="n">
        <f aca="false">Datos!G42</f>
        <v>600</v>
      </c>
      <c r="H7" s="20" t="n">
        <f aca="false">Datos!G43</f>
        <v>550</v>
      </c>
      <c r="I7" s="21" t="n">
        <f aca="false">G7*H7/1000000*F_CIRC</f>
        <v>0.462</v>
      </c>
    </row>
    <row r="8" customFormat="false" ht="15" hidden="false" customHeight="false" outlineLevel="0" collapsed="false">
      <c r="A8" s="22" t="s">
        <v>181</v>
      </c>
      <c r="B8" s="24" t="n">
        <f aca="false" t="array" ref="B8:B8">INDEX(Stock_PT!$B$34:$M$34,1,MES_P)+INDEX(Stock_PT!$B$38:$M$38,1,MES_P)</f>
        <v>153.75916558</v>
      </c>
      <c r="C8" s="21" t="n">
        <f aca="false">B8/DIAS</f>
        <v>7.687958279</v>
      </c>
      <c r="D8" s="20" t="n">
        <f aca="false">Datos!H46</f>
        <v>10</v>
      </c>
      <c r="E8" s="21" t="n">
        <f aca="false">C8/D8</f>
        <v>0.7687958279</v>
      </c>
      <c r="F8" s="20" t="n">
        <f aca="false">C8*Datos!H45</f>
        <v>199.886915254</v>
      </c>
      <c r="G8" s="20" t="n">
        <f aca="false">Datos!H42</f>
        <v>700</v>
      </c>
      <c r="H8" s="20" t="n">
        <f aca="false">Datos!H43</f>
        <v>600</v>
      </c>
      <c r="I8" s="21" t="n">
        <f aca="false">G8*H8/1000000*F_CIRC</f>
        <v>0.588</v>
      </c>
    </row>
    <row r="9" customFormat="false" ht="15" hidden="false" customHeight="false" outlineLevel="0" collapsed="false">
      <c r="A9" s="22" t="s">
        <v>182</v>
      </c>
      <c r="B9" s="24" t="n">
        <f aca="false" t="array" ref="B9:B9">INDEX(Stock_PT!$B$35:$M$35,1,MES_P)+INDEX(Stock_PT!$B$39:$M$39,1,MES_P)</f>
        <v>33.67168704</v>
      </c>
      <c r="C9" s="21" t="n">
        <f aca="false">B9/DIAS</f>
        <v>1.683584352</v>
      </c>
      <c r="D9" s="20" t="n">
        <f aca="false">Datos!I46</f>
        <v>7</v>
      </c>
      <c r="E9" s="21" t="n">
        <f aca="false">C9/D9</f>
        <v>0.240512050285714</v>
      </c>
      <c r="F9" s="20" t="n">
        <f aca="false">C9*Datos!I45</f>
        <v>85.862801952</v>
      </c>
      <c r="G9" s="20" t="n">
        <f aca="false">Datos!I42</f>
        <v>800</v>
      </c>
      <c r="H9" s="20" t="n">
        <f aca="false">Datos!I43</f>
        <v>700</v>
      </c>
      <c r="I9" s="21" t="n">
        <f aca="false">G9*H9/1000000*F_CIRC</f>
        <v>0.784</v>
      </c>
    </row>
    <row r="10" customFormat="false" ht="15" hidden="false" customHeight="false" outlineLevel="0" collapsed="false">
      <c r="A10" s="22" t="s">
        <v>183</v>
      </c>
      <c r="B10" s="24" t="n">
        <f aca="false" t="array" ref="B10:B10">INDEX(Stock_PT!$B$36:$M$36,1,MES_P)+INDEX(Stock_PT!$B$40:$M$40,1,MES_P)</f>
        <v>22.27019136</v>
      </c>
      <c r="C10" s="21" t="n">
        <f aca="false">B10/DIAS</f>
        <v>1.113509568</v>
      </c>
      <c r="D10" s="20" t="n">
        <f aca="false">Datos!J46</f>
        <v>7</v>
      </c>
      <c r="E10" s="21" t="n">
        <f aca="false">C10/D10</f>
        <v>0.159072795428571</v>
      </c>
      <c r="F10" s="20" t="n">
        <f aca="false">C10*Datos!J45</f>
        <v>67.924083648</v>
      </c>
      <c r="G10" s="20" t="n">
        <f aca="false">Datos!J42</f>
        <v>800</v>
      </c>
      <c r="H10" s="20" t="n">
        <f aca="false">Datos!J43</f>
        <v>750</v>
      </c>
      <c r="I10" s="21" t="n">
        <f aca="false">G10*H10/1000000*F_CIRC</f>
        <v>0.84</v>
      </c>
    </row>
    <row r="11" customFormat="false" ht="15" hidden="false" customHeight="false" outlineLevel="0" collapsed="false">
      <c r="A11" s="22" t="s">
        <v>257</v>
      </c>
      <c r="B11" s="33" t="n">
        <f aca="false">SUM(B7:B10)</f>
        <v>279.65899197</v>
      </c>
      <c r="C11" s="40" t="n">
        <f aca="false">SUM(C7:C10)</f>
        <v>13.9829495985</v>
      </c>
      <c r="E11" s="40" t="n">
        <f aca="false">SUM(E7:E10)</f>
        <v>1.41823048786429</v>
      </c>
      <c r="F11" s="33" t="n">
        <f aca="false">SUM(F7:F10)</f>
        <v>420.1338514445</v>
      </c>
      <c r="I11" s="21" t="n">
        <f aca="false">SUMPRODUCT(C7:C10,I7:I10)/C11</f>
        <v>0.600147070301192</v>
      </c>
      <c r="J11" s="2" t="s">
        <v>348</v>
      </c>
    </row>
    <row r="13" customFormat="false" ht="15" hidden="false" customHeight="false" outlineLevel="0" collapsed="false">
      <c r="A13" s="10" t="s">
        <v>349</v>
      </c>
      <c r="B13" s="31" t="n">
        <f aca="false">SUM(Stock_PT!B33:B40)</f>
        <v>264.12238131</v>
      </c>
      <c r="C13" s="31" t="n">
        <f aca="false">SUM(Stock_PT!C33:C40)</f>
        <v>233.04915998</v>
      </c>
      <c r="D13" s="31" t="n">
        <f aca="false">SUM(Stock_PT!D33:D40)</f>
        <v>279.65899197</v>
      </c>
      <c r="E13" s="31" t="n">
        <f aca="false">SUM(Stock_PT!E33:E40)</f>
        <v>279.65899197</v>
      </c>
      <c r="F13" s="31" t="n">
        <f aca="false">SUM(Stock_PT!F33:F40)</f>
        <v>279.65899197</v>
      </c>
      <c r="G13" s="31" t="n">
        <f aca="false">SUM(Stock_PT!G33:G40)</f>
        <v>248.58577064</v>
      </c>
      <c r="H13" s="31" t="n">
        <f aca="false">SUM(Stock_PT!H33:H40)</f>
        <v>279.65899197</v>
      </c>
      <c r="I13" s="31" t="n">
        <f aca="false">SUM(Stock_PT!I33:I40)</f>
        <v>279.65899197</v>
      </c>
      <c r="J13" s="31" t="n">
        <f aca="false">SUM(Stock_PT!J33:J40)</f>
        <v>264.12238131</v>
      </c>
      <c r="K13" s="31" t="n">
        <f aca="false">SUM(Stock_PT!K33:K40)</f>
        <v>233.04915998</v>
      </c>
      <c r="L13" s="31" t="n">
        <f aca="false">SUM(Stock_PT!L33:L40)</f>
        <v>217.51254931</v>
      </c>
      <c r="M13" s="31" t="n">
        <f aca="false">SUM(Stock_PT!M33:M40)</f>
        <v>248.58577064</v>
      </c>
    </row>
    <row r="14" customFormat="false" ht="15" hidden="false" customHeight="false" outlineLevel="0" collapsed="false">
      <c r="A14" s="10" t="s">
        <v>350</v>
      </c>
      <c r="B14" s="31" t="n">
        <f aca="false">MATCH(MAX(B13:M13),B13:M13,0)</f>
        <v>3</v>
      </c>
      <c r="C14" s="10" t="str">
        <f aca="false" t="array" ref="C14:C14">INDEX({"Ene","Feb","Mar","Abr","May","Jun","Jul","Ago","Sep","Oct","Nov","Dic"},1,B14)</f>
        <v>Mar</v>
      </c>
    </row>
    <row r="16" customFormat="false" ht="15" hidden="false" customHeight="false" outlineLevel="0" collapsed="false">
      <c r="A16" s="4" t="s">
        <v>351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42" hidden="false" customHeight="true" outlineLevel="0" collapsed="false">
      <c r="A17" s="6" t="s">
        <v>352</v>
      </c>
      <c r="B17" s="6" t="s">
        <v>353</v>
      </c>
      <c r="C17" s="6" t="s">
        <v>354</v>
      </c>
      <c r="D17" s="6" t="s">
        <v>355</v>
      </c>
      <c r="E17" s="6" t="s">
        <v>356</v>
      </c>
      <c r="F17" s="6" t="s">
        <v>357</v>
      </c>
      <c r="G17" s="6" t="s">
        <v>358</v>
      </c>
      <c r="H17" s="6" t="s">
        <v>359</v>
      </c>
      <c r="I17" s="6" t="s">
        <v>360</v>
      </c>
      <c r="J17" s="6" t="s">
        <v>361</v>
      </c>
      <c r="K17" s="6" t="s">
        <v>362</v>
      </c>
    </row>
    <row r="18" customFormat="false" ht="15" hidden="false" customHeight="false" outlineLevel="0" collapsed="false">
      <c r="A18" s="41" t="n">
        <v>1</v>
      </c>
      <c r="B18" s="20" t="n">
        <f aca="false">$C$11*A18</f>
        <v>13.9829495985</v>
      </c>
      <c r="C18" s="21" t="n">
        <f aca="false">$E$11*A18</f>
        <v>1.41823048786429</v>
      </c>
      <c r="D18" s="20" t="n">
        <f aca="false">ROUNDUP(C18,0)</f>
        <v>2</v>
      </c>
      <c r="E18" s="42" t="n">
        <f aca="false">C18/D18</f>
        <v>0.709115243932143</v>
      </c>
      <c r="F18" s="24" t="n">
        <f aca="false">D18*5/A18</f>
        <v>10</v>
      </c>
      <c r="G18" s="20" t="n">
        <f aca="false">A18</f>
        <v>1</v>
      </c>
      <c r="H18" s="20" t="n">
        <f aca="false">$C$11*A18</f>
        <v>13.9829495985</v>
      </c>
      <c r="I18" s="20" t="n">
        <f aca="false">$C$11*PLAZO_PINT</f>
        <v>41.9488487955</v>
      </c>
      <c r="J18" s="24" t="n">
        <f aca="false">H18*$I$11</f>
        <v>8.391826235709</v>
      </c>
      <c r="K18" s="22" t="str">
        <f aca="false">IF(A18=DIAS_PINT,"Sí","")</f>
        <v/>
      </c>
    </row>
    <row r="19" customFormat="false" ht="15" hidden="false" customHeight="false" outlineLevel="0" collapsed="false">
      <c r="A19" s="41" t="n">
        <v>2</v>
      </c>
      <c r="B19" s="20" t="n">
        <f aca="false">$C$11*A19</f>
        <v>27.965899197</v>
      </c>
      <c r="C19" s="21" t="n">
        <f aca="false">$E$11*A19</f>
        <v>2.83646097572857</v>
      </c>
      <c r="D19" s="20" t="n">
        <f aca="false">ROUNDUP(C19,0)</f>
        <v>3</v>
      </c>
      <c r="E19" s="42" t="n">
        <f aca="false">C19/D19</f>
        <v>0.945486991909524</v>
      </c>
      <c r="F19" s="24" t="n">
        <f aca="false">D19*5/A19</f>
        <v>7.5</v>
      </c>
      <c r="G19" s="20" t="n">
        <f aca="false">A19</f>
        <v>2</v>
      </c>
      <c r="H19" s="20" t="n">
        <f aca="false">$C$11*A19</f>
        <v>27.965899197</v>
      </c>
      <c r="I19" s="20" t="n">
        <f aca="false">$C$11*PLAZO_PINT</f>
        <v>41.9488487955</v>
      </c>
      <c r="J19" s="24" t="n">
        <f aca="false">H19*$I$11</f>
        <v>16.783652471418</v>
      </c>
      <c r="K19" s="22" t="str">
        <f aca="false">IF(A19=DIAS_PINT,"Sí","")</f>
        <v>Sí</v>
      </c>
    </row>
    <row r="20" customFormat="false" ht="15" hidden="false" customHeight="false" outlineLevel="0" collapsed="false">
      <c r="A20" s="41" t="n">
        <v>3</v>
      </c>
      <c r="B20" s="20" t="n">
        <f aca="false">$C$11*A20</f>
        <v>41.9488487955</v>
      </c>
      <c r="C20" s="21" t="n">
        <f aca="false">$E$11*A20</f>
        <v>4.25469146359286</v>
      </c>
      <c r="D20" s="20" t="n">
        <f aca="false">ROUNDUP(C20,0)</f>
        <v>5</v>
      </c>
      <c r="E20" s="42" t="n">
        <f aca="false">C20/D20</f>
        <v>0.850938292718571</v>
      </c>
      <c r="F20" s="24" t="n">
        <f aca="false">D20*5/A20</f>
        <v>8.33333333333333</v>
      </c>
      <c r="G20" s="20" t="n">
        <f aca="false">A20</f>
        <v>3</v>
      </c>
      <c r="H20" s="20" t="n">
        <f aca="false">$C$11*A20</f>
        <v>41.9488487955</v>
      </c>
      <c r="I20" s="20" t="n">
        <f aca="false">$C$11*PLAZO_PINT</f>
        <v>41.9488487955</v>
      </c>
      <c r="J20" s="24" t="n">
        <f aca="false">H20*$I$11</f>
        <v>25.175478707127</v>
      </c>
      <c r="K20" s="22" t="str">
        <f aca="false">IF(A20=DIAS_PINT,"Sí","")</f>
        <v/>
      </c>
    </row>
    <row r="21" customFormat="false" ht="15.75" hidden="false" customHeight="true" outlineLevel="0" collapsed="false">
      <c r="A21" s="41" t="n">
        <v>5</v>
      </c>
      <c r="B21" s="20" t="n">
        <f aca="false">$C$11*A21</f>
        <v>69.9147479925</v>
      </c>
      <c r="C21" s="21" t="n">
        <f aca="false">$E$11*A21</f>
        <v>7.09115243932143</v>
      </c>
      <c r="D21" s="20" t="n">
        <f aca="false">ROUNDUP(C21,0)</f>
        <v>8</v>
      </c>
      <c r="E21" s="42" t="n">
        <f aca="false">C21/D21</f>
        <v>0.886394054915178</v>
      </c>
      <c r="F21" s="24" t="n">
        <f aca="false">D21*5/A21</f>
        <v>8</v>
      </c>
      <c r="G21" s="20" t="n">
        <f aca="false">A21</f>
        <v>5</v>
      </c>
      <c r="H21" s="20" t="n">
        <f aca="false">$C$11*A21</f>
        <v>69.9147479925</v>
      </c>
      <c r="I21" s="20" t="n">
        <f aca="false">$C$11*PLAZO_PINT</f>
        <v>41.9488487955</v>
      </c>
      <c r="J21" s="24" t="n">
        <f aca="false">H21*$I$11</f>
        <v>41.959131178545</v>
      </c>
      <c r="K21" s="22" t="str">
        <f aca="false">IF(A21=DIAS_PINT,"Sí","")</f>
        <v/>
      </c>
    </row>
    <row r="22" customFormat="false" ht="15.75" hidden="false" customHeight="true" outlineLevel="0" collapsed="false">
      <c r="A22" s="25" t="s">
        <v>363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4" t="s">
        <v>364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42" hidden="false" customHeight="true" outlineLevel="0" collapsed="false">
      <c r="A25" s="6" t="s">
        <v>4</v>
      </c>
      <c r="B25" s="6" t="s">
        <v>39</v>
      </c>
      <c r="C25" s="6" t="s">
        <v>40</v>
      </c>
      <c r="D25" s="6" t="s">
        <v>365</v>
      </c>
    </row>
    <row r="26" customFormat="false" ht="15.75" hidden="false" customHeight="true" outlineLevel="0" collapsed="false">
      <c r="A26" s="7" t="s">
        <v>352</v>
      </c>
      <c r="B26" s="24" t="n">
        <f aca="false">DIAS_PINT</f>
        <v>2</v>
      </c>
      <c r="C26" s="10" t="s">
        <v>44</v>
      </c>
      <c r="D26" s="20" t="n">
        <v>5</v>
      </c>
    </row>
    <row r="27" customFormat="false" ht="15.75" hidden="false" customHeight="true" outlineLevel="0" collapsed="false">
      <c r="A27" s="7" t="s">
        <v>366</v>
      </c>
      <c r="B27" s="35" t="n">
        <f aca="false" t="array" ref="B27:B27">INDEX(D18:D21,MATCH(DIAS_PINT,$A$18:$A$21,0))</f>
        <v>3</v>
      </c>
      <c r="C27" s="10" t="s">
        <v>367</v>
      </c>
    </row>
    <row r="28" customFormat="false" ht="15.75" hidden="false" customHeight="true" outlineLevel="0" collapsed="false">
      <c r="A28" s="7" t="s">
        <v>368</v>
      </c>
      <c r="B28" s="35" t="n">
        <f aca="false" t="array" ref="B28:B28">INDEX(F18:F21,MATCH(DIAS_PINT,$A$18:$A$21,0))</f>
        <v>7.5</v>
      </c>
      <c r="C28" s="10" t="s">
        <v>367</v>
      </c>
    </row>
    <row r="29" customFormat="false" ht="15.75" hidden="false" customHeight="true" outlineLevel="0" collapsed="false">
      <c r="A29" s="7" t="s">
        <v>369</v>
      </c>
      <c r="B29" s="24" t="n">
        <f aca="false">Datos!B78</f>
        <v>29</v>
      </c>
      <c r="C29" s="10" t="s">
        <v>81</v>
      </c>
      <c r="D29" s="20" t="n">
        <f aca="false">Datos!B61</f>
        <v>66.03</v>
      </c>
    </row>
    <row r="30" customFormat="false" ht="15.75" hidden="false" customHeight="true" outlineLevel="0" collapsed="false">
      <c r="A30" s="7" t="s">
        <v>360</v>
      </c>
      <c r="B30" s="24" t="n">
        <f aca="false">Datos!B79</f>
        <v>41</v>
      </c>
      <c r="C30" s="10" t="s">
        <v>81</v>
      </c>
      <c r="D30" s="20" t="n">
        <f aca="false">Datos!B62</f>
        <v>39.62</v>
      </c>
    </row>
    <row r="31" customFormat="false" ht="15.75" hidden="false" customHeight="true" outlineLevel="0" collapsed="false">
      <c r="A31" s="7" t="s">
        <v>370</v>
      </c>
      <c r="B31" s="24" t="n">
        <f aca="false">Datos!B80</f>
        <v>29</v>
      </c>
      <c r="C31" s="10" t="s">
        <v>81</v>
      </c>
      <c r="D31" s="20" t="n">
        <f aca="false">Datos!B63</f>
        <v>26.41</v>
      </c>
    </row>
    <row r="32" customFormat="false" ht="15.75" hidden="false" customHeight="true" outlineLevel="0" collapsed="false">
      <c r="A32" s="7" t="s">
        <v>371</v>
      </c>
      <c r="B32" s="35" t="n">
        <f aca="false">B29+B30+B31</f>
        <v>99</v>
      </c>
      <c r="C32" s="10" t="s">
        <v>81</v>
      </c>
      <c r="D32" s="20" t="n">
        <f aca="false">SUM(D29:D31)</f>
        <v>132.06</v>
      </c>
    </row>
    <row r="33" customFormat="false" ht="15.75" hidden="false" customHeight="true" outlineLevel="0" collapsed="false">
      <c r="A33" s="7" t="s">
        <v>372</v>
      </c>
      <c r="B33" s="24" t="n">
        <f aca="false">Datos!B81</f>
        <v>17.71</v>
      </c>
      <c r="C33" s="10" t="s">
        <v>280</v>
      </c>
    </row>
    <row r="34" customFormat="false" ht="15.75" hidden="false" customHeight="true" outlineLevel="0" collapsed="false">
      <c r="A34" s="7" t="s">
        <v>373</v>
      </c>
      <c r="B34" s="24" t="n">
        <f aca="false">Datos!B82</f>
        <v>17.71</v>
      </c>
      <c r="C34" s="10" t="s">
        <v>280</v>
      </c>
    </row>
    <row r="35" customFormat="false" ht="15.75" hidden="false" customHeight="true" outlineLevel="0" collapsed="false"/>
    <row r="36" customFormat="false" ht="15.75" hidden="false" customHeight="true" outlineLevel="0" collapsed="false">
      <c r="A36" s="25" t="s">
        <v>374</v>
      </c>
    </row>
    <row r="37" customFormat="false" ht="15.75" hidden="false" customHeight="true" outlineLevel="0" collapsed="false">
      <c r="A37" s="25" t="s">
        <v>375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0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" t="s">
        <v>376</v>
      </c>
    </row>
    <row r="2" customFormat="false" ht="15" hidden="false" customHeight="false" outlineLevel="0" collapsed="false">
      <c r="A2" s="2" t="s">
        <v>377</v>
      </c>
    </row>
    <row r="3" customFormat="false" ht="15" hidden="false" customHeight="false" outlineLevel="0" collapsed="false">
      <c r="A3" s="3" t="s">
        <v>378</v>
      </c>
    </row>
    <row r="5" customFormat="false" ht="15" hidden="false" customHeight="false" outlineLevel="0" collapsed="false">
      <c r="A5" s="4" t="s">
        <v>379</v>
      </c>
      <c r="B5" s="5"/>
      <c r="C5" s="5"/>
      <c r="D5" s="5"/>
    </row>
    <row r="6" customFormat="false" ht="42" hidden="false" customHeight="true" outlineLevel="0" collapsed="false">
      <c r="A6" s="6" t="s">
        <v>380</v>
      </c>
      <c r="B6" s="6" t="s">
        <v>39</v>
      </c>
      <c r="C6" s="6" t="s">
        <v>40</v>
      </c>
      <c r="D6" s="6" t="s">
        <v>381</v>
      </c>
    </row>
    <row r="7" customFormat="false" ht="27.75" hidden="false" customHeight="true" outlineLevel="0" collapsed="false">
      <c r="A7" s="7" t="s">
        <v>382</v>
      </c>
      <c r="B7" s="18" t="n">
        <v>250</v>
      </c>
      <c r="C7" s="10" t="s">
        <v>66</v>
      </c>
      <c r="D7" s="16" t="s">
        <v>383</v>
      </c>
    </row>
    <row r="8" customFormat="false" ht="27.75" hidden="false" customHeight="true" outlineLevel="0" collapsed="false">
      <c r="A8" s="7" t="s">
        <v>384</v>
      </c>
      <c r="B8" s="18" t="s">
        <v>385</v>
      </c>
      <c r="C8" s="10" t="s">
        <v>58</v>
      </c>
      <c r="D8" s="16" t="s">
        <v>386</v>
      </c>
    </row>
    <row r="9" customFormat="false" ht="27.75" hidden="false" customHeight="true" outlineLevel="0" collapsed="false">
      <c r="A9" s="7" t="s">
        <v>387</v>
      </c>
      <c r="B9" s="18" t="s">
        <v>388</v>
      </c>
      <c r="C9" s="10" t="s">
        <v>58</v>
      </c>
      <c r="D9" s="16" t="s">
        <v>389</v>
      </c>
    </row>
    <row r="10" customFormat="false" ht="27.75" hidden="false" customHeight="true" outlineLevel="0" collapsed="false">
      <c r="A10" s="7" t="s">
        <v>390</v>
      </c>
      <c r="B10" s="18" t="s">
        <v>391</v>
      </c>
      <c r="C10" s="10" t="s">
        <v>58</v>
      </c>
      <c r="D10" s="16" t="s">
        <v>392</v>
      </c>
    </row>
    <row r="11" customFormat="false" ht="27.75" hidden="false" customHeight="true" outlineLevel="0" collapsed="false">
      <c r="A11" s="7" t="s">
        <v>393</v>
      </c>
      <c r="B11" s="18" t="s">
        <v>394</v>
      </c>
      <c r="C11" s="10" t="s">
        <v>58</v>
      </c>
      <c r="D11" s="16" t="s">
        <v>395</v>
      </c>
    </row>
    <row r="12" customFormat="false" ht="27.75" hidden="false" customHeight="true" outlineLevel="0" collapsed="false">
      <c r="A12" s="7" t="s">
        <v>396</v>
      </c>
      <c r="B12" s="18" t="n">
        <v>650</v>
      </c>
      <c r="C12" s="10" t="s">
        <v>58</v>
      </c>
      <c r="D12" s="16" t="s">
        <v>397</v>
      </c>
    </row>
    <row r="13" customFormat="false" ht="27.75" hidden="false" customHeight="true" outlineLevel="0" collapsed="false">
      <c r="A13" s="7" t="s">
        <v>398</v>
      </c>
      <c r="B13" s="18" t="n">
        <v>700</v>
      </c>
      <c r="C13" s="10" t="s">
        <v>58</v>
      </c>
      <c r="D13" s="16"/>
    </row>
    <row r="14" customFormat="false" ht="27.75" hidden="false" customHeight="true" outlineLevel="0" collapsed="false">
      <c r="A14" s="7" t="s">
        <v>399</v>
      </c>
      <c r="B14" s="18" t="n">
        <v>1300</v>
      </c>
      <c r="C14" s="10" t="s">
        <v>58</v>
      </c>
      <c r="D14" s="16" t="s">
        <v>400</v>
      </c>
    </row>
    <row r="15" customFormat="false" ht="27.75" hidden="false" customHeight="true" outlineLevel="0" collapsed="false">
      <c r="A15" s="7" t="s">
        <v>401</v>
      </c>
      <c r="B15" s="18" t="s">
        <v>402</v>
      </c>
      <c r="C15" s="10"/>
      <c r="D15" s="16" t="s">
        <v>403</v>
      </c>
    </row>
    <row r="16" customFormat="false" ht="27.75" hidden="false" customHeight="true" outlineLevel="0" collapsed="false">
      <c r="A16" s="7" t="s">
        <v>404</v>
      </c>
      <c r="B16" s="18" t="n">
        <v>25</v>
      </c>
      <c r="C16" s="10" t="s">
        <v>66</v>
      </c>
      <c r="D16" s="16" t="s">
        <v>405</v>
      </c>
    </row>
    <row r="18" customFormat="false" ht="15" hidden="false" customHeight="false" outlineLevel="0" collapsed="false">
      <c r="A18" s="4" t="s">
        <v>406</v>
      </c>
      <c r="B18" s="5"/>
      <c r="C18" s="5"/>
      <c r="D18" s="5"/>
    </row>
    <row r="19" customFormat="false" ht="42" hidden="false" customHeight="true" outlineLevel="0" collapsed="false">
      <c r="A19" s="6" t="s">
        <v>4</v>
      </c>
      <c r="B19" s="6" t="s">
        <v>39</v>
      </c>
      <c r="C19" s="6" t="s">
        <v>40</v>
      </c>
      <c r="D19" s="6" t="s">
        <v>262</v>
      </c>
    </row>
    <row r="20" customFormat="false" ht="15" hidden="false" customHeight="false" outlineLevel="0" collapsed="false">
      <c r="A20" s="7" t="s">
        <v>407</v>
      </c>
      <c r="B20" s="24" t="n">
        <f aca="false">Pintura!C11</f>
        <v>13.9829495985</v>
      </c>
      <c r="C20" s="10" t="s">
        <v>81</v>
      </c>
      <c r="D20" s="10" t="s">
        <v>408</v>
      </c>
    </row>
    <row r="21" customFormat="false" ht="15.75" hidden="false" customHeight="true" outlineLevel="0" collapsed="false">
      <c r="A21" s="7" t="s">
        <v>409</v>
      </c>
      <c r="B21" s="20" t="n">
        <f aca="false">DIAS_DOLLY</f>
        <v>1</v>
      </c>
      <c r="C21" s="10" t="s">
        <v>44</v>
      </c>
      <c r="D21" s="10" t="s">
        <v>410</v>
      </c>
    </row>
    <row r="22" customFormat="false" ht="15.75" hidden="false" customHeight="true" outlineLevel="0" collapsed="false">
      <c r="A22" s="7" t="s">
        <v>411</v>
      </c>
      <c r="B22" s="20" t="n">
        <f aca="false">B20*B21</f>
        <v>13.9829495985</v>
      </c>
      <c r="C22" s="10" t="s">
        <v>81</v>
      </c>
      <c r="D22" s="10" t="s">
        <v>412</v>
      </c>
    </row>
    <row r="23" customFormat="false" ht="15.75" hidden="false" customHeight="true" outlineLevel="0" collapsed="false">
      <c r="A23" s="7" t="s">
        <v>131</v>
      </c>
      <c r="B23" s="24" t="n">
        <f aca="false">B22*RES_DOLLY</f>
        <v>1.39829495985</v>
      </c>
      <c r="C23" s="10" t="s">
        <v>81</v>
      </c>
      <c r="D23" s="10" t="s">
        <v>413</v>
      </c>
    </row>
    <row r="24" customFormat="false" ht="15.75" hidden="false" customHeight="true" outlineLevel="0" collapsed="false">
      <c r="A24" s="7" t="s">
        <v>414</v>
      </c>
      <c r="B24" s="20" t="n">
        <f aca="false">DOLLY_CARGA</f>
        <v>2</v>
      </c>
      <c r="C24" s="10" t="s">
        <v>81</v>
      </c>
      <c r="D24" s="10"/>
    </row>
    <row r="25" customFormat="false" ht="15.75" hidden="false" customHeight="true" outlineLevel="0" collapsed="false">
      <c r="A25" s="22" t="s">
        <v>415</v>
      </c>
      <c r="B25" s="23" t="n">
        <f aca="false">ROUNDUP(B22+B23,0)+B24</f>
        <v>18</v>
      </c>
      <c r="C25" s="10" t="s">
        <v>81</v>
      </c>
      <c r="D25" s="10"/>
    </row>
    <row r="26" customFormat="false" ht="15.75" hidden="false" customHeight="true" outlineLevel="0" collapsed="false">
      <c r="A26" s="7" t="s">
        <v>416</v>
      </c>
      <c r="B26" s="20" t="n">
        <f aca="false">Datos!B60</f>
        <v>177</v>
      </c>
      <c r="C26" s="10" t="s">
        <v>417</v>
      </c>
      <c r="D26" s="10" t="s">
        <v>418</v>
      </c>
    </row>
    <row r="27" customFormat="false" ht="15.75" hidden="false" customHeight="true" outlineLevel="0" collapsed="false">
      <c r="A27" s="7" t="s">
        <v>419</v>
      </c>
      <c r="B27" s="24" t="n">
        <f aca="false">B25*DOLLY_L*DOLLY_A*F_CIRC</f>
        <v>11.466</v>
      </c>
      <c r="C27" s="10" t="s">
        <v>280</v>
      </c>
      <c r="D27" s="10" t="s">
        <v>420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60"/>
    <col collapsed="false" customWidth="true" hidden="false" outlineLevel="0" max="26" min="8" style="0" width="8.71"/>
  </cols>
  <sheetData>
    <row r="1" customFormat="false" ht="15" hidden="false" customHeight="false" outlineLevel="0" collapsed="false">
      <c r="A1" s="1" t="s">
        <v>421</v>
      </c>
    </row>
    <row r="2" customFormat="false" ht="15" hidden="false" customHeight="false" outlineLevel="0" collapsed="false">
      <c r="A2" s="2" t="s">
        <v>422</v>
      </c>
    </row>
    <row r="3" customFormat="false" ht="15" hidden="false" customHeight="false" outlineLevel="0" collapsed="false">
      <c r="A3" s="3" t="s">
        <v>423</v>
      </c>
    </row>
    <row r="5" customFormat="false" ht="42" hidden="false" customHeight="true" outlineLevel="0" collapsed="false">
      <c r="A5" s="6" t="s">
        <v>424</v>
      </c>
      <c r="B5" s="6" t="s">
        <v>425</v>
      </c>
      <c r="C5" s="6" t="s">
        <v>426</v>
      </c>
      <c r="D5" s="6" t="s">
        <v>427</v>
      </c>
      <c r="E5" s="6" t="s">
        <v>428</v>
      </c>
      <c r="F5" s="6" t="s">
        <v>429</v>
      </c>
      <c r="G5" s="6" t="s">
        <v>430</v>
      </c>
    </row>
    <row r="6" customFormat="false" ht="15" hidden="false" customHeight="false" outlineLevel="0" collapsed="false">
      <c r="A6" s="10" t="s">
        <v>431</v>
      </c>
      <c r="B6" s="10" t="s">
        <v>432</v>
      </c>
      <c r="C6" s="10" t="s">
        <v>433</v>
      </c>
      <c r="D6" s="31" t="n">
        <f aca="false">IF(Almacen_PT!B15&gt;0,1,0)</f>
        <v>1</v>
      </c>
      <c r="E6" s="43" t="n">
        <f aca="false">IF(IFERROR(VLOOKUP(C6,PRECIOS,3,FALSE()),0)=0,"a cotizar",VLOOKUP(C6,PRECIOS,3,FALSE()))</f>
        <v>856540</v>
      </c>
      <c r="F6" s="43" t="n">
        <f aca="false">IF(ISNUMBER(E6),D6*E6,0)</f>
        <v>856540</v>
      </c>
      <c r="G6" s="10" t="s">
        <v>434</v>
      </c>
    </row>
    <row r="7" customFormat="false" ht="15" hidden="false" customHeight="false" outlineLevel="0" collapsed="false">
      <c r="A7" s="10" t="s">
        <v>435</v>
      </c>
      <c r="B7" s="10" t="s">
        <v>436</v>
      </c>
      <c r="C7" s="10" t="s">
        <v>437</v>
      </c>
      <c r="D7" s="31" t="n">
        <f aca="false">MAX(0,Almacen_PT!B15-1)</f>
        <v>14</v>
      </c>
      <c r="E7" s="43" t="n">
        <f aca="false">IF(IFERROR(VLOOKUP(C7,PRECIOS,3,FALSE()),0)=0,"a cotizar",VLOOKUP(C7,PRECIOS,3,FALSE()))</f>
        <v>655590</v>
      </c>
      <c r="F7" s="43" t="n">
        <f aca="false">IF(ISNUMBER(E7),D7*E7,0)</f>
        <v>9178260</v>
      </c>
      <c r="G7" s="10" t="s">
        <v>438</v>
      </c>
    </row>
    <row r="8" customFormat="false" ht="15" hidden="false" customHeight="false" outlineLevel="0" collapsed="false">
      <c r="A8" s="10" t="s">
        <v>439</v>
      </c>
      <c r="B8" s="10" t="s">
        <v>440</v>
      </c>
      <c r="C8" s="10" t="s">
        <v>441</v>
      </c>
      <c r="D8" s="31" t="n">
        <f aca="false">IF(Almacen_PT!B11&gt;ELEV_STD,1,0)</f>
        <v>1</v>
      </c>
      <c r="E8" s="43" t="str">
        <f aca="false">IF(IFERROR(VLOOKUP(C8,PRECIOS,3,FALSE()),0)=0,"a cotizar",VLOOKUP(C8,PRECIOS,3,FALSE()))</f>
        <v>a cotizar</v>
      </c>
      <c r="F8" s="43" t="n">
        <f aca="false">IF(ISNUMBER(E8),D8*E8,0)</f>
        <v>0</v>
      </c>
      <c r="G8" s="10" t="s">
        <v>442</v>
      </c>
    </row>
    <row r="9" customFormat="false" ht="15" hidden="false" customHeight="false" outlineLevel="0" collapsed="false">
      <c r="A9" s="10" t="s">
        <v>443</v>
      </c>
      <c r="B9" s="10" t="s">
        <v>444</v>
      </c>
      <c r="C9" s="10" t="s">
        <v>445</v>
      </c>
      <c r="D9" s="31" t="n">
        <f aca="false">Carro_manip!B25</f>
        <v>18</v>
      </c>
      <c r="E9" s="43" t="str">
        <f aca="false">IF(IFERROR(VLOOKUP(C9,PRECIOS,3,FALSE()),0)=0,"a cotizar",VLOOKUP(C9,PRECIOS,3,FALSE()))</f>
        <v>a cotizar</v>
      </c>
      <c r="F9" s="43" t="n">
        <f aca="false">IF(ISNUMBER(E9),D9*E9,0)</f>
        <v>0</v>
      </c>
      <c r="G9" s="10" t="s">
        <v>446</v>
      </c>
    </row>
    <row r="10" customFormat="false" ht="15" hidden="false" customHeight="false" outlineLevel="0" collapsed="false">
      <c r="A10" s="10" t="s">
        <v>447</v>
      </c>
      <c r="B10" s="10" t="s">
        <v>448</v>
      </c>
      <c r="C10" s="10" t="s">
        <v>449</v>
      </c>
      <c r="D10" s="31" t="n">
        <f aca="false">CINTAS_MASTER*Despacho!G29</f>
        <v>8</v>
      </c>
      <c r="E10" s="43" t="str">
        <f aca="false">IF(IFERROR(VLOOKUP(C10,PRECIOS,3,FALSE()),0)=0,"a cotizar",VLOOKUP(C10,PRECIOS,3,FALSE()))</f>
        <v>a cotizar</v>
      </c>
      <c r="F10" s="43" t="n">
        <f aca="false">IF(ISNUMBER(E10),D10*E10,0)</f>
        <v>0</v>
      </c>
      <c r="G10" s="10" t="s">
        <v>450</v>
      </c>
    </row>
    <row r="11" customFormat="false" ht="15" hidden="false" customHeight="false" outlineLevel="0" collapsed="false">
      <c r="A11" s="10" t="s">
        <v>451</v>
      </c>
      <c r="B11" s="10" t="s">
        <v>452</v>
      </c>
      <c r="C11" s="10" t="s">
        <v>453</v>
      </c>
      <c r="D11" s="31" t="n">
        <f aca="false">ROUNDUP(Pintura!B29,0)</f>
        <v>29</v>
      </c>
      <c r="E11" s="43" t="str">
        <f aca="false">IF(IFERROR(VLOOKUP(C11,PRECIOS,3,FALSE()),0)=0,"a cotizar",VLOOKUP(C11,PRECIOS,3,FALSE()))</f>
        <v>a cotizar</v>
      </c>
      <c r="F11" s="43" t="n">
        <f aca="false">IF(ISNUMBER(E11),D11*E11,0)</f>
        <v>0</v>
      </c>
      <c r="G11" s="10" t="s">
        <v>454</v>
      </c>
    </row>
    <row r="12" customFormat="false" ht="15" hidden="false" customHeight="false" outlineLevel="0" collapsed="false">
      <c r="A12" s="10" t="s">
        <v>455</v>
      </c>
      <c r="B12" s="10" t="s">
        <v>456</v>
      </c>
      <c r="C12" s="10" t="s">
        <v>457</v>
      </c>
      <c r="D12" s="31" t="n">
        <v>4</v>
      </c>
      <c r="E12" s="43" t="n">
        <f aca="false">IF(IFERROR(VLOOKUP(C12,PRECIOS,3,FALSE()),0)=0,"a cotizar",VLOOKUP(C12,PRECIOS,3,FALSE()))</f>
        <v>13384</v>
      </c>
      <c r="F12" s="43" t="n">
        <f aca="false">IF(ISNUMBER(E12),D12*E12,0)</f>
        <v>53536</v>
      </c>
      <c r="G12" s="10" t="s">
        <v>458</v>
      </c>
    </row>
    <row r="13" customFormat="false" ht="15" hidden="false" customHeight="false" outlineLevel="0" collapsed="false">
      <c r="A13" s="22" t="s">
        <v>459</v>
      </c>
      <c r="F13" s="14" t="n">
        <f aca="false">SUM(F6:F12)</f>
        <v>10088336</v>
      </c>
    </row>
    <row r="15" customFormat="false" ht="15" hidden="false" customHeight="false" outlineLevel="0" collapsed="false">
      <c r="A15" s="25" t="s">
        <v>460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15" min="4" style="0" width="9"/>
    <col collapsed="false" customWidth="true" hidden="false" outlineLevel="0" max="16" min="16" style="0" width="10"/>
    <col collapsed="false" customWidth="true" hidden="false" outlineLevel="0" max="26" min="17" style="0" width="8.71"/>
  </cols>
  <sheetData>
    <row r="1" customFormat="false" ht="15" hidden="false" customHeight="false" outlineLevel="0" collapsed="false">
      <c r="A1" s="1" t="s">
        <v>461</v>
      </c>
    </row>
    <row r="2" customFormat="false" ht="15" hidden="false" customHeight="false" outlineLevel="0" collapsed="false">
      <c r="A2" s="2" t="s">
        <v>462</v>
      </c>
    </row>
    <row r="3" customFormat="false" ht="15" hidden="false" customHeight="false" outlineLevel="0" collapsed="false">
      <c r="A3" s="3" t="s">
        <v>463</v>
      </c>
    </row>
    <row r="4" customFormat="false" ht="15" hidden="false" customHeight="false" outlineLevel="0" collapsed="false"/>
    <row r="5" customFormat="false" ht="15" hidden="false" customHeight="false" outlineLevel="0" collapsed="false">
      <c r="A5" s="4" t="s">
        <v>464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42" hidden="false" customHeight="true" outlineLevel="0" collapsed="false">
      <c r="A6" s="6" t="s">
        <v>232</v>
      </c>
      <c r="B6" s="6" t="s">
        <v>252</v>
      </c>
      <c r="C6" s="6" t="s">
        <v>282</v>
      </c>
      <c r="D6" s="6" t="s">
        <v>200</v>
      </c>
      <c r="E6" s="6" t="s">
        <v>201</v>
      </c>
      <c r="F6" s="6" t="s">
        <v>202</v>
      </c>
      <c r="G6" s="6" t="s">
        <v>203</v>
      </c>
      <c r="H6" s="6" t="s">
        <v>204</v>
      </c>
      <c r="I6" s="6" t="s">
        <v>205</v>
      </c>
      <c r="J6" s="6" t="s">
        <v>206</v>
      </c>
      <c r="K6" s="6" t="s">
        <v>207</v>
      </c>
      <c r="L6" s="6" t="s">
        <v>208</v>
      </c>
      <c r="M6" s="6" t="s">
        <v>209</v>
      </c>
      <c r="N6" s="6" t="s">
        <v>210</v>
      </c>
      <c r="O6" s="6" t="s">
        <v>211</v>
      </c>
      <c r="P6" s="6" t="s">
        <v>212</v>
      </c>
    </row>
    <row r="7" customFormat="false" ht="15" hidden="false" customHeight="false" outlineLevel="0" collapsed="false">
      <c r="A7" s="10" t="s">
        <v>213</v>
      </c>
      <c r="B7" s="10" t="s">
        <v>254</v>
      </c>
      <c r="C7" s="10" t="s">
        <v>163</v>
      </c>
      <c r="D7" s="44" t="n">
        <v>3848.716696</v>
      </c>
      <c r="E7" s="44" t="n">
        <v>2886.537522</v>
      </c>
      <c r="F7" s="44" t="n">
        <v>2565.811131</v>
      </c>
      <c r="G7" s="44" t="n">
        <v>2405.447935</v>
      </c>
      <c r="H7" s="44" t="n">
        <v>2245.084739</v>
      </c>
      <c r="I7" s="44" t="n">
        <v>2245.084739</v>
      </c>
      <c r="J7" s="44" t="n">
        <v>2405.447935</v>
      </c>
      <c r="K7" s="44" t="n">
        <v>2405.447935</v>
      </c>
      <c r="L7" s="44" t="n">
        <v>2405.447935</v>
      </c>
      <c r="M7" s="44" t="n">
        <v>2405.447935</v>
      </c>
      <c r="N7" s="44" t="n">
        <v>2405.447935</v>
      </c>
      <c r="O7" s="44" t="n">
        <v>3848.716696</v>
      </c>
      <c r="P7" s="27" t="n">
        <f aca="false">SUM(D7:O7)</f>
        <v>32072.639133</v>
      </c>
    </row>
    <row r="8" customFormat="false" ht="15" hidden="false" customHeight="false" outlineLevel="0" collapsed="false">
      <c r="A8" s="10" t="s">
        <v>214</v>
      </c>
      <c r="B8" s="10" t="s">
        <v>254</v>
      </c>
      <c r="C8" s="10" t="s">
        <v>164</v>
      </c>
      <c r="D8" s="44" t="n">
        <v>743.6458444</v>
      </c>
      <c r="E8" s="44" t="n">
        <v>594.9166755</v>
      </c>
      <c r="F8" s="44" t="n">
        <v>632.0989678</v>
      </c>
      <c r="G8" s="44" t="n">
        <v>632.0989678</v>
      </c>
      <c r="H8" s="44" t="n">
        <v>594.9166755</v>
      </c>
      <c r="I8" s="44" t="n">
        <v>557.7343833</v>
      </c>
      <c r="J8" s="44" t="n">
        <v>594.9166755</v>
      </c>
      <c r="K8" s="44" t="n">
        <v>594.9166755</v>
      </c>
      <c r="L8" s="44" t="n">
        <v>594.9166755</v>
      </c>
      <c r="M8" s="44" t="n">
        <v>557.7343833</v>
      </c>
      <c r="N8" s="44" t="n">
        <v>520.5520911</v>
      </c>
      <c r="O8" s="44" t="n">
        <v>818.0104289</v>
      </c>
      <c r="P8" s="27" t="n">
        <f aca="false">SUM(D8:O8)</f>
        <v>7436.4584441</v>
      </c>
    </row>
    <row r="9" customFormat="false" ht="15" hidden="false" customHeight="false" outlineLevel="0" collapsed="false">
      <c r="A9" s="10" t="s">
        <v>215</v>
      </c>
      <c r="B9" s="10" t="s">
        <v>254</v>
      </c>
      <c r="C9" s="10" t="s">
        <v>165</v>
      </c>
      <c r="D9" s="44" t="n">
        <v>3081.497872</v>
      </c>
      <c r="E9" s="44" t="n">
        <v>2465.198298</v>
      </c>
      <c r="F9" s="44" t="n">
        <v>2619.273191</v>
      </c>
      <c r="G9" s="44" t="n">
        <v>2619.273191</v>
      </c>
      <c r="H9" s="44" t="n">
        <v>2465.198298</v>
      </c>
      <c r="I9" s="44" t="n">
        <v>2311.123404</v>
      </c>
      <c r="J9" s="44" t="n">
        <v>2465.198298</v>
      </c>
      <c r="K9" s="44" t="n">
        <v>2465.198298</v>
      </c>
      <c r="L9" s="44" t="n">
        <v>2465.198298</v>
      </c>
      <c r="M9" s="44" t="n">
        <v>2311.123404</v>
      </c>
      <c r="N9" s="44" t="n">
        <v>2157.04851</v>
      </c>
      <c r="O9" s="44" t="n">
        <v>3389.647659</v>
      </c>
      <c r="P9" s="27" t="n">
        <f aca="false">SUM(D9:O9)</f>
        <v>30814.978721</v>
      </c>
    </row>
    <row r="10" customFormat="false" ht="15" hidden="false" customHeight="false" outlineLevel="0" collapsed="false">
      <c r="A10" s="10" t="s">
        <v>216</v>
      </c>
      <c r="B10" s="10" t="s">
        <v>254</v>
      </c>
      <c r="C10" s="10" t="s">
        <v>166</v>
      </c>
      <c r="D10" s="44" t="n">
        <v>184.4928079</v>
      </c>
      <c r="E10" s="44" t="n">
        <v>147.5942463</v>
      </c>
      <c r="F10" s="44" t="n">
        <v>156.8188867</v>
      </c>
      <c r="G10" s="44" t="n">
        <v>156.8188867</v>
      </c>
      <c r="H10" s="44" t="n">
        <v>147.5942463</v>
      </c>
      <c r="I10" s="44" t="n">
        <v>138.3696059</v>
      </c>
      <c r="J10" s="44" t="n">
        <v>147.5942463</v>
      </c>
      <c r="K10" s="44" t="n">
        <v>147.5942463</v>
      </c>
      <c r="L10" s="44" t="n">
        <v>147.5942463</v>
      </c>
      <c r="M10" s="44" t="n">
        <v>138.3696059</v>
      </c>
      <c r="N10" s="44" t="n">
        <v>129.1449655</v>
      </c>
      <c r="O10" s="44" t="n">
        <v>202.9420886</v>
      </c>
      <c r="P10" s="27" t="n">
        <f aca="false">SUM(D10:O10)</f>
        <v>1844.9280787</v>
      </c>
    </row>
    <row r="11" customFormat="false" ht="15" hidden="false" customHeight="false" outlineLevel="0" collapsed="false">
      <c r="A11" s="10" t="s">
        <v>217</v>
      </c>
      <c r="B11" s="10" t="s">
        <v>255</v>
      </c>
      <c r="C11" s="10" t="s">
        <v>163</v>
      </c>
      <c r="D11" s="44" t="n">
        <v>20465.76</v>
      </c>
      <c r="E11" s="44" t="n">
        <v>15349.32</v>
      </c>
      <c r="F11" s="44" t="n">
        <v>13643.84</v>
      </c>
      <c r="G11" s="44" t="n">
        <v>12791.1</v>
      </c>
      <c r="H11" s="44" t="n">
        <v>11938.36</v>
      </c>
      <c r="I11" s="44" t="n">
        <v>11938.36</v>
      </c>
      <c r="J11" s="44" t="n">
        <v>12791.1</v>
      </c>
      <c r="K11" s="44" t="n">
        <v>12791.1</v>
      </c>
      <c r="L11" s="44" t="n">
        <v>12791.1</v>
      </c>
      <c r="M11" s="44" t="n">
        <v>12791.1</v>
      </c>
      <c r="N11" s="44" t="n">
        <v>12791.1</v>
      </c>
      <c r="O11" s="44" t="n">
        <v>20465.76</v>
      </c>
      <c r="P11" s="27" t="n">
        <f aca="false">SUM(D11:O11)</f>
        <v>170548</v>
      </c>
    </row>
    <row r="12" customFormat="false" ht="15" hidden="false" customHeight="false" outlineLevel="0" collapsed="false">
      <c r="A12" s="10" t="s">
        <v>218</v>
      </c>
      <c r="B12" s="10" t="s">
        <v>255</v>
      </c>
      <c r="C12" s="10" t="s">
        <v>164</v>
      </c>
      <c r="D12" s="44" t="n">
        <v>668.988</v>
      </c>
      <c r="E12" s="44" t="n">
        <v>535.1904</v>
      </c>
      <c r="F12" s="44" t="n">
        <v>568.6398</v>
      </c>
      <c r="G12" s="44" t="n">
        <v>568.6398</v>
      </c>
      <c r="H12" s="44" t="n">
        <v>535.1904</v>
      </c>
      <c r="I12" s="44" t="n">
        <v>501.741</v>
      </c>
      <c r="J12" s="44" t="n">
        <v>535.1904</v>
      </c>
      <c r="K12" s="44" t="n">
        <v>535.1904</v>
      </c>
      <c r="L12" s="44" t="n">
        <v>535.1904</v>
      </c>
      <c r="M12" s="44" t="n">
        <v>501.741</v>
      </c>
      <c r="N12" s="44" t="n">
        <v>468.2916</v>
      </c>
      <c r="O12" s="44" t="n">
        <v>735.8868</v>
      </c>
      <c r="P12" s="27" t="n">
        <f aca="false">SUM(D12:O12)</f>
        <v>6689.88</v>
      </c>
    </row>
    <row r="13" customFormat="false" ht="15" hidden="false" customHeight="false" outlineLevel="0" collapsed="false">
      <c r="A13" s="10" t="s">
        <v>219</v>
      </c>
      <c r="B13" s="10" t="s">
        <v>255</v>
      </c>
      <c r="C13" s="10" t="s">
        <v>165</v>
      </c>
      <c r="D13" s="44" t="n">
        <v>3303.768</v>
      </c>
      <c r="E13" s="44" t="n">
        <v>2643.0144</v>
      </c>
      <c r="F13" s="44" t="n">
        <v>2808.2028</v>
      </c>
      <c r="G13" s="44" t="n">
        <v>2808.2028</v>
      </c>
      <c r="H13" s="44" t="n">
        <v>2643.0144</v>
      </c>
      <c r="I13" s="44" t="n">
        <v>2477.826</v>
      </c>
      <c r="J13" s="44" t="n">
        <v>2643.0144</v>
      </c>
      <c r="K13" s="44" t="n">
        <v>2643.0144</v>
      </c>
      <c r="L13" s="44" t="n">
        <v>2643.0144</v>
      </c>
      <c r="M13" s="44" t="n">
        <v>2477.826</v>
      </c>
      <c r="N13" s="44" t="n">
        <v>2312.6376</v>
      </c>
      <c r="O13" s="44" t="n">
        <v>3634.1448</v>
      </c>
      <c r="P13" s="27" t="n">
        <f aca="false">SUM(D13:O13)</f>
        <v>33037.68</v>
      </c>
    </row>
    <row r="14" customFormat="false" ht="15" hidden="false" customHeight="false" outlineLevel="0" collapsed="false">
      <c r="A14" s="10" t="s">
        <v>220</v>
      </c>
      <c r="B14" s="10" t="s">
        <v>255</v>
      </c>
      <c r="C14" s="10" t="s">
        <v>166</v>
      </c>
      <c r="D14" s="44" t="n">
        <v>201.8</v>
      </c>
      <c r="E14" s="44" t="n">
        <v>161.44</v>
      </c>
      <c r="F14" s="44" t="n">
        <v>171.53</v>
      </c>
      <c r="G14" s="44" t="n">
        <v>171.53</v>
      </c>
      <c r="H14" s="44" t="n">
        <v>161.44</v>
      </c>
      <c r="I14" s="44" t="n">
        <v>151.35</v>
      </c>
      <c r="J14" s="44" t="n">
        <v>161.44</v>
      </c>
      <c r="K14" s="44" t="n">
        <v>161.44</v>
      </c>
      <c r="L14" s="44" t="n">
        <v>161.44</v>
      </c>
      <c r="M14" s="44" t="n">
        <v>151.35</v>
      </c>
      <c r="N14" s="44" t="n">
        <v>141.26</v>
      </c>
      <c r="O14" s="44" t="n">
        <v>221.98</v>
      </c>
      <c r="P14" s="27" t="n">
        <f aca="false">SUM(D14:O14)</f>
        <v>2018</v>
      </c>
    </row>
    <row r="15" customFormat="false" ht="15" hidden="false" customHeight="false" outlineLevel="0" collapsed="false">
      <c r="A15" s="10" t="s">
        <v>221</v>
      </c>
      <c r="B15" s="10" t="s">
        <v>465</v>
      </c>
      <c r="C15" s="10" t="s">
        <v>180</v>
      </c>
      <c r="D15" s="44" t="n">
        <v>38.56199533</v>
      </c>
      <c r="E15" s="44" t="n">
        <v>34.02528999</v>
      </c>
      <c r="F15" s="44" t="n">
        <v>40.83034799</v>
      </c>
      <c r="G15" s="44" t="n">
        <v>40.83034799</v>
      </c>
      <c r="H15" s="44" t="n">
        <v>40.83034799</v>
      </c>
      <c r="I15" s="44" t="n">
        <v>36.29364266</v>
      </c>
      <c r="J15" s="44" t="n">
        <v>40.83034799</v>
      </c>
      <c r="K15" s="44" t="n">
        <v>40.83034799</v>
      </c>
      <c r="L15" s="44" t="n">
        <v>38.56199533</v>
      </c>
      <c r="M15" s="44" t="n">
        <v>34.02528999</v>
      </c>
      <c r="N15" s="44" t="n">
        <v>31.75693733</v>
      </c>
      <c r="O15" s="44" t="n">
        <v>36.29364266</v>
      </c>
      <c r="P15" s="27" t="n">
        <f aca="false">SUM(D15:O15)</f>
        <v>453.67053324</v>
      </c>
    </row>
    <row r="16" customFormat="false" ht="15" hidden="false" customHeight="false" outlineLevel="0" collapsed="false">
      <c r="A16" s="10" t="s">
        <v>222</v>
      </c>
      <c r="B16" s="10" t="s">
        <v>465</v>
      </c>
      <c r="C16" s="10" t="s">
        <v>181</v>
      </c>
      <c r="D16" s="44" t="n">
        <v>84.82958972</v>
      </c>
      <c r="E16" s="44" t="n">
        <v>74.84963799</v>
      </c>
      <c r="F16" s="44" t="n">
        <v>89.81956558</v>
      </c>
      <c r="G16" s="44" t="n">
        <v>89.81956558</v>
      </c>
      <c r="H16" s="44" t="n">
        <v>89.81956558</v>
      </c>
      <c r="I16" s="44" t="n">
        <v>79.83961385</v>
      </c>
      <c r="J16" s="44" t="n">
        <v>89.81956558</v>
      </c>
      <c r="K16" s="44" t="n">
        <v>89.81956558</v>
      </c>
      <c r="L16" s="44" t="n">
        <v>84.82958972</v>
      </c>
      <c r="M16" s="44" t="n">
        <v>74.84963799</v>
      </c>
      <c r="N16" s="44" t="n">
        <v>69.85966212</v>
      </c>
      <c r="O16" s="44" t="n">
        <v>79.83961385</v>
      </c>
      <c r="P16" s="27" t="n">
        <f aca="false">SUM(D16:O16)</f>
        <v>997.99517314</v>
      </c>
    </row>
    <row r="17" customFormat="false" ht="15" hidden="false" customHeight="false" outlineLevel="0" collapsed="false">
      <c r="A17" s="10" t="s">
        <v>223</v>
      </c>
      <c r="B17" s="10" t="s">
        <v>465</v>
      </c>
      <c r="C17" s="10" t="s">
        <v>182</v>
      </c>
      <c r="D17" s="44" t="n">
        <v>18.51383776</v>
      </c>
      <c r="E17" s="44" t="n">
        <v>16.3357392</v>
      </c>
      <c r="F17" s="44" t="n">
        <v>19.60288704</v>
      </c>
      <c r="G17" s="44" t="n">
        <v>19.60288704</v>
      </c>
      <c r="H17" s="44" t="n">
        <v>19.60288704</v>
      </c>
      <c r="I17" s="44" t="n">
        <v>17.42478848</v>
      </c>
      <c r="J17" s="44" t="n">
        <v>19.60288704</v>
      </c>
      <c r="K17" s="44" t="n">
        <v>19.60288704</v>
      </c>
      <c r="L17" s="44" t="n">
        <v>18.51383776</v>
      </c>
      <c r="M17" s="44" t="n">
        <v>16.3357392</v>
      </c>
      <c r="N17" s="44" t="n">
        <v>15.24668992</v>
      </c>
      <c r="O17" s="44" t="n">
        <v>17.42478848</v>
      </c>
      <c r="P17" s="27" t="n">
        <f aca="false">SUM(D17:O17)</f>
        <v>217.809856</v>
      </c>
    </row>
    <row r="18" customFormat="false" ht="15" hidden="false" customHeight="false" outlineLevel="0" collapsed="false">
      <c r="A18" s="10" t="s">
        <v>224</v>
      </c>
      <c r="B18" s="10" t="s">
        <v>465</v>
      </c>
      <c r="C18" s="10" t="s">
        <v>183</v>
      </c>
      <c r="D18" s="44" t="n">
        <v>12.3425585</v>
      </c>
      <c r="E18" s="44" t="n">
        <v>10.8904928</v>
      </c>
      <c r="F18" s="44" t="n">
        <v>13.06859136</v>
      </c>
      <c r="G18" s="44" t="n">
        <v>13.06859136</v>
      </c>
      <c r="H18" s="44" t="n">
        <v>13.06859136</v>
      </c>
      <c r="I18" s="44" t="n">
        <v>11.61652565</v>
      </c>
      <c r="J18" s="44" t="n">
        <v>13.06859136</v>
      </c>
      <c r="K18" s="44" t="n">
        <v>13.06859136</v>
      </c>
      <c r="L18" s="44" t="n">
        <v>12.3425585</v>
      </c>
      <c r="M18" s="44" t="n">
        <v>10.8904928</v>
      </c>
      <c r="N18" s="44" t="n">
        <v>10.16445994</v>
      </c>
      <c r="O18" s="44" t="n">
        <v>11.61652565</v>
      </c>
      <c r="P18" s="27" t="n">
        <f aca="false">SUM(D18:O18)</f>
        <v>145.20657064</v>
      </c>
    </row>
    <row r="19" customFormat="false" ht="15" hidden="false" customHeight="false" outlineLevel="0" collapsed="false">
      <c r="A19" s="10" t="s">
        <v>225</v>
      </c>
      <c r="B19" s="10" t="s">
        <v>466</v>
      </c>
      <c r="C19" s="10" t="s">
        <v>180</v>
      </c>
      <c r="D19" s="44" t="n">
        <v>27.5094</v>
      </c>
      <c r="E19" s="44" t="n">
        <v>24.273</v>
      </c>
      <c r="F19" s="44" t="n">
        <v>29.1276</v>
      </c>
      <c r="G19" s="44" t="n">
        <v>29.1276</v>
      </c>
      <c r="H19" s="44" t="n">
        <v>29.1276</v>
      </c>
      <c r="I19" s="44" t="n">
        <v>25.8912</v>
      </c>
      <c r="J19" s="44" t="n">
        <v>29.1276</v>
      </c>
      <c r="K19" s="44" t="n">
        <v>29.1276</v>
      </c>
      <c r="L19" s="44" t="n">
        <v>27.5094</v>
      </c>
      <c r="M19" s="44" t="n">
        <v>24.273</v>
      </c>
      <c r="N19" s="44" t="n">
        <v>22.6548</v>
      </c>
      <c r="O19" s="44" t="n">
        <v>25.8912</v>
      </c>
      <c r="P19" s="27" t="n">
        <f aca="false">SUM(D19:O19)</f>
        <v>323.64</v>
      </c>
    </row>
    <row r="20" customFormat="false" ht="15" hidden="false" customHeight="false" outlineLevel="0" collapsed="false">
      <c r="A20" s="10" t="s">
        <v>226</v>
      </c>
      <c r="B20" s="10" t="s">
        <v>466</v>
      </c>
      <c r="C20" s="10" t="s">
        <v>181</v>
      </c>
      <c r="D20" s="44" t="n">
        <v>60.3874</v>
      </c>
      <c r="E20" s="44" t="n">
        <v>53.283</v>
      </c>
      <c r="F20" s="44" t="n">
        <v>63.9396</v>
      </c>
      <c r="G20" s="44" t="n">
        <v>63.9396</v>
      </c>
      <c r="H20" s="44" t="n">
        <v>63.9396</v>
      </c>
      <c r="I20" s="44" t="n">
        <v>56.8352</v>
      </c>
      <c r="J20" s="44" t="n">
        <v>63.9396</v>
      </c>
      <c r="K20" s="44" t="n">
        <v>63.9396</v>
      </c>
      <c r="L20" s="44" t="n">
        <v>60.3874</v>
      </c>
      <c r="M20" s="44" t="n">
        <v>53.283</v>
      </c>
      <c r="N20" s="44" t="n">
        <v>49.7308</v>
      </c>
      <c r="O20" s="44" t="n">
        <v>56.8352</v>
      </c>
      <c r="P20" s="27" t="n">
        <f aca="false">SUM(D20:O20)</f>
        <v>710.44</v>
      </c>
    </row>
    <row r="21" customFormat="false" ht="15.75" hidden="false" customHeight="true" outlineLevel="0" collapsed="false">
      <c r="A21" s="10" t="s">
        <v>227</v>
      </c>
      <c r="B21" s="10" t="s">
        <v>466</v>
      </c>
      <c r="C21" s="10" t="s">
        <v>182</v>
      </c>
      <c r="D21" s="44" t="n">
        <v>13.2872</v>
      </c>
      <c r="E21" s="44" t="n">
        <v>11.724</v>
      </c>
      <c r="F21" s="44" t="n">
        <v>14.0688</v>
      </c>
      <c r="G21" s="44" t="n">
        <v>14.0688</v>
      </c>
      <c r="H21" s="44" t="n">
        <v>14.0688</v>
      </c>
      <c r="I21" s="44" t="n">
        <v>12.5056</v>
      </c>
      <c r="J21" s="44" t="n">
        <v>14.0688</v>
      </c>
      <c r="K21" s="44" t="n">
        <v>14.0688</v>
      </c>
      <c r="L21" s="44" t="n">
        <v>13.2872</v>
      </c>
      <c r="M21" s="44" t="n">
        <v>11.724</v>
      </c>
      <c r="N21" s="44" t="n">
        <v>10.9424</v>
      </c>
      <c r="O21" s="44" t="n">
        <v>12.5056</v>
      </c>
      <c r="P21" s="27" t="n">
        <f aca="false">SUM(D21:O21)</f>
        <v>156.32</v>
      </c>
    </row>
    <row r="22" customFormat="false" ht="15.75" hidden="false" customHeight="true" outlineLevel="0" collapsed="false">
      <c r="A22" s="10" t="s">
        <v>228</v>
      </c>
      <c r="B22" s="10" t="s">
        <v>466</v>
      </c>
      <c r="C22" s="10" t="s">
        <v>183</v>
      </c>
      <c r="D22" s="44" t="n">
        <v>8.6904</v>
      </c>
      <c r="E22" s="44" t="n">
        <v>7.668</v>
      </c>
      <c r="F22" s="44" t="n">
        <v>9.2016</v>
      </c>
      <c r="G22" s="44" t="n">
        <v>9.2016</v>
      </c>
      <c r="H22" s="44" t="n">
        <v>9.2016</v>
      </c>
      <c r="I22" s="44" t="n">
        <v>8.1792</v>
      </c>
      <c r="J22" s="44" t="n">
        <v>9.2016</v>
      </c>
      <c r="K22" s="44" t="n">
        <v>9.2016</v>
      </c>
      <c r="L22" s="44" t="n">
        <v>8.6904</v>
      </c>
      <c r="M22" s="44" t="n">
        <v>7.668</v>
      </c>
      <c r="N22" s="44" t="n">
        <v>7.1568</v>
      </c>
      <c r="O22" s="44" t="n">
        <v>8.1792</v>
      </c>
      <c r="P22" s="27" t="n">
        <f aca="false">SUM(D22:O22)</f>
        <v>102.24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4" t="s">
        <v>467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customFormat="false" ht="42" hidden="false" customHeight="true" outlineLevel="0" collapsed="false">
      <c r="A25" s="6" t="s">
        <v>282</v>
      </c>
      <c r="B25" s="6"/>
      <c r="C25" s="6"/>
      <c r="D25" s="6" t="s">
        <v>200</v>
      </c>
      <c r="E25" s="6" t="s">
        <v>201</v>
      </c>
      <c r="F25" s="6" t="s">
        <v>202</v>
      </c>
      <c r="G25" s="6" t="s">
        <v>203</v>
      </c>
      <c r="H25" s="6" t="s">
        <v>204</v>
      </c>
      <c r="I25" s="6" t="s">
        <v>205</v>
      </c>
      <c r="J25" s="6" t="s">
        <v>206</v>
      </c>
      <c r="K25" s="6" t="s">
        <v>207</v>
      </c>
      <c r="L25" s="6" t="s">
        <v>208</v>
      </c>
      <c r="M25" s="6" t="s">
        <v>209</v>
      </c>
      <c r="N25" s="6" t="s">
        <v>210</v>
      </c>
      <c r="O25" s="6" t="s">
        <v>211</v>
      </c>
      <c r="P25" s="6" t="s">
        <v>257</v>
      </c>
    </row>
    <row r="26" customFormat="false" ht="15.75" hidden="false" customHeight="true" outlineLevel="0" collapsed="false">
      <c r="A26" s="10" t="s">
        <v>163</v>
      </c>
      <c r="D26" s="45" t="n">
        <v>0.09</v>
      </c>
      <c r="E26" s="45" t="n">
        <v>0.09</v>
      </c>
      <c r="F26" s="45" t="n">
        <v>0.08</v>
      </c>
      <c r="G26" s="45" t="n">
        <v>0.075</v>
      </c>
      <c r="H26" s="45" t="n">
        <v>0.07</v>
      </c>
      <c r="I26" s="45" t="n">
        <v>0.07</v>
      </c>
      <c r="J26" s="45" t="n">
        <v>0.075</v>
      </c>
      <c r="K26" s="45" t="n">
        <v>0.09</v>
      </c>
      <c r="L26" s="45" t="n">
        <v>0.09</v>
      </c>
      <c r="M26" s="45" t="n">
        <v>0.09</v>
      </c>
      <c r="N26" s="45" t="n">
        <v>0.09</v>
      </c>
      <c r="O26" s="45" t="n">
        <v>0.09</v>
      </c>
      <c r="P26" s="39" t="n">
        <f aca="false">SUM(D26:O26)</f>
        <v>1</v>
      </c>
    </row>
    <row r="27" customFormat="false" ht="15.75" hidden="false" customHeight="true" outlineLevel="0" collapsed="false">
      <c r="A27" s="10" t="s">
        <v>164</v>
      </c>
      <c r="D27" s="45" t="n">
        <v>0.09</v>
      </c>
      <c r="E27" s="45" t="n">
        <v>0.08</v>
      </c>
      <c r="F27" s="45" t="n">
        <v>0.085</v>
      </c>
      <c r="G27" s="45" t="n">
        <v>0.085</v>
      </c>
      <c r="H27" s="45" t="n">
        <v>0.08</v>
      </c>
      <c r="I27" s="45" t="n">
        <v>0.075</v>
      </c>
      <c r="J27" s="45" t="n">
        <v>0.08</v>
      </c>
      <c r="K27" s="45" t="n">
        <v>0.08</v>
      </c>
      <c r="L27" s="45" t="n">
        <v>0.08</v>
      </c>
      <c r="M27" s="45" t="n">
        <v>0.085</v>
      </c>
      <c r="N27" s="45" t="n">
        <v>0.09</v>
      </c>
      <c r="O27" s="45" t="n">
        <v>0.09</v>
      </c>
      <c r="P27" s="39" t="n">
        <f aca="false">SUM(D27:O27)</f>
        <v>1</v>
      </c>
    </row>
    <row r="28" customFormat="false" ht="15.75" hidden="false" customHeight="true" outlineLevel="0" collapsed="false">
      <c r="A28" s="10" t="s">
        <v>165</v>
      </c>
      <c r="D28" s="45" t="n">
        <v>0.09</v>
      </c>
      <c r="E28" s="45" t="n">
        <v>0.08</v>
      </c>
      <c r="F28" s="45" t="n">
        <v>0.085</v>
      </c>
      <c r="G28" s="45" t="n">
        <v>0.085</v>
      </c>
      <c r="H28" s="45" t="n">
        <v>0.08</v>
      </c>
      <c r="I28" s="45" t="n">
        <v>0.075</v>
      </c>
      <c r="J28" s="45" t="n">
        <v>0.08</v>
      </c>
      <c r="K28" s="45" t="n">
        <v>0.08</v>
      </c>
      <c r="L28" s="45" t="n">
        <v>0.08</v>
      </c>
      <c r="M28" s="45" t="n">
        <v>0.085</v>
      </c>
      <c r="N28" s="45" t="n">
        <v>0.09</v>
      </c>
      <c r="O28" s="45" t="n">
        <v>0.09</v>
      </c>
      <c r="P28" s="39" t="n">
        <f aca="false">SUM(D28:O28)</f>
        <v>1</v>
      </c>
    </row>
    <row r="29" customFormat="false" ht="15.75" hidden="false" customHeight="true" outlineLevel="0" collapsed="false">
      <c r="A29" s="10" t="s">
        <v>166</v>
      </c>
      <c r="D29" s="45" t="n">
        <v>0.09</v>
      </c>
      <c r="E29" s="45" t="n">
        <v>0.08</v>
      </c>
      <c r="F29" s="45" t="n">
        <v>0.085</v>
      </c>
      <c r="G29" s="45" t="n">
        <v>0.085</v>
      </c>
      <c r="H29" s="45" t="n">
        <v>0.08</v>
      </c>
      <c r="I29" s="45" t="n">
        <v>0.075</v>
      </c>
      <c r="J29" s="45" t="n">
        <v>0.08</v>
      </c>
      <c r="K29" s="45" t="n">
        <v>0.08</v>
      </c>
      <c r="L29" s="45" t="n">
        <v>0.08</v>
      </c>
      <c r="M29" s="45" t="n">
        <v>0.085</v>
      </c>
      <c r="N29" s="45" t="n">
        <v>0.09</v>
      </c>
      <c r="O29" s="45" t="n">
        <v>0.09</v>
      </c>
      <c r="P29" s="39" t="n">
        <f aca="false">SUM(D29:O29)</f>
        <v>1</v>
      </c>
    </row>
    <row r="30" customFormat="false" ht="15.75" hidden="false" customHeight="true" outlineLevel="0" collapsed="false">
      <c r="A30" s="25" t="s">
        <v>468</v>
      </c>
    </row>
    <row r="31" customFormat="false" ht="15.75" hidden="false" customHeight="true" outlineLevel="0" collapsed="false">
      <c r="A31" s="4" t="s">
        <v>469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customFormat="false" ht="42" hidden="false" customHeight="true" outlineLevel="0" collapsed="false">
      <c r="A32" s="6" t="s">
        <v>38</v>
      </c>
      <c r="B32" s="6" t="s">
        <v>40</v>
      </c>
      <c r="C32" s="6" t="s">
        <v>163</v>
      </c>
      <c r="D32" s="6" t="s">
        <v>164</v>
      </c>
      <c r="E32" s="6" t="s">
        <v>165</v>
      </c>
      <c r="F32" s="6" t="s">
        <v>166</v>
      </c>
      <c r="G32" s="6" t="s">
        <v>180</v>
      </c>
      <c r="H32" s="6" t="s">
        <v>181</v>
      </c>
      <c r="I32" s="6" t="s">
        <v>182</v>
      </c>
      <c r="J32" s="6" t="s">
        <v>183</v>
      </c>
      <c r="K32" s="6" t="s">
        <v>470</v>
      </c>
    </row>
    <row r="33" customFormat="false" ht="15.75" hidden="false" customHeight="true" outlineLevel="0" collapsed="false">
      <c r="A33" s="10" t="s">
        <v>167</v>
      </c>
      <c r="B33" s="10" t="s">
        <v>81</v>
      </c>
      <c r="C33" s="46" t="n">
        <v>6</v>
      </c>
      <c r="D33" s="46" t="n">
        <v>1</v>
      </c>
      <c r="E33" s="46" t="n">
        <v>1</v>
      </c>
      <c r="F33" s="46" t="n">
        <v>1</v>
      </c>
      <c r="K33" s="2" t="s">
        <v>471</v>
      </c>
    </row>
    <row r="34" customFormat="false" ht="15.75" hidden="false" customHeight="true" outlineLevel="0" collapsed="false">
      <c r="A34" s="10" t="s">
        <v>472</v>
      </c>
      <c r="B34" s="10" t="s">
        <v>58</v>
      </c>
      <c r="C34" s="46" t="n">
        <v>265</v>
      </c>
      <c r="D34" s="46" t="n">
        <v>135</v>
      </c>
      <c r="E34" s="46" t="n">
        <v>165</v>
      </c>
      <c r="F34" s="46" t="n">
        <v>195</v>
      </c>
      <c r="K34" s="2" t="s">
        <v>473</v>
      </c>
    </row>
    <row r="35" customFormat="false" ht="15.75" hidden="false" customHeight="true" outlineLevel="0" collapsed="false">
      <c r="A35" s="10" t="s">
        <v>474</v>
      </c>
      <c r="B35" s="10" t="s">
        <v>58</v>
      </c>
      <c r="C35" s="46" t="n">
        <v>190</v>
      </c>
      <c r="D35" s="46" t="n">
        <v>135</v>
      </c>
      <c r="E35" s="46" t="n">
        <v>165</v>
      </c>
      <c r="F35" s="46" t="n">
        <v>195</v>
      </c>
      <c r="K35" s="2" t="s">
        <v>473</v>
      </c>
    </row>
    <row r="36" customFormat="false" ht="15.75" hidden="false" customHeight="true" outlineLevel="0" collapsed="false">
      <c r="A36" s="10" t="s">
        <v>475</v>
      </c>
      <c r="B36" s="10" t="s">
        <v>58</v>
      </c>
      <c r="C36" s="46" t="n">
        <v>410</v>
      </c>
      <c r="D36" s="46" t="n">
        <v>435</v>
      </c>
      <c r="E36" s="46" t="n">
        <v>515</v>
      </c>
      <c r="F36" s="46" t="n">
        <v>685</v>
      </c>
      <c r="K36" s="2" t="s">
        <v>473</v>
      </c>
    </row>
    <row r="37" customFormat="false" ht="15.75" hidden="false" customHeight="true" outlineLevel="0" collapsed="false">
      <c r="A37" s="10" t="s">
        <v>476</v>
      </c>
      <c r="B37" s="10" t="s">
        <v>66</v>
      </c>
      <c r="C37" s="46" t="n">
        <v>0.35</v>
      </c>
      <c r="D37" s="46" t="n">
        <v>0.25</v>
      </c>
      <c r="E37" s="46" t="n">
        <v>0.35</v>
      </c>
      <c r="F37" s="46" t="n">
        <v>0.5</v>
      </c>
      <c r="K37" s="2" t="s">
        <v>477</v>
      </c>
    </row>
    <row r="38" customFormat="false" ht="15.75" hidden="false" customHeight="true" outlineLevel="0" collapsed="false">
      <c r="A38" s="10" t="s">
        <v>478</v>
      </c>
      <c r="B38" s="10" t="s">
        <v>66</v>
      </c>
      <c r="C38" s="46" t="n">
        <v>2.08</v>
      </c>
      <c r="D38" s="46" t="n">
        <v>4.63</v>
      </c>
      <c r="E38" s="46" t="n">
        <v>8.48</v>
      </c>
      <c r="F38" s="46" t="n">
        <v>16.23</v>
      </c>
      <c r="K38" s="2" t="s">
        <v>473</v>
      </c>
    </row>
    <row r="39" customFormat="false" ht="15.75" hidden="false" customHeight="true" outlineLevel="0" collapsed="false">
      <c r="A39" s="10" t="s">
        <v>479</v>
      </c>
      <c r="B39" s="10" t="s">
        <v>58</v>
      </c>
      <c r="C39" s="46" t="n">
        <v>76.2</v>
      </c>
      <c r="D39" s="46" t="n">
        <v>124</v>
      </c>
      <c r="E39" s="46" t="n">
        <v>153</v>
      </c>
      <c r="F39" s="46" t="n">
        <v>181.5</v>
      </c>
      <c r="G39" s="46" t="n">
        <v>276.5</v>
      </c>
      <c r="H39" s="46" t="n">
        <v>320</v>
      </c>
      <c r="I39" s="46" t="n">
        <v>390</v>
      </c>
      <c r="J39" s="46" t="n">
        <v>390</v>
      </c>
      <c r="K39" s="2" t="s">
        <v>480</v>
      </c>
    </row>
    <row r="40" customFormat="false" ht="15.75" hidden="false" customHeight="true" outlineLevel="0" collapsed="false">
      <c r="A40" s="10" t="s">
        <v>481</v>
      </c>
      <c r="B40" s="10" t="s">
        <v>58</v>
      </c>
      <c r="C40" s="46" t="n">
        <v>297.5</v>
      </c>
      <c r="D40" s="46" t="n">
        <v>333</v>
      </c>
      <c r="E40" s="46" t="n">
        <v>414</v>
      </c>
      <c r="F40" s="46" t="n">
        <v>582</v>
      </c>
      <c r="G40" s="46" t="n">
        <v>672</v>
      </c>
      <c r="H40" s="46" t="n">
        <v>858</v>
      </c>
      <c r="I40" s="46" t="n">
        <v>908</v>
      </c>
      <c r="J40" s="46" t="n">
        <v>1128</v>
      </c>
      <c r="K40" s="2" t="s">
        <v>480</v>
      </c>
    </row>
    <row r="41" customFormat="false" ht="15.75" hidden="false" customHeight="true" outlineLevel="0" collapsed="false">
      <c r="A41" s="10" t="s">
        <v>482</v>
      </c>
      <c r="B41" s="10" t="s">
        <v>66</v>
      </c>
      <c r="C41" s="46" t="n">
        <v>0.76</v>
      </c>
      <c r="D41" s="46" t="n">
        <v>1.48</v>
      </c>
      <c r="E41" s="46" t="n">
        <v>2.78</v>
      </c>
      <c r="F41" s="46" t="n">
        <v>5.48</v>
      </c>
      <c r="G41" s="46" t="n">
        <v>15.92</v>
      </c>
      <c r="H41" s="46" t="n">
        <v>23.3</v>
      </c>
      <c r="I41" s="46" t="n">
        <v>46.86</v>
      </c>
      <c r="J41" s="46" t="n">
        <v>56.85</v>
      </c>
      <c r="K41" s="2" t="s">
        <v>480</v>
      </c>
    </row>
    <row r="42" customFormat="false" ht="15.75" hidden="false" customHeight="true" outlineLevel="0" collapsed="false">
      <c r="A42" s="10" t="s">
        <v>483</v>
      </c>
      <c r="B42" s="10" t="s">
        <v>58</v>
      </c>
      <c r="G42" s="46" t="n">
        <v>600</v>
      </c>
      <c r="H42" s="46" t="n">
        <v>700</v>
      </c>
      <c r="I42" s="46" t="n">
        <v>800</v>
      </c>
      <c r="J42" s="46" t="n">
        <v>800</v>
      </c>
      <c r="K42" s="2" t="s">
        <v>473</v>
      </c>
    </row>
    <row r="43" customFormat="false" ht="15.75" hidden="false" customHeight="true" outlineLevel="0" collapsed="false">
      <c r="A43" s="10" t="s">
        <v>484</v>
      </c>
      <c r="B43" s="10" t="s">
        <v>58</v>
      </c>
      <c r="G43" s="46" t="n">
        <v>550</v>
      </c>
      <c r="H43" s="46" t="n">
        <v>600</v>
      </c>
      <c r="I43" s="46" t="n">
        <v>700</v>
      </c>
      <c r="J43" s="46" t="n">
        <v>750</v>
      </c>
      <c r="K43" s="2" t="s">
        <v>473</v>
      </c>
    </row>
    <row r="44" customFormat="false" ht="15.75" hidden="false" customHeight="true" outlineLevel="0" collapsed="false">
      <c r="A44" s="10" t="s">
        <v>485</v>
      </c>
      <c r="B44" s="10" t="s">
        <v>66</v>
      </c>
      <c r="G44" s="46" t="n">
        <v>55</v>
      </c>
      <c r="H44" s="46" t="n">
        <v>100</v>
      </c>
      <c r="I44" s="46" t="n">
        <v>140</v>
      </c>
      <c r="J44" s="46" t="n">
        <v>185</v>
      </c>
      <c r="K44" s="2" t="s">
        <v>486</v>
      </c>
    </row>
    <row r="45" customFormat="false" ht="15.75" hidden="false" customHeight="true" outlineLevel="0" collapsed="false">
      <c r="A45" s="10" t="s">
        <v>487</v>
      </c>
      <c r="B45" s="10" t="s">
        <v>66</v>
      </c>
      <c r="G45" s="46" t="n">
        <v>19</v>
      </c>
      <c r="H45" s="46" t="n">
        <v>26</v>
      </c>
      <c r="I45" s="46" t="n">
        <v>51</v>
      </c>
      <c r="J45" s="46" t="n">
        <v>61</v>
      </c>
      <c r="K45" s="2" t="s">
        <v>488</v>
      </c>
    </row>
    <row r="46" customFormat="false" ht="15.75" hidden="false" customHeight="true" outlineLevel="0" collapsed="false">
      <c r="A46" s="10" t="s">
        <v>489</v>
      </c>
      <c r="B46" s="10" t="s">
        <v>81</v>
      </c>
      <c r="G46" s="46" t="n">
        <v>14</v>
      </c>
      <c r="H46" s="46" t="n">
        <v>10</v>
      </c>
      <c r="I46" s="46" t="n">
        <v>7</v>
      </c>
      <c r="J46" s="46" t="n">
        <v>7</v>
      </c>
      <c r="K46" s="2" t="s">
        <v>490</v>
      </c>
    </row>
    <row r="47" customFormat="false" ht="15.75" hidden="false" customHeight="true" outlineLevel="0" collapsed="false"/>
    <row r="48" customFormat="false" ht="15.75" hidden="false" customHeight="true" outlineLevel="0" collapsed="false">
      <c r="A48" s="4" t="s">
        <v>491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customFormat="false" ht="42" hidden="false" customHeight="true" outlineLevel="0" collapsed="false">
      <c r="A49" s="6" t="s">
        <v>492</v>
      </c>
      <c r="B49" s="6" t="s">
        <v>493</v>
      </c>
      <c r="C49" s="6" t="s">
        <v>494</v>
      </c>
      <c r="D49" s="6" t="s">
        <v>495</v>
      </c>
      <c r="E49" s="6" t="s">
        <v>496</v>
      </c>
      <c r="F49" s="6" t="s">
        <v>470</v>
      </c>
    </row>
    <row r="50" customFormat="false" ht="15.75" hidden="false" customHeight="true" outlineLevel="0" collapsed="false">
      <c r="A50" s="10" t="s">
        <v>497</v>
      </c>
      <c r="B50" s="46" t="n">
        <v>6</v>
      </c>
      <c r="C50" s="46" t="n">
        <v>6000</v>
      </c>
      <c r="D50" s="46" t="n">
        <v>4.2</v>
      </c>
      <c r="E50" s="46" t="n">
        <v>2.3</v>
      </c>
      <c r="F50" s="10" t="s">
        <v>498</v>
      </c>
    </row>
    <row r="51" customFormat="false" ht="15.75" hidden="false" customHeight="true" outlineLevel="0" collapsed="false">
      <c r="A51" s="10" t="s">
        <v>499</v>
      </c>
      <c r="B51" s="46" t="n">
        <v>14</v>
      </c>
      <c r="C51" s="46" t="n">
        <v>12000</v>
      </c>
      <c r="D51" s="46" t="n">
        <v>7.4</v>
      </c>
      <c r="E51" s="46" t="n">
        <v>2.46</v>
      </c>
      <c r="F51" s="10" t="s">
        <v>500</v>
      </c>
    </row>
    <row r="52" customFormat="false" ht="15.75" hidden="false" customHeight="true" outlineLevel="0" collapsed="false">
      <c r="A52" s="10" t="s">
        <v>501</v>
      </c>
      <c r="B52" s="10"/>
      <c r="C52" s="46" t="n">
        <v>1593</v>
      </c>
      <c r="D52" s="46" t="n">
        <v>3.86</v>
      </c>
      <c r="E52" s="46" t="n">
        <v>1.76</v>
      </c>
      <c r="F52" s="10" t="s">
        <v>502</v>
      </c>
    </row>
    <row r="53" customFormat="false" ht="15.75" hidden="false" customHeight="true" outlineLevel="0" collapsed="false"/>
    <row r="54" customFormat="false" ht="15.75" hidden="false" customHeight="true" outlineLevel="0" collapsed="false">
      <c r="A54" s="4" t="s">
        <v>503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customFormat="false" ht="42" hidden="false" customHeight="true" outlineLevel="0" collapsed="false">
      <c r="A55" s="6" t="s">
        <v>4</v>
      </c>
      <c r="B55" s="6" t="s">
        <v>39</v>
      </c>
      <c r="C55" s="6" t="s">
        <v>40</v>
      </c>
      <c r="D55" s="6" t="s">
        <v>470</v>
      </c>
    </row>
    <row r="56" customFormat="false" ht="15.75" hidden="false" customHeight="true" outlineLevel="0" collapsed="false">
      <c r="A56" s="10" t="s">
        <v>504</v>
      </c>
      <c r="B56" s="46" t="n">
        <v>99</v>
      </c>
      <c r="C56" s="10" t="s">
        <v>263</v>
      </c>
      <c r="D56" s="2" t="s">
        <v>505</v>
      </c>
    </row>
    <row r="57" customFormat="false" ht="15.75" hidden="false" customHeight="true" outlineLevel="0" collapsed="false">
      <c r="A57" s="10" t="s">
        <v>506</v>
      </c>
      <c r="B57" s="46" t="n">
        <v>122.1</v>
      </c>
      <c r="C57" s="10" t="s">
        <v>280</v>
      </c>
      <c r="D57" s="2" t="s">
        <v>507</v>
      </c>
    </row>
    <row r="58" customFormat="false" ht="15.75" hidden="false" customHeight="true" outlineLevel="0" collapsed="false">
      <c r="A58" s="10" t="s">
        <v>508</v>
      </c>
      <c r="B58" s="46" t="n">
        <v>51.12</v>
      </c>
      <c r="C58" s="10" t="s">
        <v>280</v>
      </c>
      <c r="D58" s="2" t="s">
        <v>509</v>
      </c>
    </row>
    <row r="59" customFormat="false" ht="15.75" hidden="false" customHeight="true" outlineLevel="0" collapsed="false">
      <c r="A59" s="10" t="s">
        <v>510</v>
      </c>
      <c r="B59" s="46" t="n">
        <v>250.62</v>
      </c>
      <c r="C59" s="10" t="s">
        <v>280</v>
      </c>
      <c r="D59" s="2" t="s">
        <v>511</v>
      </c>
    </row>
    <row r="60" customFormat="false" ht="15.75" hidden="false" customHeight="true" outlineLevel="0" collapsed="false">
      <c r="A60" s="10" t="s">
        <v>512</v>
      </c>
      <c r="B60" s="46" t="n">
        <v>177</v>
      </c>
      <c r="C60" s="10" t="s">
        <v>417</v>
      </c>
      <c r="D60" s="2" t="s">
        <v>513</v>
      </c>
    </row>
    <row r="61" customFormat="false" ht="15.75" hidden="false" customHeight="true" outlineLevel="0" collapsed="false">
      <c r="A61" s="10" t="s">
        <v>514</v>
      </c>
      <c r="B61" s="46" t="n">
        <v>66.03</v>
      </c>
      <c r="C61" s="10" t="s">
        <v>81</v>
      </c>
      <c r="D61" s="2" t="s">
        <v>515</v>
      </c>
    </row>
    <row r="62" customFormat="false" ht="15.75" hidden="false" customHeight="true" outlineLevel="0" collapsed="false">
      <c r="A62" s="10" t="s">
        <v>516</v>
      </c>
      <c r="B62" s="46" t="n">
        <v>39.62</v>
      </c>
      <c r="C62" s="10" t="s">
        <v>81</v>
      </c>
      <c r="D62" s="2" t="s">
        <v>517</v>
      </c>
    </row>
    <row r="63" customFormat="false" ht="15.75" hidden="false" customHeight="true" outlineLevel="0" collapsed="false">
      <c r="A63" s="10" t="s">
        <v>518</v>
      </c>
      <c r="B63" s="46" t="n">
        <v>26.41</v>
      </c>
      <c r="C63" s="10" t="s">
        <v>81</v>
      </c>
      <c r="D63" s="2" t="s">
        <v>519</v>
      </c>
    </row>
    <row r="64" customFormat="false" ht="15.75" hidden="false" customHeight="true" outlineLevel="0" collapsed="false"/>
    <row r="65" customFormat="false" ht="15.75" hidden="false" customHeight="true" outlineLevel="0" collapsed="false">
      <c r="A65" s="4" t="s">
        <v>520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customFormat="false" ht="42" hidden="false" customHeight="true" outlineLevel="0" collapsed="false">
      <c r="A66" s="6" t="s">
        <v>426</v>
      </c>
      <c r="B66" s="6" t="s">
        <v>232</v>
      </c>
      <c r="C66" s="6" t="s">
        <v>428</v>
      </c>
      <c r="D66" s="6" t="s">
        <v>521</v>
      </c>
    </row>
    <row r="67" customFormat="false" ht="15.75" hidden="false" customHeight="true" outlineLevel="0" collapsed="false">
      <c r="A67" s="10" t="s">
        <v>433</v>
      </c>
      <c r="B67" s="10" t="s">
        <v>522</v>
      </c>
      <c r="C67" s="47" t="n">
        <v>856540</v>
      </c>
      <c r="D67" s="10" t="s">
        <v>523</v>
      </c>
    </row>
    <row r="68" customFormat="false" ht="15.75" hidden="false" customHeight="true" outlineLevel="0" collapsed="false">
      <c r="A68" s="10" t="s">
        <v>437</v>
      </c>
      <c r="B68" s="10" t="s">
        <v>524</v>
      </c>
      <c r="C68" s="47" t="n">
        <v>655590</v>
      </c>
      <c r="D68" s="10" t="s">
        <v>523</v>
      </c>
    </row>
    <row r="69" customFormat="false" ht="15.75" hidden="false" customHeight="true" outlineLevel="0" collapsed="false">
      <c r="A69" s="10" t="s">
        <v>457</v>
      </c>
      <c r="B69" s="10" t="s">
        <v>525</v>
      </c>
      <c r="C69" s="47" t="n">
        <v>13384</v>
      </c>
      <c r="D69" s="10" t="s">
        <v>526</v>
      </c>
    </row>
    <row r="70" customFormat="false" ht="15.75" hidden="false" customHeight="true" outlineLevel="0" collapsed="false">
      <c r="A70" s="10" t="s">
        <v>441</v>
      </c>
      <c r="B70" s="10" t="s">
        <v>527</v>
      </c>
      <c r="C70" s="43"/>
      <c r="D70" s="10" t="s">
        <v>528</v>
      </c>
    </row>
    <row r="71" customFormat="false" ht="15.75" hidden="false" customHeight="true" outlineLevel="0" collapsed="false">
      <c r="A71" s="10" t="s">
        <v>445</v>
      </c>
      <c r="B71" s="10" t="s">
        <v>529</v>
      </c>
      <c r="C71" s="43"/>
      <c r="D71" s="10" t="s">
        <v>530</v>
      </c>
    </row>
    <row r="72" customFormat="false" ht="15.75" hidden="false" customHeight="true" outlineLevel="0" collapsed="false">
      <c r="A72" s="10" t="s">
        <v>449</v>
      </c>
      <c r="B72" s="10" t="s">
        <v>531</v>
      </c>
      <c r="C72" s="43"/>
      <c r="D72" s="10" t="s">
        <v>532</v>
      </c>
    </row>
    <row r="73" customFormat="false" ht="15.75" hidden="false" customHeight="true" outlineLevel="0" collapsed="false">
      <c r="A73" s="10" t="s">
        <v>453</v>
      </c>
      <c r="B73" s="10" t="s">
        <v>533</v>
      </c>
      <c r="C73" s="43"/>
      <c r="D73" s="10" t="s">
        <v>534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>
      <c r="A76" s="4" t="s">
        <v>535</v>
      </c>
    </row>
    <row r="77" customFormat="false" ht="15.75" hidden="false" customHeight="true" outlineLevel="0" collapsed="false">
      <c r="A77" s="6" t="s">
        <v>4</v>
      </c>
      <c r="B77" s="6" t="s">
        <v>39</v>
      </c>
      <c r="C77" s="6" t="s">
        <v>40</v>
      </c>
      <c r="D77" s="6" t="s">
        <v>470</v>
      </c>
    </row>
    <row r="78" customFormat="false" ht="15.75" hidden="false" customHeight="true" outlineLevel="0" collapsed="false">
      <c r="A78" s="10" t="s">
        <v>536</v>
      </c>
      <c r="B78" s="46" t="n">
        <v>29</v>
      </c>
      <c r="C78" s="10" t="s">
        <v>81</v>
      </c>
      <c r="D78" s="2" t="s">
        <v>537</v>
      </c>
    </row>
    <row r="79" customFormat="false" ht="15.75" hidden="false" customHeight="true" outlineLevel="0" collapsed="false">
      <c r="A79" s="10" t="s">
        <v>360</v>
      </c>
      <c r="B79" s="46" t="n">
        <v>41</v>
      </c>
      <c r="C79" s="10" t="s">
        <v>81</v>
      </c>
      <c r="D79" s="2" t="s">
        <v>538</v>
      </c>
    </row>
    <row r="80" customFormat="false" ht="15.75" hidden="false" customHeight="true" outlineLevel="0" collapsed="false">
      <c r="A80" s="10" t="s">
        <v>539</v>
      </c>
      <c r="B80" s="46" t="n">
        <v>29</v>
      </c>
      <c r="C80" s="10" t="s">
        <v>81</v>
      </c>
      <c r="D80" s="2" t="s">
        <v>540</v>
      </c>
    </row>
    <row r="81" customFormat="false" ht="15.75" hidden="false" customHeight="true" outlineLevel="0" collapsed="false">
      <c r="A81" s="10" t="s">
        <v>372</v>
      </c>
      <c r="B81" s="46" t="n">
        <v>17.71</v>
      </c>
      <c r="C81" s="10" t="s">
        <v>280</v>
      </c>
      <c r="D81" s="2" t="s">
        <v>541</v>
      </c>
    </row>
    <row r="82" customFormat="false" ht="15.75" hidden="false" customHeight="true" outlineLevel="0" collapsed="false">
      <c r="A82" s="10" t="s">
        <v>373</v>
      </c>
      <c r="B82" s="46" t="n">
        <v>17.71</v>
      </c>
      <c r="C82" s="10" t="s">
        <v>280</v>
      </c>
      <c r="D82" s="2" t="s">
        <v>542</v>
      </c>
    </row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2026-10-23T03:41:03Z</dcterms:created>
  <dc:creator>openpyxl</dc:creator>
  <dc:description/>
  <dc:language>en-US</dc:language>
  <cp:lastModifiedBy/>
  <dcterms:modified xsi:type="dcterms:W3CDTF">2026-10-23T20:57:21Z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