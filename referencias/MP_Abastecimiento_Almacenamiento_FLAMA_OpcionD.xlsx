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4"/>
    <sheet state="visible" name="Resumen" sheetId="2" r:id="rId5"/>
    <sheet state="visible" name="Volumenes" sheetId="3" r:id="rId6"/>
    <sheet state="visible" name="Geometria Acero" sheetId="4" r:id="rId7"/>
    <sheet state="visible" name="Coef Fabricacion" sheetId="5" r:id="rId8"/>
    <sheet state="visible" name="Coef Recargas" sheetId="6" r:id="rId9"/>
    <sheet state="visible" name="Consumo Anual" sheetId="7" r:id="rId10"/>
    <sheet state="visible" name="MP Abastecimiento" sheetId="8" r:id="rId11"/>
    <sheet state="visible" name="Almacen MP" sheetId="9" r:id="rId12"/>
    <sheet state="visible" name="Manipulacion" sheetId="10" r:id="rId13"/>
    <sheet state="visible" name="Pallets PT" sheetId="11" r:id="rId14"/>
    <sheet state="visible" name="Corte Opcion D" sheetId="12" r:id="rId15"/>
    <sheet state="visible" name="Dudas" sheetId="13" r:id="rId16"/>
    <sheet state="visible" name="Fuentes" sheetId="14" r:id="rId17"/>
  </sheets>
  <definedNames>
    <definedName hidden="1" localSheetId="7" name="_xlnm._FilterDatabase">'MP Abastecimiento'!$A$4:$AL$68</definedName>
  </definedNames>
  <calcPr/>
  <extLst>
    <ext uri="GoogleSheetsCustomDataVersion2">
      <go:sheetsCustomData xmlns:go="http://customooxmlschemas.google.com/" r:id="rId18" roundtripDataChecksum="SzNVF4ZmPohDnYf0EWiVkmsz/J6kQml3l789k9ZNqz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7">
      <text>
        <t xml:space="preserve">======
ID#AAACHwuihRk
Claude    (2026-09-27 23:02:15)
Supuesto conservador: el perfil automovilístico (1 kg) tiene 12 % en enero y diciembre (Parametros). El resto de los perfiles tiene ≤11 %.</t>
      </text>
    </comment>
  </commentList>
  <extLst>
    <ext uri="GoogleSheetsCustomDataVersion2">
      <go:sheetsCustomData xmlns:go="http://customooxmlschemas.google.com/" r:id="rId1" roundtripDataSignature="AMtx7mj9lPGVBzejcmStx9+yHoIZd1KNB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ID#AAACHwuihRo
Claude    (2026-09-27 23:02:15)
Mecalux: 3,2–3,5 m para contrapesada eléctrica con pallets 1200×1000 por el lado de 1000. El layout v3 usa 3,8 m en AL-3.</t>
      </text>
    </comment>
  </commentList>
  <extLst>
    <ext uri="GoogleSheetsCustomDataVersion2">
      <go:sheetsCustomData xmlns:go="http://customooxmlschemas.google.com/" r:id="rId1" roundtripDataSignature="AMtx7mjj/dLDoY43Gvbnsx9JsGFrj+gagw=="/>
    </ext>
  </extLst>
</comments>
</file>

<file path=xl/sharedStrings.xml><?xml version="1.0" encoding="utf-8"?>
<sst xmlns="http://schemas.openxmlformats.org/spreadsheetml/2006/main" count="3543" uniqueCount="1844">
  <si>
    <t>ÍNDICE</t>
  </si>
  <si>
    <t>GEOMETRÍA, ACERO Y CONSUMIBLES DE PROCESO POR RECIPIENTE</t>
  </si>
  <si>
    <t>FLAMA S.A. — MATERIAS PRIMAS, ABASTECIMIENTO Y ALMACENAMIENTO (año de diseño 2035)</t>
  </si>
  <si>
    <t>VOLÚMENES DE PRODUCCIÓN Y RECARGAS 2026–2035</t>
  </si>
  <si>
    <t>Hoja</t>
  </si>
  <si>
    <t>Contenido</t>
  </si>
  <si>
    <t>Resumen</t>
  </si>
  <si>
    <t>Medidas: registro FADESA (Dimensiones de chapa), ET's Matafuegos, Materias Primas › Lineamientos, cotizaciones Pacheco N°42021 / Pradecon 173170-173195 y Comparacion_corte.xlsx (opción D elegida: hojas estándar en guillotina propia + fleje a medida). Cuando los archivos se contradicen se anotó en 'Dudas'.</t>
  </si>
  <si>
    <t>Armado el 27/09/2026 a partir del Drive del proyecto (INVESTIGACION PROVEEDORES + Dimensionamiento (13)) y fuentes web. Todo lo calculado es fórmula: cambiar los datos azules recalcula el libro.</t>
  </si>
  <si>
    <t>Fuente: Dimensionamiento_Tecnico_con_Recargas (13).xlsx › hoja datos_base (Drive, subido 27/09/2026). Recargas = PLANTA INDUSTRIAL sin la fila 'TOTAL CARROS' (es subtotal de 25–100 kg y duplicaba 1.427 u en 2035).</t>
  </si>
  <si>
    <t>PARÁMETROS GENERALES</t>
  </si>
  <si>
    <t>Resultados principales 2035, conclusiones y recomendaciones</t>
  </si>
  <si>
    <t>ALCANCE</t>
  </si>
  <si>
    <t>A. MATAFUEGOS TERMINADOS (fabricados + cargados) — unidades/año</t>
  </si>
  <si>
    <t>Parámetro</t>
  </si>
  <si>
    <t>• Fabricación de matafuegos ABC 1–100 kg (terminados) y de cilindros vendidos vacíos, más las recargas de la PLANTA INDUSTRIAL.</t>
  </si>
  <si>
    <t>Volumenes</t>
  </si>
  <si>
    <t>Unidad</t>
  </si>
  <si>
    <t>Valor</t>
  </si>
  <si>
    <t>Fuente / criterio</t>
  </si>
  <si>
    <t>Producción y recargas 2026–2035 (Drive)</t>
  </si>
  <si>
    <t>• No incluye las recargas de la planta comercial (otro sitio), ni servicios, EPP ni repuestos de máquinas (están en 'Investigación mercado').</t>
  </si>
  <si>
    <t>Año</t>
  </si>
  <si>
    <t>Geometria Acero</t>
  </si>
  <si>
    <t>1 kg</t>
  </si>
  <si>
    <t>2,5 kg</t>
  </si>
  <si>
    <t>5 kg</t>
  </si>
  <si>
    <t>10 kg</t>
  </si>
  <si>
    <t>25 kg</t>
  </si>
  <si>
    <t>50 kg</t>
  </si>
  <si>
    <t>70 kg</t>
  </si>
  <si>
    <t>• Año de diseño de stock y superficies: 2035 (el máximo del horizonte). El consumo 2026–2035 está en Consumo Anual.</t>
  </si>
  <si>
    <t>Densidad del acero</t>
  </si>
  <si>
    <t>100 kg</t>
  </si>
  <si>
    <t>Medidas, masas de acero, soldadura y pintura por formato</t>
  </si>
  <si>
    <t>Total</t>
  </si>
  <si>
    <t>kg/m³</t>
  </si>
  <si>
    <t>Coef Fabricacion</t>
  </si>
  <si>
    <t>2026</t>
  </si>
  <si>
    <t>Consumo de cada MP por unidad fabricada</t>
  </si>
  <si>
    <t>Valor estándar acero al carbono (Corte_chapa.docx)</t>
  </si>
  <si>
    <t>RESULTADOS PRINCIPALES 2035</t>
  </si>
  <si>
    <t>Coef Recargas</t>
  </si>
  <si>
    <t>Consumo de cada MP por recarga</t>
  </si>
  <si>
    <t>Indicador</t>
  </si>
  <si>
    <t>Dónde se calcula</t>
  </si>
  <si>
    <t>Consumo Anual</t>
  </si>
  <si>
    <t>Acero total (hojas, flejes, caño y casquetes)</t>
  </si>
  <si>
    <t>Consumo por año de cada MP (2026–2035)</t>
  </si>
  <si>
    <t>MP Abastecimiento</t>
  </si>
  <si>
    <t>TABLA PRINCIPAL: cómo viene cada MP, cada cuánto llega, stock, almacenamiento, descarga y zona</t>
  </si>
  <si>
    <t>Almacen MP</t>
  </si>
  <si>
    <t>m² por zona vs. layout, ubicación recomendada, recepciones y scrap</t>
  </si>
  <si>
    <t>Manipulacion</t>
  </si>
  <si>
    <t>Cómo se descarga y se mueve cada unidad de carga; equipos</t>
  </si>
  <si>
    <t>Pallets PT</t>
  </si>
  <si>
    <t>Unidades por pallet de cilindros y matafuegos; stock de PT</t>
  </si>
  <si>
    <t>Corte Opcion D</t>
  </si>
  <si>
    <t>Opción elegida: hojas estándar + guillotina CENA + flejes a medida. Acero por SKU, nesting y cortes, guillotina, equipos y manejo en el puesto</t>
  </si>
  <si>
    <t>t/año</t>
  </si>
  <si>
    <t>Corte Opcion D A</t>
  </si>
  <si>
    <t>Dudas</t>
  </si>
  <si>
    <t>Inconsistencias encontradas y supuestos a validar</t>
  </si>
  <si>
    <t>2027</t>
  </si>
  <si>
    <t>Polvo ABC (fabricación + recargas)</t>
  </si>
  <si>
    <t>Fuentes</t>
  </si>
  <si>
    <t>Documentos del Drive y fuentes web</t>
  </si>
  <si>
    <t>Referencias</t>
  </si>
  <si>
    <t>Consumo Anual MP-33</t>
  </si>
  <si>
    <t>2028</t>
  </si>
  <si>
    <t>Dato</t>
  </si>
  <si>
    <t>Gas Ar/CO₂ para soldadura</t>
  </si>
  <si>
    <t>Dato editable (número en azul; en las tablas de parámetros va en negrita)</t>
  </si>
  <si>
    <t>m³/mes promedio</t>
  </si>
  <si>
    <t>2029</t>
  </si>
  <si>
    <t>Consumo Anual MP-25</t>
  </si>
  <si>
    <t>Fórmula</t>
  </si>
  <si>
    <t>Nitrógeno</t>
  </si>
  <si>
    <t>Cálculo o vínculo a otra hoja (negro): no editar</t>
  </si>
  <si>
    <t>2030</t>
  </si>
  <si>
    <t>Consumo Anual MP-34</t>
  </si>
  <si>
    <t>Alambre MIG (0,9 + 1,2 mm)</t>
  </si>
  <si>
    <t>Total o resultado principal</t>
  </si>
  <si>
    <t>2031</t>
  </si>
  <si>
    <t>Sección de la hoja</t>
  </si>
  <si>
    <t>A</t>
  </si>
  <si>
    <t>2032</t>
  </si>
  <si>
    <t>Duda de prioridad A (hoja Dudas): cambia decisiones o superficies</t>
  </si>
  <si>
    <t>Stock máximo de MP</t>
  </si>
  <si>
    <t>2033</t>
  </si>
  <si>
    <t>Confianza del dato</t>
  </si>
  <si>
    <t>t</t>
  </si>
  <si>
    <t>Superficie de almacenamiento de MP requerida (incl. pasillos)</t>
  </si>
  <si>
    <t>DRIVE</t>
  </si>
  <si>
    <t>Dato tomado de un archivo del Drive del proyecto</t>
  </si>
  <si>
    <t>2034</t>
  </si>
  <si>
    <t>COTIZ</t>
  </si>
  <si>
    <t>m²</t>
  </si>
  <si>
    <t>Cotización o mail recibido de un proveedor</t>
  </si>
  <si>
    <t>Almacen MP 2</t>
  </si>
  <si>
    <t>2035</t>
  </si>
  <si>
    <t xml:space="preserve">  · AL-1 acero (requerido)</t>
  </si>
  <si>
    <t>WEB</t>
  </si>
  <si>
    <t>Fuente web (ver hoja Fuentes)</t>
  </si>
  <si>
    <t>EST</t>
  </si>
  <si>
    <t>Estimación de ingeniería: validar antes de cerrar</t>
  </si>
  <si>
    <t>vs ≈116 m² netos para acero en AL-1 (layout v3)</t>
  </si>
  <si>
    <t xml:space="preserve">  · Pañol de insumos pesados (requerido)</t>
  </si>
  <si>
    <t>No existe junto a P1 en el layout v3</t>
  </si>
  <si>
    <t>B. CILINDROS VENDIDOS VACÍOS (pintados y probados, sin válvula) — unidades/año</t>
  </si>
  <si>
    <t xml:space="preserve">  · Polvo químico (requerido)</t>
  </si>
  <si>
    <t>Caño cuerpo 1 kg — Ø exterior</t>
  </si>
  <si>
    <t>mm</t>
  </si>
  <si>
    <t xml:space="preserve">  · Insumos de terminación y embalaje (requerido)</t>
  </si>
  <si>
    <t>No existe en el layout v3</t>
  </si>
  <si>
    <t>Metalprisa: caño c/c LF Ø76,2 (mail 09/09/2026)</t>
  </si>
  <si>
    <t xml:space="preserve">  · Jaula de gases (requerido)</t>
  </si>
  <si>
    <t>vs 16 m² dibujados</t>
  </si>
  <si>
    <t>Recepciones de MP</t>
  </si>
  <si>
    <t>camiones/semana</t>
  </si>
  <si>
    <t>Almacen MP 5</t>
  </si>
  <si>
    <t>Pallets de PT despachados</t>
  </si>
  <si>
    <t>pallets/año</t>
  </si>
  <si>
    <t>Caño cuerpo 1 kg — espesor</t>
  </si>
  <si>
    <t>Pallets PT D</t>
  </si>
  <si>
    <t>Metalprisa Ø76,2 × 1,25 = $37.044 + IVA la barra de 6 m</t>
  </si>
  <si>
    <t>Posiciones de PT requeridas vs layout (122)</t>
  </si>
  <si>
    <t>posiciones</t>
  </si>
  <si>
    <t>Largo de barra de caño</t>
  </si>
  <si>
    <t>Metalprisa (caño de 6 m); Ternium: largo estándar 6.000 mm</t>
  </si>
  <si>
    <t>Cilindros de 1 kg por pallet (a granel)</t>
  </si>
  <si>
    <t>u/pallet</t>
  </si>
  <si>
    <t>Pallets PT A</t>
  </si>
  <si>
    <t>Cilindros de 5 kg por pallet (a granel)</t>
  </si>
  <si>
    <t>Scrap ferroso</t>
  </si>
  <si>
    <t>Merma de corte por cuerpo (ranura + despunte)</t>
  </si>
  <si>
    <t>Almacen MP 6</t>
  </si>
  <si>
    <t>Inversión en corte y manejo de chapa (opción D, guillotina CENA)</t>
  </si>
  <si>
    <t>USD/año</t>
  </si>
  <si>
    <t>Masa por metro de caño</t>
  </si>
  <si>
    <t>Corte Opcion D D</t>
  </si>
  <si>
    <t>kg/m</t>
  </si>
  <si>
    <t>CONCLUSIONES Y RECOMENDACIONES (para debatir)</t>
  </si>
  <si>
    <t>Chapa</t>
  </si>
  <si>
    <t>Opción D: cuerpos desde hojas estándar (1220×2440, 1000×2000, 1500×3000) cortadas en guillotina propia CENA 8×3200 con tope de 1.000 mm; cúpulas y fondos desde flejes a medida (Pacheco / Pradecon). La comparación de alternativas está en Comparacion_corte.xlsx.</t>
  </si>
  <si>
    <t>Especificar en la orden de compra: paquetes de hojas ≤2 t, un formato por paquete, sobre tacos; rollos de fleje de 0,5–1 t parados sobre cama de madera, zunchos radiales.</t>
  </si>
  <si>
    <t>Manipulación</t>
  </si>
  <si>
    <t>Sin puente grúa: autoelevador 2,5 t con prolongaciones y espolón. En la guillotina, mesa elevadora de tijera 3 t + mesa de bolas: las hojas de 25–168 kg se deslizan, no se levantan (ver Corte Opcion D).</t>
  </si>
  <si>
    <t>Autoelevador</t>
  </si>
  <si>
    <t>Autoelevador eléctrico de 2,0–2,5 t (no 1,5 t) para big bags de polvo, pallets de 1 t en rack y rollos con espolón; transpaletas y carros para la línea (cátedra).</t>
  </si>
  <si>
    <t>Pañol</t>
  </si>
  <si>
    <t>Separar un pañol de INSUMOS PESADOS junto a AL-1 y al portón P1 (alambre, granalla, cuplas, asientos, consumibles): hoy el pañol está en la esquina opuesta.</t>
  </si>
  <si>
    <t>Terminación</t>
  </si>
  <si>
    <t>Falta un depósito de insumos de terminación y embalaje junto a S3a/AL-3 (válvulas, cajas, etiquetas, film, pallets).</t>
  </si>
  <si>
    <t>Masa por barra de caño</t>
  </si>
  <si>
    <t>kg</t>
  </si>
  <si>
    <t>Polvo</t>
  </si>
  <si>
    <t>Big bag de 1 t con estación de descarga sobre la tolva de carga: en 2035 se consumen ≈2 t/día de polvo.</t>
  </si>
  <si>
    <t>Cilindros</t>
  </si>
  <si>
    <t>Cilindros vendidos a granel, parados, con separador de cartón por capa, tapón de rosca y film (ver Pallets PT).</t>
  </si>
  <si>
    <t>C. RECIPIENTES FABRICADOS = TERMINADOS + CILINDROS — unidades/año</t>
  </si>
  <si>
    <t>Validar</t>
  </si>
  <si>
    <t>Antes de cerrar: ver hoja Dudas (prioridad A). En especial, % de polvo nuevo en recargas, medidas de caja y los mails a proveedores con volúmenes equivocados.</t>
  </si>
  <si>
    <t>Puente entre discos en el fleje</t>
  </si>
  <si>
    <t>Comparacion_corte (opción D): puente s = 3 mm (≈1,5–3 × e); paso = D₀ + s</t>
  </si>
  <si>
    <t>Pintura en polvo — peso específico</t>
  </si>
  <si>
    <t>g/cm³</t>
  </si>
  <si>
    <t>EST (poliéster 1,4–1,7). Rendimiento teórico = 1000/(ρ·e) (pinturaenpolvo.org)</t>
  </si>
  <si>
    <t>Pintura — espesor de película</t>
  </si>
  <si>
    <t>µm</t>
  </si>
  <si>
    <t>Mail a Sinteplast: 60–80 µm en manuales (Drive)</t>
  </si>
  <si>
    <t>Pintura — pérdidas de aplicación</t>
  </si>
  <si>
    <t>%</t>
  </si>
  <si>
    <t>Rendimiento práctico 25–30 % menor que el teórico (pinturaenpolvo.org)</t>
  </si>
  <si>
    <t>Pintura — consumo práctico</t>
  </si>
  <si>
    <t>kg/m²</t>
  </si>
  <si>
    <t>Factor de área de cúpula/fondo embutidos vs. círculo plano</t>
  </si>
  <si>
    <t>-</t>
  </si>
  <si>
    <t>Rendimiento de depósito del alambre</t>
  </si>
  <si>
    <t>EST (salpicaduras + despuntes)</t>
  </si>
  <si>
    <t>Caudal de gas — manuales</t>
  </si>
  <si>
    <t>L/min</t>
  </si>
  <si>
    <t>EST (12–15 L/min según BOM del Drive)</t>
  </si>
  <si>
    <t>Caudal de gas — rodantes</t>
  </si>
  <si>
    <t>Factor pre/post-flujo y purgas de gas</t>
  </si>
  <si>
    <t>Granalla — consumo por hora de granallado</t>
  </si>
  <si>
    <t>kg/h</t>
  </si>
  <si>
    <t>EST; referencia web ≈9 kg/h en una granalladora comercial (metalmecanica.com)</t>
  </si>
  <si>
    <t>Granalladora — capacidad real</t>
  </si>
  <si>
    <t>u/h</t>
  </si>
  <si>
    <t>Dimensionamiento (13) › Parametros › Granallado = 81,2 u/h</t>
  </si>
  <si>
    <t>Desengrasante concentrado por m² pintado</t>
  </si>
  <si>
    <t>L/m²</t>
  </si>
  <si>
    <t>EST — pedir dato al proveedor del túnel (SP Ingeniería/Electricolor)</t>
  </si>
  <si>
    <t>Fosfatizante concentrado por m² pintado</t>
  </si>
  <si>
    <t>EST — ídem</t>
  </si>
  <si>
    <t>Recorrido del tope trasero de la guillotina (CENA 8×3200)</t>
  </si>
  <si>
    <t>Cotización CENA (Drive): versión con tope trasero 20–1.000 mm, USD 36.800 + IVA</t>
  </si>
  <si>
    <t>Peso máximo por paquete de hojas (orden de compra)</t>
  </si>
  <si>
    <t>Opción D: paquetes ≤2 t (autoelevador 2,5 t y mesa elevadora de 3 t)</t>
  </si>
  <si>
    <t>DATOS POR FORMATO (una columna por formato)</t>
  </si>
  <si>
    <t>Concepto</t>
  </si>
  <si>
    <t>Tipo de cuerpo</t>
  </si>
  <si>
    <t>Caño</t>
  </si>
  <si>
    <t>Hoja LAF (guillotina)</t>
  </si>
  <si>
    <t>Hoja LAC (guillotina)</t>
  </si>
  <si>
    <t>Opción D: cuerpos desde hoja estándar cortada en guillotina propia; 1 kg desde caño</t>
  </si>
  <si>
    <t>Espesor del cuerpo</t>
  </si>
  <si>
    <t>FADESA / cotizaciones Pacheco</t>
  </si>
  <si>
    <t>Ø exterior del recipiente</t>
  </si>
  <si>
    <t>ET's Matafuegos. 70 kg corregido a Ø390: desarrollo 1.212 mm ⇒ Ø≈390 (ET's dice 216,5 → ver Dudas)</t>
  </si>
  <si>
    <t>Desarrollo de la plancha (= perímetro)</t>
  </si>
  <si>
    <t>FADESA / Lineamientos (Materias Primas)</t>
  </si>
  <si>
    <t>Alto del cuerpo (1 kg: largo de corte del caño)</t>
  </si>
  <si>
    <t>FADESA: caño cortado a 255 mm; planchas L × H</t>
  </si>
  <si>
    <t>Masa neta del cuerpo</t>
  </si>
  <si>
    <t>Fórmula (1 kg: kg/m de caño × largo)</t>
  </si>
  <si>
    <t>Espesor de la cúpula</t>
  </si>
  <si>
    <t>FADESA / ET's: 1,6 mm en el 10 kg; la opción D toma 2,0 mm (tabla FLAMA y fleje cotizado por Pacheco) → Dudas</t>
  </si>
  <si>
    <t>Ø del disco de cúpula (D₀)</t>
  </si>
  <si>
    <t>FADESA 2,5–10 kg; 1 kg = ESTIMADO 108 mm (Comparacion_corte: masa de pieza 0,0461 kg / 0,71) — medir</t>
  </si>
  <si>
    <t>Ancho del fleje de cúpula</t>
  </si>
  <si>
    <t>Opción D: 1 kg fleje 114 mm (Pradecon, corte a medida sin cargo); 2,5–10 kg Pacheco N°42021</t>
  </si>
  <si>
    <t>Discos a lo ancho del fleje (cúpula)</t>
  </si>
  <si>
    <t>u</t>
  </si>
  <si>
    <t>1 disco por ancho de fleje (troquel simple)</t>
  </si>
  <si>
    <t>Masa bruta de fleje por cúpula</t>
  </si>
  <si>
    <t>D. RECARGAS PLANTA INDUSTRIAL (se hacen en esta planta) — unidades/año</t>
  </si>
  <si>
    <t>ABC 1 kg</t>
  </si>
  <si>
    <t>ABC 2,5 kg</t>
  </si>
  <si>
    <t>ABC 5 kg</t>
  </si>
  <si>
    <t>ABC 10 kg</t>
  </si>
  <si>
    <t>Agua 10 l</t>
  </si>
  <si>
    <t>AFFF 10 l</t>
  </si>
  <si>
    <t>AFFF 50 l s/r</t>
  </si>
  <si>
    <t>Fórmula: (ancho/n) × (D₀+puente) × e × ρ</t>
  </si>
  <si>
    <t>BC 5 kg</t>
  </si>
  <si>
    <t>Sales K 6 l</t>
  </si>
  <si>
    <t>CO₂ 2 kg</t>
  </si>
  <si>
    <t>CO₂ 5 kg</t>
  </si>
  <si>
    <t>HCFC/HFC 5 kg</t>
  </si>
  <si>
    <t>Masa neta del disco de cúpula</t>
  </si>
  <si>
    <t>Clase D 9 l</t>
  </si>
  <si>
    <t>ABC 25 kg s/r</t>
  </si>
  <si>
    <t>ABC 50 kg s/r</t>
  </si>
  <si>
    <t>ABC 70 kg s/r</t>
  </si>
  <si>
    <t>ABC 100 kg s/r</t>
  </si>
  <si>
    <t>Fórmula: π/4 × D₀² × e × ρ</t>
  </si>
  <si>
    <t>Espesor del fondo</t>
  </si>
  <si>
    <t>FADESA</t>
  </si>
  <si>
    <t>Ø del disco de fondo (D₀)</t>
  </si>
  <si>
    <t>FADESA 2,5–10 kg; 1 kg = ESTIMADO 100 mm (Comparacion_corte: masa de pieza 0,0497 kg / 0,90) — medir</t>
  </si>
  <si>
    <t>Ancho del fleje de fondo</t>
  </si>
  <si>
    <t>Opción D: 1 kg 106 mm (Pradecon); 2,5–10 kg Pacheco N°42021 (10 kg: 249 mm)</t>
  </si>
  <si>
    <t>Discos a lo ancho del fleje (fondo)</t>
  </si>
  <si>
    <t>1 disco por ancho de fleje</t>
  </si>
  <si>
    <t>Masa bruta de fleje por fondo</t>
  </si>
  <si>
    <t>Masa neta del disco de fondo</t>
  </si>
  <si>
    <t>E. PARÁMETROS DE CALENDARIO</t>
  </si>
  <si>
    <t>Factor del mes pico (% del consumo anual)</t>
  </si>
  <si>
    <t>Casquetes comprados por recipiente</t>
  </si>
  <si>
    <t>Supuesto: perfil 1 kg = 12 % (ene/dic). Dimensiona lotes y stock.</t>
  </si>
  <si>
    <t>Carros: fondo y cúpula comprados estampados (Dimensionamiento 13)</t>
  </si>
  <si>
    <t>Masa por casquete</t>
  </si>
  <si>
    <t>Días hábiles por mes</t>
  </si>
  <si>
    <t>Dimensionamiento (13): 20 días hábiles/mes</t>
  </si>
  <si>
    <t>Días hábiles por año</t>
  </si>
  <si>
    <t>Semanas operativas por año</t>
  </si>
  <si>
    <t>EST (descontando feriados y vacaciones)</t>
  </si>
  <si>
    <t>FADESA: 10" 2,44 · 12" 3,36 · 15" 6,64 kg (100 kg: se asume igual al 70)</t>
  </si>
  <si>
    <t>Altura de cúpula / casquete superior</t>
  </si>
  <si>
    <t>ET's / Lineamientos; 70–100 kg EST</t>
  </si>
  <si>
    <t>Altura de fondo / casquete inferior</t>
  </si>
  <si>
    <t>Altura del recipiente sin válvula</t>
  </si>
  <si>
    <t>EST = cuerpo + cúpula + fondo + 8 mm de cuello (verificar con plano)</t>
  </si>
  <si>
    <t>Masa de asiento de válvula / cupla</t>
  </si>
  <si>
    <t>Masa de varilla de refuerzo</t>
  </si>
  <si>
    <t>EST (dimensión sin definir en ET's)</t>
  </si>
  <si>
    <t>Masa del recipiente vacío (cálculo)</t>
  </si>
  <si>
    <t>Fórmula: cuerpo + discos netos + casquetes + cuello + varilla + cordón</t>
  </si>
  <si>
    <t>Masa del recipiente según planos (Drive)</t>
  </si>
  <si>
    <t>Materias Primas › Lineamientos: planos G809/G731/G732/G733/G690/G689</t>
  </si>
  <si>
    <t>Masa del recipiente adoptada</t>
  </si>
  <si>
    <t>Plano si existe; si no, cálculo</t>
  </si>
  <si>
    <t>Costura longitudinal</t>
  </si>
  <si>
    <t>m</t>
  </si>
  <si>
    <t>Fórmula = alto de cuerpo (1 kg: caño, sin costura)</t>
  </si>
  <si>
    <t>Costuras circunferenciales (cúpula + fondo)</t>
  </si>
  <si>
    <t>Fórmula = 2 × π × Ø</t>
  </si>
  <si>
    <t>Ø del cordón de cuello</t>
  </si>
  <si>
    <t>EST (M22 / M30 / 2½")</t>
  </si>
  <si>
    <t>Cordón de cuello</t>
  </si>
  <si>
    <t>Fórmula = π × Ø</t>
  </si>
  <si>
    <t>Otras soldaduras (varilla, estructura de carro)</t>
  </si>
  <si>
    <t>Longitud total de soldadura</t>
  </si>
  <si>
    <t>Sección de cordón depositado</t>
  </si>
  <si>
    <t>mm²</t>
  </si>
  <si>
    <t>EST (≤2 mm: filete ≈2 mm; 3,2–4,75 mm: bisel + sobreespesor)</t>
  </si>
  <si>
    <t>Alambre por metro de cordón</t>
  </si>
  <si>
    <t>g/m</t>
  </si>
  <si>
    <t>Fórmula = sección × ρ / rendimiento</t>
  </si>
  <si>
    <t>Alambre por recipiente</t>
  </si>
  <si>
    <t>Ø de alambre</t>
  </si>
  <si>
    <t>Recomendación cátedra (Drive): 0,9 mm chapa fina; 1,2 mm más de 2 mm</t>
  </si>
  <si>
    <t>Velocidad de soldadura</t>
  </si>
  <si>
    <t>m/min</t>
  </si>
  <si>
    <t>EST (soldadoras automáticas)</t>
  </si>
  <si>
    <t>Tiempo de arco</t>
  </si>
  <si>
    <t>min</t>
  </si>
  <si>
    <t>Gas Ar/CO₂ por recipiente</t>
  </si>
  <si>
    <t>m³</t>
  </si>
  <si>
    <t>Fórmula = tiempo de arco × caudal × factor</t>
  </si>
  <si>
    <t>Área exterior del recipiente</t>
  </si>
  <si>
    <t>Fórmula = π·Ø·H + 2·π/4·Ø²·factor domo</t>
  </si>
  <si>
    <t>¿Se pinta en planta? (1 = sí)</t>
  </si>
  <si>
    <t>Dimensionamiento (13): pintura de carros tercerizada siempre</t>
  </si>
  <si>
    <t>Pintura en polvo por recipiente</t>
  </si>
  <si>
    <t>¿Se granalla? (1 = sí)</t>
  </si>
  <si>
    <t>Dimensionamiento (13): el 1 kg no se granalla; carros van a pintura tercerizada</t>
  </si>
  <si>
    <t>Granalla por recipiente</t>
  </si>
  <si>
    <t>Fórmula = consumo kg/h ÷ u/h</t>
  </si>
  <si>
    <t>Desengrasante por recipiente</t>
  </si>
  <si>
    <t>L</t>
  </si>
  <si>
    <t>Fosfatizante por recipiente</t>
  </si>
  <si>
    <t>Hoja estándar — ancho</t>
  </si>
  <si>
    <t>Opción D (Comparacion_corte › Nesting): formatos comerciales Pradecon 173195 / Parrotta 413329</t>
  </si>
  <si>
    <t>Hoja estándar — largo</t>
  </si>
  <si>
    <t>Ídem</t>
  </si>
  <si>
    <t>Cuerpos de 1 kg por barra de 6 m</t>
  </si>
  <si>
    <t>Fórmula = FLOOR(barra / (largo + merma))</t>
  </si>
  <si>
    <t>Barras de caño por cuerpo de 1 kg</t>
  </si>
  <si>
    <t>barra</t>
  </si>
  <si>
    <t>Masa bruta de caño por cuerpo de 1 kg</t>
  </si>
  <si>
    <t>Masa de la hoja estándar</t>
  </si>
  <si>
    <t>Fórmula = ancho × largo × e × ρ</t>
  </si>
  <si>
    <t>Cuerpos por hoja</t>
  </si>
  <si>
    <t>Comparacion_corte › Nesting. 70 kg: hoja mixta (3 de 70 + 1 de 100 en 1212 × 2940 mm); 100 kg: 3 por hoja</t>
  </si>
  <si>
    <t>Cuerpos de 100 kg por hoja mixta</t>
  </si>
  <si>
    <t>Solo en la hoja mixta del 70 kg (mezcla activa en Comparacion_corte)</t>
  </si>
  <si>
    <t>Hojas por cuerpo</t>
  </si>
  <si>
    <t>hoja</t>
  </si>
  <si>
    <t>1 / cuerpos por hoja. 70 kg: 1/3 − 1/9 (el 100 kg que sale de la misma hoja se cuenta en el 100 kg); vale mientras los 100 kg ≥ ⅓ de los 70 kg</t>
  </si>
  <si>
    <t>Aprovechamiento de la hoja</t>
  </si>
  <si>
    <t>Fórmula (70 kg: hoja mixta completa)</t>
  </si>
  <si>
    <t>Masa bruta de hoja por cuerpo</t>
  </si>
  <si>
    <t>Hojas por cuerpo × masa de la hoja</t>
  </si>
  <si>
    <t>Orillas de guillotina (scrap) por cuerpo</t>
  </si>
  <si>
    <t>Masa bruta − masa neta del cuerpo</t>
  </si>
  <si>
    <t>1er corte: ancho de franja</t>
  </si>
  <si>
    <t>Comparacion_corte › Proceso D (70 kg: franja de 1212 de la hoja mixta)</t>
  </si>
  <si>
    <t>Franjas por hoja</t>
  </si>
  <si>
    <t>2º corte: largo de pieza</t>
  </si>
  <si>
    <t>Cortes de guillotina por hoja</t>
  </si>
  <si>
    <t>Comparacion_corte › Nesting (hoja mixta: 5 cortes)</t>
  </si>
  <si>
    <t>Peso de la franja</t>
  </si>
  <si>
    <t>Ancho de franja × largo de hoja × e × ρ</t>
  </si>
  <si>
    <t>Cota máxima de tope trasero</t>
  </si>
  <si>
    <t>Si la franja supera el recorrido del tope, se corta primero la orilla (hoja − franja) y la franja queda adelante</t>
  </si>
  <si>
    <t>¿Todos los cortes con tope?</t>
  </si>
  <si>
    <t>—</t>
  </si>
  <si>
    <t>Compara con el recorrido del tope (C27)</t>
  </si>
  <si>
    <t>COEFICIENTES DE CONSUMO POR UNIDAD — FABRICACIÓN</t>
  </si>
  <si>
    <t>Cada fila es una MP. Consumo anual = Σ coef × volumen (hoja Consumo Anual). R = por recipiente fabricado (terminado + cilindro) · T = por matafuego terminado · C = por cilindro vendido vacío.</t>
  </si>
  <si>
    <t>PARÁMETROS</t>
  </si>
  <si>
    <t>Densidad aparente del polvo ABC</t>
  </si>
  <si>
    <t>kg/L</t>
  </si>
  <si>
    <t>EST (0,9–1,1)</t>
  </si>
  <si>
    <t>Volumen libre para el gas (fracción del volumen interior)</t>
  </si>
  <si>
    <t>Presión de carga absoluta (1,4 MPa + 1 bar)</t>
  </si>
  <si>
    <t>bar</t>
  </si>
  <si>
    <t>IRAM 3523: servicio 1,4 MPa (mails del Drive)</t>
  </si>
  <si>
    <t>Factor de pérdidas de N₂ en la carga (purga, mangueras)</t>
  </si>
  <si>
    <t>Merma de polvo en el llenado</t>
  </si>
  <si>
    <t>Matafuegos de 1 kg por caja</t>
  </si>
  <si>
    <t>ET's Matafuegos (caja × 6)</t>
  </si>
  <si>
    <t>Tapones de enmascarado — ciclos de vida</t>
  </si>
  <si>
    <t>ciclos</t>
  </si>
  <si>
    <t>Alambre por punta de contacto</t>
  </si>
  <si>
    <t>Recipientes por disco de amolado</t>
  </si>
  <si>
    <t>Film stretch por pallet</t>
  </si>
  <si>
    <t>EST (con pre-estirado, recubridor EDOS PS5)</t>
  </si>
  <si>
    <t>Esquineros por pallet</t>
  </si>
  <si>
    <t>Masa válvula 1 kg (M22)</t>
  </si>
  <si>
    <t>Masa válvula M30 + manómetro</t>
  </si>
  <si>
    <t>Carga nominal de polvo por formato (kg)</t>
  </si>
  <si>
    <t>R — por RECIPIENTE fabricado</t>
  </si>
  <si>
    <t>T — por matafuego TERMINADO</t>
  </si>
  <si>
    <t>C — por CILINDRO vendido vacío</t>
  </si>
  <si>
    <t>Código</t>
  </si>
  <si>
    <t>Materia prima / insumo</t>
  </si>
  <si>
    <t>Criterio / fuente</t>
  </si>
  <si>
    <t>Confianza</t>
  </si>
  <si>
    <t>MP-01</t>
  </si>
  <si>
    <t>Caño SAE 1010 c/costura Ø76,2 × 1,25 mm × 6 m (cuerpo 1 kg)</t>
  </si>
  <si>
    <t>Barras por cuerpo = 1 / cuerpos por barra (Geometria)</t>
  </si>
  <si>
    <t>COTIZ + EST</t>
  </si>
  <si>
    <t>MP-02</t>
  </si>
  <si>
    <t>Hoja LAF 1,25 × 1220 × 2440 mm (cuerpos 2,5 kg; 27 por hoja)</t>
  </si>
  <si>
    <t>Hojas por cuerpo (Geometria, opción D)</t>
  </si>
  <si>
    <t>COTIZ + nesting</t>
  </si>
  <si>
    <t>MP-03</t>
  </si>
  <si>
    <t>Hoja LAF 1,6 × 1000 × 2000 mm (cuerpos 5 kg; 12 por hoja)</t>
  </si>
  <si>
    <t>MP-04</t>
  </si>
  <si>
    <t>Hoja LAF 2,0 × 1500 × 3000 mm (cuerpos 10 kg; 15 por hoja)</t>
  </si>
  <si>
    <t>MP-05</t>
  </si>
  <si>
    <t>Fleje LAF 0,9 × 114 mm (cúpula 1 kg)</t>
  </si>
  <si>
    <t>Masa bruta de fleje por cúpula (Geometria)</t>
  </si>
  <si>
    <t>MP-06</t>
  </si>
  <si>
    <t>Fleje LAF 1,25 × 200 mm (cúpula Ø179 + fondo Ø148, 2,5 kg)</t>
  </si>
  <si>
    <t>Masa bruta de fleje cúpula + fondo</t>
  </si>
  <si>
    <t>MP-07</t>
  </si>
  <si>
    <t>Fleje LAF 1,6 × 250 mm (cúpula Ø221, 5 kg)</t>
  </si>
  <si>
    <t>MP-08</t>
  </si>
  <si>
    <t>Fleje LAF 1,6 × 200 mm (fondo Ø177, 5 kg)</t>
  </si>
  <si>
    <t>MP-09</t>
  </si>
  <si>
    <t>Fleje LAF 2,0 × 300 mm (cúpula Ø258, 10 kg)</t>
  </si>
  <si>
    <t>MP-10</t>
  </si>
  <si>
    <t>Fleje LAF 2,0 × 249 mm (fondo Ø205, 10 kg)</t>
  </si>
  <si>
    <t>MP-11</t>
  </si>
  <si>
    <t>Hoja LAC 3,2 × 1500 × 3000 mm (cuerpos 25 kg: 9 por hoja; 50 kg: 6 por hoja)</t>
  </si>
  <si>
    <t>MP-12</t>
  </si>
  <si>
    <t>Hoja LAC 4,75 × 1500 × 3000 mm (cuerpos 70 y 100 kg; hoja mixta 3 × 70 + 1 × 100)</t>
  </si>
  <si>
    <t>Hojas por cuerpo; el 70 kg descuenta el 100 kg que sale de la hoja mixta (Geometria)</t>
  </si>
  <si>
    <t>MP-13</t>
  </si>
  <si>
    <t>Fleje LAF 0,9 × 106 mm (fondo 1 kg)</t>
  </si>
  <si>
    <t>COEFICIENTES DE CONSUMO POR UNIDAD — RECARGAS (planta industrial)</t>
  </si>
  <si>
    <t>Masa bruta de fleje por fondo (Geometria)</t>
  </si>
  <si>
    <t>MP-15</t>
  </si>
  <si>
    <t>Casquete embutido 10" × 3,2 mm (carro 25 kg)</t>
  </si>
  <si>
    <t>2 casquetes (fondo = cúpula) por recipiente</t>
  </si>
  <si>
    <t>DRIVE + EST</t>
  </si>
  <si>
    <t>MP-16</t>
  </si>
  <si>
    <t>Casquete embutido 12" × 3,2 mm (carro 50 kg)</t>
  </si>
  <si>
    <t>2 por recipiente</t>
  </si>
  <si>
    <t>MP-17</t>
  </si>
  <si>
    <t>Casquete embutido 15" × 4,75 mm (carros 70 y 100 kg)</t>
  </si>
  <si>
    <t>Por recarga, según tipo de equipo. Se usan los % del Dimensionamiento (13) › Parametros Recargas cuando existen.</t>
  </si>
  <si>
    <t>MP-18</t>
  </si>
  <si>
    <t>Asiento de válvula roscado M22 (cúpula 1 kg)</t>
  </si>
  <si>
    <t>1 por recipiente</t>
  </si>
  <si>
    <t>MP-19</t>
  </si>
  <si>
    <t>Asiento de válvula roscado M30 × 1,5 (cúpula 2,5–10 kg)</t>
  </si>
  <si>
    <t>MP-20</t>
  </si>
  <si>
    <t>Cupla soldable M30 × 1,5 (carros 25 y 50 kg)</t>
  </si>
  <si>
    <t>MP-21</t>
  </si>
  <si>
    <t>Cupla soldable 2½" BSP (carros 70 y 100 kg)</t>
  </si>
  <si>
    <t>MP-22</t>
  </si>
  <si>
    <t>Varilla de refuerzo (carros 70 y 100 kg)</t>
  </si>
  <si>
    <t>Polvo ABC/BC nuevo por recarga (reposición + rechazos)</t>
  </si>
  <si>
    <t>kg por recipiente (Geometria)</t>
  </si>
  <si>
    <t>MP-23</t>
  </si>
  <si>
    <t>Alambre MIG ER70S-6 Ø0,9 mm (manuales 1–10 kg)</t>
  </si>
  <si>
    <t>EST: ≈15 % de reposición + 10 % de rechazo en el ensayo Puffer (IRAM 3672, muestreo 10 %)</t>
  </si>
  <si>
    <t>Polvo clase D nuevo por recarga</t>
  </si>
  <si>
    <t>% CO₂ / agente limpio que se vacían y recargan</t>
  </si>
  <si>
    <t>Dimensionamiento (13) › Parametros Recargas</t>
  </si>
  <si>
    <t>WEB + EST</t>
  </si>
  <si>
    <t>MP-24</t>
  </si>
  <si>
    <t>Alambre MIG ER70S-6 Ø1,2 mm (carros 25–100 kg)</t>
  </si>
  <si>
    <t>Pérdidas de trasvase de CO₂</t>
  </si>
  <si>
    <t>Pérdidas de agente limpio</t>
  </si>
  <si>
    <t>MP-25</t>
  </si>
  <si>
    <t>Gas de protección Ar + 8 % CO₂ (ARCAL 21)</t>
  </si>
  <si>
    <t>Concentración de AFFF en la premezcla</t>
  </si>
  <si>
    <t>EST conservador (AFFF 3 % o 6 %; lista de precios Drive)</t>
  </si>
  <si>
    <t>N₂ por recarga agua / AFFF 10 l</t>
  </si>
  <si>
    <t>EST: 2,5 L libres × 11 bar × 1,3</t>
  </si>
  <si>
    <t>N₂ por recarga AFFF 50 l</t>
  </si>
  <si>
    <t>N₂ por recarga clase K 6 l</t>
  </si>
  <si>
    <t>Argón por recarga de agente limpio vaciado</t>
  </si>
  <si>
    <t>Reposición de manómetros</t>
  </si>
  <si>
    <t>Reposición de válvulas</t>
  </si>
  <si>
    <t>m³ por recipiente (Geometria)</t>
  </si>
  <si>
    <t>MP-26</t>
  </si>
  <si>
    <t>Puntas de contacto y toberas MIG</t>
  </si>
  <si>
    <t>Reposición de mangueras</t>
  </si>
  <si>
    <t>Reposición de tubos pescantes</t>
  </si>
  <si>
    <t>Equipos que llegan con pintura deteriorada</t>
  </si>
  <si>
    <t>Pintura por retoque</t>
  </si>
  <si>
    <t>Carga de un equipo clase D 9 l</t>
  </si>
  <si>
    <t>EST (BOM Drive: CLD-10)</t>
  </si>
  <si>
    <t>1 punta cada 4 kg de alambre</t>
  </si>
  <si>
    <t>Carga nominal (kg o litros)</t>
  </si>
  <si>
    <t>MP-27</t>
  </si>
  <si>
    <t>Discos de amolado y corte Ø115 mm</t>
  </si>
  <si>
    <t>Familia</t>
  </si>
  <si>
    <t>ABC</t>
  </si>
  <si>
    <t>LIQ</t>
  </si>
  <si>
    <t>BC</t>
  </si>
  <si>
    <t>CO2</t>
  </si>
  <si>
    <t>LIM</t>
  </si>
  <si>
    <t>D</t>
  </si>
  <si>
    <t>% de equipos que se desarman (cambio de O-ring)</t>
  </si>
  <si>
    <t>1 disco cada 150 recipientes</t>
  </si>
  <si>
    <t>MP-28</t>
  </si>
  <si>
    <t>Granalla de acero S330/S390 (reposición)</t>
  </si>
  <si>
    <t>MP-33</t>
  </si>
  <si>
    <t>Polvo químico ABC (MAP ≥55 %, IRAM 3569)</t>
  </si>
  <si>
    <t>kg por recipiente granallado (Geometria)</t>
  </si>
  <si>
    <t>MP-29</t>
  </si>
  <si>
    <t>Desengrasante alcalino (pretratamiento)</t>
  </si>
  <si>
    <t>Carga nominal + 1 % de merma; recargas: % de polvo nuevo</t>
  </si>
  <si>
    <t>COTIZ + WEB + EST</t>
  </si>
  <si>
    <t>MP-34</t>
  </si>
  <si>
    <t>Nitrógeno seco (≥99,8 %, rocío ≤ −40 °C)</t>
  </si>
  <si>
    <t>L por recipiente pintado (Geometria)</t>
  </si>
  <si>
    <t>MP-30</t>
  </si>
  <si>
    <t>Fosfatizante (fosfato de hierro)</t>
  </si>
  <si>
    <t>L por recipiente pintado</t>
  </si>
  <si>
    <t>MP-31</t>
  </si>
  <si>
    <t>Pintura en polvo poliéster RAL 3000 (rojo)</t>
  </si>
  <si>
    <t>kg por recipiente (área × consumo práctico)</t>
  </si>
  <si>
    <t>MP-32</t>
  </si>
  <si>
    <t>Tapones de enmascarado (silicona) para rosca</t>
  </si>
  <si>
    <t>1 cada 50 ciclos de pintura</t>
  </si>
  <si>
    <t>Volumen libre × 15 bar × pérdidas</t>
  </si>
  <si>
    <t>MP-35</t>
  </si>
  <si>
    <t>Polvo químico BC (recargas)</t>
  </si>
  <si>
    <t>% de polvo nuevo</t>
  </si>
  <si>
    <t>MP-36</t>
  </si>
  <si>
    <t>Polvo clase D (recargas)</t>
  </si>
  <si>
    <t>MP-37</t>
  </si>
  <si>
    <t>CO₂ líquido (recargas)</t>
  </si>
  <si>
    <t>MP-42</t>
  </si>
  <si>
    <t>Válvula M-22 para 1 kg con tubo de pesca</t>
  </si>
  <si>
    <t>1 por terminado; 3 % de reposición en recargas</t>
  </si>
  <si>
    <t>Carga × % vaciados × pérdidas de trasvase</t>
  </si>
  <si>
    <t>MP-43</t>
  </si>
  <si>
    <t>Válvula M-30 con resorte para 2,5–10 kg</t>
  </si>
  <si>
    <t>MP-38</t>
  </si>
  <si>
    <t>Agente limpio HCFC/HFC (recargas)</t>
  </si>
  <si>
    <t>1 por terminado; 3 % de reposición</t>
  </si>
  <si>
    <t>MP-44</t>
  </si>
  <si>
    <t>Válvula para carro 25–100 kg (con traba, manija y resorte)</t>
  </si>
  <si>
    <t>Carga × % vaciados × pérdidas</t>
  </si>
  <si>
    <t>MP-39</t>
  </si>
  <si>
    <t>Argón (presurización de agente limpio)</t>
  </si>
  <si>
    <t>1 por carro terminado</t>
  </si>
  <si>
    <t>MP-45</t>
  </si>
  <si>
    <t>Manómetro IRAM 3533 (1,4 MPa)</t>
  </si>
  <si>
    <t>% vaciados × m³ por carga</t>
  </si>
  <si>
    <t>MP-40</t>
  </si>
  <si>
    <t>Concentrado AFFF (recargas)</t>
  </si>
  <si>
    <t>1 por terminado; 8 % de reposición</t>
  </si>
  <si>
    <t>MP-46</t>
  </si>
  <si>
    <t>Tubo pescante PP/PEAD (2,5–10 kg)</t>
  </si>
  <si>
    <t>1 por terminado (en 1 kg viene con la válvula)</t>
  </si>
  <si>
    <t>MP-47</t>
  </si>
  <si>
    <t>Tubo pescante de acero (carros)</t>
  </si>
  <si>
    <t>Volumen × concentración (la premezcla se reemplaza)</t>
  </si>
  <si>
    <t>COTIZ + WEB</t>
  </si>
  <si>
    <t>MP-41</t>
  </si>
  <si>
    <t>Solución clase K — acetato de potasio (recargas)</t>
  </si>
  <si>
    <t>1 por carro</t>
  </si>
  <si>
    <t>MP-48</t>
  </si>
  <si>
    <t>Manguera + tobera (2,5–10 kg)</t>
  </si>
  <si>
    <t>1 por terminado (el 1 kg no lleva)</t>
  </si>
  <si>
    <t>Se reemplaza la carga completa</t>
  </si>
  <si>
    <t>MP-49</t>
  </si>
  <si>
    <t>Manguera + lanza/pistola para carro</t>
  </si>
  <si>
    <t>MP-50</t>
  </si>
  <si>
    <t>O-ring NBR 70</t>
  </si>
  <si>
    <t>2 por válvula; en recargas solo si se desarma</t>
  </si>
  <si>
    <t>MP-51</t>
  </si>
  <si>
    <t>Pasador + precinto de seguridad numerado</t>
  </si>
  <si>
    <t>1 por terminado y por recarga</t>
  </si>
  <si>
    <t>MP-52</t>
  </si>
  <si>
    <t>Soporte de pared (1–10 kg)</t>
  </si>
  <si>
    <t>1 por terminado manual</t>
  </si>
  <si>
    <t>MP-53</t>
  </si>
  <si>
    <t>Estructura de carro (chasis, eje, manija, ganchos)</t>
  </si>
  <si>
    <t>MP-54</t>
  </si>
  <si>
    <t>Ruedas de carro (par) Ø300–500 mm</t>
  </si>
  <si>
    <t>par</t>
  </si>
  <si>
    <t>1 par por carro</t>
  </si>
  <si>
    <t>MP-56</t>
  </si>
  <si>
    <t>Oblea/etiqueta IRAM 3534 + calcos + QR (fabricación)</t>
  </si>
  <si>
    <t>1 por terminado</t>
  </si>
  <si>
    <t>MP-58</t>
  </si>
  <si>
    <t>Tarjeta de control / mantenimiento</t>
  </si>
  <si>
    <t>MP-59</t>
  </si>
  <si>
    <t>Caja de cartón corrugado (individual 2,5–10 kg; × 6 para 1 kg)</t>
  </si>
  <si>
    <t>1 por terminado (1 kg: 1 cada 6)</t>
  </si>
  <si>
    <t>MP-60</t>
  </si>
  <si>
    <t>Pallet ARLOG 1200 × 1000 (despacho de PT)</t>
  </si>
  <si>
    <t>1 / unidades por pallet (Pallets PT)</t>
  </si>
  <si>
    <t>MP-61</t>
  </si>
  <si>
    <t>Separador de capa (cartón) para pallets de cilindros</t>
  </si>
  <si>
    <t>MP-55</t>
  </si>
  <si>
    <t>Conjunto de seguridad CO₂ (IRAM 2736)</t>
  </si>
  <si>
    <t>Se reemplaza en cada vaciado total</t>
  </si>
  <si>
    <t>MP-57</t>
  </si>
  <si>
    <t>Marbete/oblea de mantenimiento IRAM 3517-2 (recargas)</t>
  </si>
  <si>
    <t>1 por recarga</t>
  </si>
  <si>
    <t>MP-65</t>
  </si>
  <si>
    <t>Pintura de retoque (esmalte rojo) — recargas</t>
  </si>
  <si>
    <t>15 % de los equipos × 0,05 L</t>
  </si>
  <si>
    <t>(capas + 1) / unidades por pallet</t>
  </si>
  <si>
    <t>MP-62</t>
  </si>
  <si>
    <t>Tapón protector de rosca (cilindros vendidos)</t>
  </si>
  <si>
    <t>1 por cilindro vendido</t>
  </si>
  <si>
    <t>MP-63</t>
  </si>
  <si>
    <t>Film stretch 500 mm (bobina ≈16 kg)</t>
  </si>
  <si>
    <t>kg por pallet / unidades por pallet</t>
  </si>
  <si>
    <t>MP-64</t>
  </si>
  <si>
    <t>Esquineros de cartón</t>
  </si>
  <si>
    <t>4 por pallet</t>
  </si>
  <si>
    <t>CONSUMO ANUAL DE MATERIAS PRIMAS E INSUMOS 2026–2035</t>
  </si>
  <si>
    <t>Fórmula por celda: Σ(coef R × recipientes) + Σ(coef T × terminados) + Σ(coef C × cilindros) + Σ(coef recarga × recargas).</t>
  </si>
  <si>
    <t>Crecimiento 2035/2028</t>
  </si>
  <si>
    <t>MATERIAS PRIMAS E INSUMOS: PRESENTACIÓN, FRECUENCIA DE ENTREGA, STOCK Y ALMACENAMIENTO (año de diseño 2035)</t>
  </si>
  <si>
    <t>Una fila por MP. Consumo 2035 desde Consumo Anual. Lote = MAX(consumo diario pico × frecuencia; 1 unidad de carga). Stock máx. = lote entregado + stock de seguridad.</t>
  </si>
  <si>
    <t>Especificación técnica</t>
  </si>
  <si>
    <t>Uso (proceso / puesto)</t>
  </si>
  <si>
    <t>Proveedor (Drive) / alternativas</t>
  </si>
  <si>
    <t>Precio y estado (Drive)</t>
  </si>
  <si>
    <t>Presentación: cómo viene</t>
  </si>
  <si>
    <t>Unidad de consumo</t>
  </si>
  <si>
    <t>Unidad de carga (UC)</t>
  </si>
  <si>
    <t>Contenido por UC (unid. consumo)</t>
  </si>
  <si>
    <t>Peso por UC (kg)</t>
  </si>
  <si>
    <t>Consumo 2035 (unid./año)</t>
  </si>
  <si>
    <t>Consumo mes pico 2035</t>
  </si>
  <si>
    <t>Consumo diario de diseño</t>
  </si>
  <si>
    <t>Lead time (días háb.)</t>
  </si>
  <si>
    <t>Frecuencia de entrega (días háb.)</t>
  </si>
  <si>
    <t>Lote por entrega (unid.)</t>
  </si>
  <si>
    <t>UC por entrega</t>
  </si>
  <si>
    <t>Entregas por año</t>
  </si>
  <si>
    <t>Cobertura de cada entrega (días háb.)</t>
  </si>
  <si>
    <t>Stock de seguridad (días háb.)</t>
  </si>
  <si>
    <t>Stock máximo (unid.)</t>
  </si>
  <si>
    <t>Stock máximo (UC)</t>
  </si>
  <si>
    <t>Peso del stock máximo (t)</t>
  </si>
  <si>
    <t>Tipo de almacenamiento</t>
  </si>
  <si>
    <t>UC por posición</t>
  </si>
  <si>
    <t>Posiciones extra (en uso / vacíos)</t>
  </si>
  <si>
    <t>Posiciones requeridas</t>
  </si>
  <si>
    <t>m² requeridos (incl. pasillos)</t>
  </si>
  <si>
    <t>Zona sugerida</t>
  </si>
  <si>
    <t>Descarga del camión</t>
  </si>
  <si>
    <t>Movimiento interno</t>
  </si>
  <si>
    <t>Frecuencia sugerida</t>
  </si>
  <si>
    <t>Fuente</t>
  </si>
  <si>
    <t>Dudas / a validar</t>
  </si>
  <si>
    <t>Grupo de entrega</t>
  </si>
  <si>
    <t>Peso por entrega (kg)</t>
  </si>
  <si>
    <t>SAE 1010 c/c, laminado en frío, Ø76,2 × 1,25 mm, barra 6 m. El 1 kg no se granalla (tubo limpio).</t>
  </si>
  <si>
    <t>Cuerpo 1 kg — corte de caño (E-01)</t>
  </si>
  <si>
    <t>Metalprisa/Prilux (CABA). Alt.: Comercial MID, SIAT, Tenaris</t>
  </si>
  <si>
    <t>$37.044 + IVA por barra de 6 m (Metalprisa, 09/09/2026). Comercial MID cotizó Ø76 × 2,6 mm (no corresponde)</t>
  </si>
  <si>
    <t>Barras de 6 m en atados hexagonales flejados</t>
  </si>
  <si>
    <t>Atado de 61 barras (EST)</t>
  </si>
  <si>
    <t>Cantiléver (atados 6 m)</t>
  </si>
  <si>
    <t>AL-1 Acero (junto a P1)</t>
  </si>
  <si>
    <t>Autoelevador 2,5 t con prolongaciones de horquilla ≥1,8 m (o 2 eslingas + balancín)</t>
  </si>
  <si>
    <t>Autoelevador → cargador de atados de E-01 (N1)</t>
  </si>
  <si>
    <t>Semanal en 2035 (≈5 atados); quincenal en los primeros años</t>
  </si>
  <si>
    <t>Drive: Materias Primas; mail Metalprisa 09/09/2026. Web: Ternium tubos (largo estándar 6.000 mm)</t>
  </si>
  <si>
    <t>Confirmar barras por atado y peso. Largo de corte 255 mm (FADESA) vs 298 mm (ET's): 23 vs 19 cuerpos/barra.</t>
  </si>
  <si>
    <t>Metalprisa (caño)</t>
  </si>
  <si>
    <t>LAF SAE 1010 1,25 mm (apta rolado), hoja comercial 1220 × 2440 mm. En planta: 3 franjas de 385,5 mm → 27 desarrollos de 385,5 × 269,5 mm (94 %)</t>
  </si>
  <si>
    <t>Cuerpo 2,5 kg: guillotina CENA 8×3200 → grabado de lote → cilindrado → soldadura longitudinal</t>
  </si>
  <si>
    <t>Pradecon (cot. 173195). Alt.: Hierros Parrotta (cot. 413329)</t>
  </si>
  <si>
    <t>USD 1,290/kg sin IVA (Pradecon 173195: $1.993,51/kg a TC 1.545). Parrotta: USD 1,346/kg</t>
  </si>
  <si>
    <t>Paquete de hojas flejado sobre tacos de madera, un formato por paquete</t>
  </si>
  <si>
    <t>Paquete ≤2 t (hojas de 29 kg)</t>
  </si>
  <si>
    <t>Piso paquetes de hoja estándar (2 alturas)</t>
  </si>
  <si>
    <t>Autoelevador 2,5 t con prolongaciones de horquilla (la opción D no usa puente grúa)</t>
  </si>
  <si>
    <t>Autoelevador → mesa elevadora de tijera de la guillotina (tandas por formato); el paquete vuelve al almacén</t>
  </si>
  <si>
    <t>Mensual (lote de 1 mes y 2 semanas de stock de seguridad, Comparacion_corte)</t>
  </si>
  <si>
    <t>Comparacion_corte (opción D); Pradecon 173195; Parrotta 413329</t>
  </si>
  <si>
    <t>Pedir en la OC paquetes ≤2 t, un formato por paquete, sobre tacos con luz para horquillas.</t>
  </si>
  <si>
    <t>Pradecon (hojas + fleje 0,9)</t>
  </si>
  <si>
    <t>LAF SAE 1010 1,6 mm, hoja comercial 1000 × 2000 mm. En planta: 3 franjas de 330 mm → 12 desarrollos de 474,5 × 330 mm (94 %)</t>
  </si>
  <si>
    <t>Cuerpo 5 kg: guillotina CENA 8×3200 → grabado de lote → cilindrado</t>
  </si>
  <si>
    <t>Pradecon (cot. 173195). Alt.: Hierros Parrotta</t>
  </si>
  <si>
    <t>USD 1,328/kg sin IVA (Pradecon 173195: $2.051,02/kg a TC 1.545). Parrotta: USD 1,344/kg en 1220 × 2440</t>
  </si>
  <si>
    <t>Paquete ≤2 t (hojas de 25 kg)</t>
  </si>
  <si>
    <t>Ítem de acero de mayor volumen (≈440 hojas/mes en 2035): negociar precio anual; evaluar entregas quincenales para bajar el stock.</t>
  </si>
  <si>
    <t>LAF SAE 1010 2,0 mm, hoja comercial 1500 × 3000 mm. En planta: 3 franjas de 495 mm → 15 desarrollos de 563 × 495 mm (93 %)</t>
  </si>
  <si>
    <t>Cuerpo 10 kg: guillotina CENA 8×3200 → grabado de lote → cilindrado</t>
  </si>
  <si>
    <t>USD 1,280/kg sin IVA (Pradecon 173195: $1.978,22/kg a TC 1.545). Parrotta: USD 1,361/kg en 1220 × 2440</t>
  </si>
  <si>
    <t>Paquete ≤2 t (hojas de 71 kg)</t>
  </si>
  <si>
    <t>Hoja de 71 kg: se desliza sobre la mesa de bolas, no se levanta.</t>
  </si>
  <si>
    <t>LAF SAE 1010 0,9 mm calidad embutido (DDQ), fleje de 114 mm (Ø108 + 2 × 3 mm), 1 disco por ancho</t>
  </si>
  <si>
    <t>Cúpula 1 kg: desbobinador + enderezador + alimentador servo → prensa de corte y embutido (E-05)</t>
  </si>
  <si>
    <t>Pradecon (bobina LAF flejada, cot. 173170). Alt.: Pacheco / Carflej</t>
  </si>
  <si>
    <t>USD 1,263/kg sin IVA (Pradecon 173170, LAF 0,9 mm; flejado sin cargo)</t>
  </si>
  <si>
    <t>Rollo de fleje DI 508 mm, parado sobre cama de madera, zunchos radiales + perimetral</t>
  </si>
  <si>
    <t>Rollo ≈1 t (DE ≈1,3 m)</t>
  </si>
  <si>
    <t>Piso 1 altura (rollos de fleje)</t>
  </si>
  <si>
    <t>Autoelevador con espolón para rollos</t>
  </si>
  <si>
    <t>Autoelevador con espolón → desbobinador de la prensa E-05 (N2)</t>
  </si>
  <si>
    <t>Semanal en 2035</t>
  </si>
  <si>
    <t>Comparacion_corte (opción D); Pradecon 173170</t>
  </si>
  <si>
    <t>Ø del disco de 1 kg estimado (108 mm): medir. Rollo de 1 t × 114 mm ≈ DE 1,3 m: confirmar que entra en el desbobinador (máx. 1,5 m).</t>
  </si>
  <si>
    <t>LAF 1,25 mm, ancho 200 mm</t>
  </si>
  <si>
    <t>Cúpula y fondo 2,5 kg (E-05)</t>
  </si>
  <si>
    <t>Pacheco Chapas (cot. 42021). Alt.: Pradecon (corta a medida sin cargo)</t>
  </si>
  <si>
    <t>USD 1,186/kg; 6 rollos = 2.951 kg (≈492 kg/rollo) — Pacheco N°42021. Materias Primas: $892.186 por rollo</t>
  </si>
  <si>
    <t>Rollo de fleje DI 508 mm sobre cama de madera</t>
  </si>
  <si>
    <t>Rollo ≈492 kg</t>
  </si>
  <si>
    <t>Autoelevador con espolón → devanadora E-05</t>
  </si>
  <si>
    <t>Quincenal</t>
  </si>
  <si>
    <t>Drive: Pacheco N°42021; Materias Primas</t>
  </si>
  <si>
    <t>Para el fondo Ø148, un fleje de 150 mm ahorra ≈25 % de chapa (FADESA usa 179 y 147/148 mm).</t>
  </si>
  <si>
    <t>Pacheco (flejes)</t>
  </si>
  <si>
    <t>LAF 1,6 mm, ancho 250 mm</t>
  </si>
  <si>
    <t>Cúpula 5 kg (E-05)</t>
  </si>
  <si>
    <t>USD 1,186/kg; 4 rollos = 2.459 kg (≈615 kg/rollo) — Pacheco N°42021</t>
  </si>
  <si>
    <t>Rollo ≈615 kg</t>
  </si>
  <si>
    <t>Drive: Pacheco N°42021</t>
  </si>
  <si>
    <t>Ancho óptimo ≈223–225 mm (Ø221): −10 % de chapa.</t>
  </si>
  <si>
    <t>LAF 1,6 mm, ancho 200 mm</t>
  </si>
  <si>
    <t>Fondo 5 kg (E-05)</t>
  </si>
  <si>
    <t>USD 1,186/kg; 6 rollos = 2.951 kg (≈492 kg/rollo) — Pacheco N°42021</t>
  </si>
  <si>
    <t>'Materias Primas' dice 1.412 discos/rollo: con 1,6 mm salen ≈1.094 (se calculó con 1,25 mm). El fondo sale ≈29 % más caro de lo previsto.</t>
  </si>
  <si>
    <t>LAF 2,0 mm, ancho 300 mm</t>
  </si>
  <si>
    <t>Cúpula 10 kg (E-05)</t>
  </si>
  <si>
    <t>Pacheco cotizó 2,0 × 300: USD 1,198/kg, 4 rollos = 2.951 kg (≈738 kg/rollo)</t>
  </si>
  <si>
    <t>Rollo ≈738 kg</t>
  </si>
  <si>
    <t>Mensual / bimestral (bajo volumen)</t>
  </si>
  <si>
    <t>Drive: Pacheco N°42021; Comparacion_corte (opción D)</t>
  </si>
  <si>
    <t>FADESA indica 1,6 mm para la cúpula del 10 kg; la opción D toma 2,0 mm (ver Dudas).</t>
  </si>
  <si>
    <t>LAF 2,0 mm, ancho 249 mm</t>
  </si>
  <si>
    <t>Fondo 10 kg (E-05)</t>
  </si>
  <si>
    <t>USD 1,198/kg; 6 rollos = 2.988 kg (≈498 kg/rollo, ancho 249) — Pacheco N°42021</t>
  </si>
  <si>
    <t>Rollo ≈498 kg</t>
  </si>
  <si>
    <t>Mensual / bimestral</t>
  </si>
  <si>
    <t>Ancho óptimo ≈207–210 mm (Ø205): −16 % de chapa.</t>
  </si>
  <si>
    <t>LAC SAE 1010 3,2 mm (1/8"), hoja 1500 × 3000 mm. 25 kg: 3 franjas de 490 → 9 desarrollos de 858 × 490 (84 %). 50 kg: 2 franjas de 640 → 6 desarrollos de 994 × 640 (85 %)</t>
  </si>
  <si>
    <t>Cuerpos 25 y 50 kg: guillotina CENA 8×3200 → roladora E-15 (celda rodantes S1b)</t>
  </si>
  <si>
    <t>USD 1,102/kg sin IVA (Pradecon 173195: $1.702,49/kg a TC 1.545). Parrotta: USD 1,161/kg</t>
  </si>
  <si>
    <t>Paquete ≤2 t (hojas de 113 kg)</t>
  </si>
  <si>
    <t>Autoelevador → mesa elevadora de la guillotina; desarrollos en carro a la roladora E-15 (S1b)</t>
  </si>
  <si>
    <t>Hoja de 113 kg y desarrollos de 10,6 / 16 kg: deslizar, no levantar. Cortes de 858 y 994 mm: requieren el tope de 1.000 mm.</t>
  </si>
  <si>
    <t>LAC SAE 1010 4,75 mm (3/16"), hoja 1500 × 3000 mm. Hoja mixta: franja de 1212 → 1 cuerpo de 100 kg (900) + 3 de 70 kg (680), 79 %. Resto de 100 kg: 3 por hoja (73 %)</t>
  </si>
  <si>
    <t>Cuerpos 70 y 100 kg: guillotina CENA 8×3200 → roladora E-15 (celda rodantes S1b)</t>
  </si>
  <si>
    <t>USD 1,091/kg sin IVA (Pradecon 173195: $1.685,56/kg a TC 1.545). Parrotta: USD 1,168/kg</t>
  </si>
  <si>
    <t>Paquete ≤2 t (hojas de 168 kg)</t>
  </si>
  <si>
    <t>Hoja de 168 kg y franja de 136 kg: solo deslizar sobre la mesa de bolas, entre dos. La franja de 1212 sale cortando primero la orilla de 288 mm.</t>
  </si>
  <si>
    <t>LAF SAE 1010 0,9 mm calidad embutido (DDQ), fleje de 106 mm (Ø100 + 2 × 3 mm), 1 disco por ancho</t>
  </si>
  <si>
    <t>Fondo 1 kg: desbobinador + enderezador + alimentador servo → prensa de corte y embutido (E-05)</t>
  </si>
  <si>
    <t>Ø del fondo de 1 kg estimado (100 mm): medir.</t>
  </si>
  <si>
    <t>Casquete SAE 1010 3,2 mm, 10" (F195 FADESA, 2,44 kg); cúpula con agujero para cupla</t>
  </si>
  <si>
    <t>Cúpula y fondo carro 25 kg</t>
  </si>
  <si>
    <t>Tercerizado: EKC (EAU/India), chinafiresafety, firesafer o matricería local</t>
  </si>
  <si>
    <t>A cotizar</t>
  </si>
  <si>
    <t>Casquetes anidados en pallet, flejados</t>
  </si>
  <si>
    <t>Pallet 100 u (EST)</t>
  </si>
  <si>
    <t>Piso apilado 2 alturas (paquetes/pallets)</t>
  </si>
  <si>
    <t>Autoelevador 2,5 t en muelle / playón (o transpaleta si hay muelle a nivel de caja)</t>
  </si>
  <si>
    <t>Autoelevador / zorra → celda rodantes (S1b)</t>
  </si>
  <si>
    <t>Bimestral (si es importado, 1–2 compras por año)</t>
  </si>
  <si>
    <t>Drive: Investigación mercado; Dimensiones de chapa (FADESA)</t>
  </si>
  <si>
    <t>Proveedor sin definir; si se importa, el lead time (≥60 días) obliga a más stock.</t>
  </si>
  <si>
    <t>Casquetes (tercerizado)</t>
  </si>
  <si>
    <t>Casquete 3,2 mm, 12" (F196, 3,36 kg)</t>
  </si>
  <si>
    <t>Carro 50 kg</t>
  </si>
  <si>
    <t>Tercerizado (ídem)</t>
  </si>
  <si>
    <t>Casquetes anidados en pallet</t>
  </si>
  <si>
    <t>Pallet 80 u (EST)</t>
  </si>
  <si>
    <t>Autoelevador / zorra → S1b</t>
  </si>
  <si>
    <t>Bimestral</t>
  </si>
  <si>
    <t>Drive: FADESA</t>
  </si>
  <si>
    <t>Ídem MP-15</t>
  </si>
  <si>
    <t>Casquete 4,75 mm, 15" (F198, 6,64 kg)</t>
  </si>
  <si>
    <t>Carros 70 y 100 kg</t>
  </si>
  <si>
    <t>Pallet 60 u (EST)</t>
  </si>
  <si>
    <t>Masa del casquete de 100 kg sin dato (se asumió igual al 70 kg).</t>
  </si>
  <si>
    <t>Anillo/niple SAE 1020 rosca M22 (válvula HZ de 1 kg es M-22), soldable a la cúpula</t>
  </si>
  <si>
    <t>Cúpula 1 kg: soldadura de cuello (E-07)</t>
  </si>
  <si>
    <t>Torneado/estampado: Eli-Met (Mataderos), Indumatic</t>
  </si>
  <si>
    <t>Sin cotizar</t>
  </si>
  <si>
    <t>Caja de cartón × 1.000 u</t>
  </si>
  <si>
    <t>Pallet 12 cajas = 12.000 u (EST)</t>
  </si>
  <si>
    <t>Rack selectivo 3 niveles</t>
  </si>
  <si>
    <t>Pañol de insumos pesados (junto a AL-1 / P1)</t>
  </si>
  <si>
    <t>Carro de reparto → E-07 (N2)</t>
  </si>
  <si>
    <t>Mensual</t>
  </si>
  <si>
    <t>Drive: lista de precios (válvula HZ M-22 para 1 kg); layout v3 (pallets 'Asientos de válvula' en N2)</t>
  </si>
  <si>
    <t>Rosca M22 vs M30 para el 1 kg. Con más de 200.000 u/año conviene pieza estampada o forjada, no torneada.</t>
  </si>
  <si>
    <t>Eli-Met (cuplas/asientos)</t>
  </si>
  <si>
    <t>Anillo SAE 1020 rosca M30 × 1,5, soldable</t>
  </si>
  <si>
    <t>Cúpulas 2,5–10 kg (E-07)</t>
  </si>
  <si>
    <t>Eli-Met / Indumatic</t>
  </si>
  <si>
    <t>Sin cotizar (Eli-Met cotizó la cupla M30 de carros a $5.261)</t>
  </si>
  <si>
    <t>Pallet 8 cajas = 8.000 u (EST)</t>
  </si>
  <si>
    <t>Carro de reparto → E-07</t>
  </si>
  <si>
    <t>Drive: Investigación mercado (rosca M30 × 1,5)</t>
  </si>
  <si>
    <t>Cupla soldable M30 × 1,5 (material + mano de obra)</t>
  </si>
  <si>
    <t>Casquete superior carros 25/50 kg</t>
  </si>
  <si>
    <t>Eli-Met</t>
  </si>
  <si>
    <t>$5.261 c/u + IVA; entrega 35–40 días; 30 % anticipo, saldo a 30 días</t>
  </si>
  <si>
    <t>Caja de cartón</t>
  </si>
  <si>
    <t>Caja 200 u (EST)</t>
  </si>
  <si>
    <t>Estantería pañol (metro lineal)</t>
  </si>
  <si>
    <t>Transpaleta manual / a mano (bultos chicos)</t>
  </si>
  <si>
    <t>Carro de reparto → S1b</t>
  </si>
  <si>
    <t>Drive: Cotizaciones de MP – wpp (ELIMET)</t>
  </si>
  <si>
    <t>Cupla soldable 2½" BSP</t>
  </si>
  <si>
    <t>Casquete superior carros 70/100 kg</t>
  </si>
  <si>
    <t>$13.479 c/u + IVA; 35–40 días</t>
  </si>
  <si>
    <t>Caja 50 u (EST)</t>
  </si>
  <si>
    <t>Bimestral / trimestral</t>
  </si>
  <si>
    <t>Barra de 6 m (medida a definir por cálculo)</t>
  </si>
  <si>
    <t>Refuerzo interior longitudinal 70/100 kg</t>
  </si>
  <si>
    <t>Aceros Inoxidables Caseros</t>
  </si>
  <si>
    <t>$15.000/kg + IVA (barras de 6 m; las dos medidas igual precio)</t>
  </si>
  <si>
    <t>Barras de 6 m sueltas / atado</t>
  </si>
  <si>
    <t>Atado ≈200 kg (EST)</t>
  </si>
  <si>
    <t>Autoelevador / a mano</t>
  </si>
  <si>
    <t>Autoelevador → sierra → S1b</t>
  </si>
  <si>
    <t>Trimestral</t>
  </si>
  <si>
    <t>Drive: Cotizaciones de MP – wpp</t>
  </si>
  <si>
    <t>Precio de acero inoxidable: ¿la varilla es inoxidable? Soldar inoxidable a SAE 1010 no es lo habitual; confirmar material y medida.</t>
  </si>
  <si>
    <t>Aceros (varilla)</t>
  </si>
  <si>
    <t>AWS A5.18 ER70S-6, Ø0,9 mm, cobreado</t>
  </si>
  <si>
    <t>Soldaduras de cuello, longitudinal y circunferencial (N1, N2, N3)</t>
  </si>
  <si>
    <t>ESAB / Conarco / Indura (vía Oxicas, Air Liquide)</t>
  </si>
  <si>
    <t>Carrete de 15 kg (estándar). Para soldadoras automáticas conviene tambor de 250 kg (Marathon Pac)</t>
  </si>
  <si>
    <t>Pallet 60 carretes × 15 kg = 900 kg (EST)</t>
  </si>
  <si>
    <t>Carro de reparto a los puestos de soldadura</t>
  </si>
  <si>
    <t>Mensual (1 pallet)</t>
  </si>
  <si>
    <t>Web: presentaciones de 15 kg (2sonline, Conarco); ESAB Marathon Pac 250 kg. Drive: recomendación cátedra (Ø0,9)</t>
  </si>
  <si>
    <t>Consumo estimado por sección de cordón; validar con el proveedor de las soldadoras.</t>
  </si>
  <si>
    <t>Soldadura (alambre y consumibles)</t>
  </si>
  <si>
    <t>AWS A5.18 ER70S-6, Ø1,2 mm</t>
  </si>
  <si>
    <t>Celda rodantes (S1b)</t>
  </si>
  <si>
    <t>ESAB / Conarco / Indura</t>
  </si>
  <si>
    <t>Carrete de 15–18 kg</t>
  </si>
  <si>
    <t>Pallet 60 carretes = 900 kg (EST)</t>
  </si>
  <si>
    <t>Web: ESAB (1,2 mm en carrete y tambor)</t>
  </si>
  <si>
    <t>Mezcla Ar/CO₂ 92/8 (ISO 14175 M20-ArC-8)</t>
  </si>
  <si>
    <t>Todas las soldaduras MIG</t>
  </si>
  <si>
    <t>Air Liquide (esquema 'sodero' en comodato)</t>
  </si>
  <si>
    <t>$8.800/m³ molécula + $1.000/m³ acarreo + $50.000/mes alquiler por batería; entrega D+1</t>
  </si>
  <si>
    <t>Batería de 11 cilindros de 50 L con salida única = 115,5 m³ (Drive). Alternativa: bloque 12 × 50 L = 132 m³</t>
  </si>
  <si>
    <t>Batería 115,5 m³</t>
  </si>
  <si>
    <t>Jaula de gases (baterías)</t>
  </si>
  <si>
    <t>Jaula de gases (exterior, con acceso de camión)</t>
  </si>
  <si>
    <t>Camión del proveedor con hidrogrúa (baterías en comodato); la jaula necesita acceso de camión</t>
  </si>
  <si>
    <t>Fija: manifold + cañería a los puestos</t>
  </si>
  <si>
    <t>Semanal (recambio de baterías)</t>
  </si>
  <si>
    <t>Drive: Cotizaciones de MP – wpp (Air Liquide); Datos técnicos ARCAL. Web: bloque 12×50 L ≈ 290 kg de bastidor (PWENT)</t>
  </si>
  <si>
    <t>Drive: 500–600 m³/mes en el año 10 y '4 baterías con recambio mensual' = 462 m³/mes, que no alcanza. Con volúmenes de este orden, evaluar mezclador y tanque a granel.</t>
  </si>
  <si>
    <t>Air Liquide (gases)</t>
  </si>
  <si>
    <t>Puntas CuCrZr Ø0,9 / Ø1,2 + toberas</t>
  </si>
  <si>
    <t>Antorchas MIG</t>
  </si>
  <si>
    <t>ESAB / Binzel (distribuidores de soldadura)</t>
  </si>
  <si>
    <t>Caja × 25 u</t>
  </si>
  <si>
    <t>Caja 25 u</t>
  </si>
  <si>
    <t>Entrega en pañol contra vale</t>
  </si>
  <si>
    <t>Grano 60 + corte 1,0 mm, para acero</t>
  </si>
  <si>
    <t>Corrección de defectos / despunte</t>
  </si>
  <si>
    <t>Norton / Pferd / 3M</t>
  </si>
  <si>
    <t>EST (BOM del Drive lo lista como consumible menor)</t>
  </si>
  <si>
    <t>Granalla esférica alto carbono, SAE J444 / ISO 11124-3</t>
  </si>
  <si>
    <t>Granalladora E-13 (Sa 2,5)</t>
  </si>
  <si>
    <t>CYM Materiales (cymba@cym.com.ar)</t>
  </si>
  <si>
    <t>$2.000/kg (Investigación mercado)</t>
  </si>
  <si>
    <t>Bolsa 25 kg; pallet de 40 bolsas = 1 t; big bag 1 t</t>
  </si>
  <si>
    <t>Pallet 1.000 kg</t>
  </si>
  <si>
    <t>Autoelevador; 1 pallet al pie de la granalladora (N4)</t>
  </si>
  <si>
    <t>Drive: Investigación mercado (CYM). Web: 25 kg / 40 bolsas por pallet / big bag 1 t</t>
  </si>
  <si>
    <t>Consumo por hora supuesto (6 kg/h); pedir el dato a CYM para el modelo CAB-TUN.</t>
  </si>
  <si>
    <t>CYM (granalla)</t>
  </si>
  <si>
    <t>Desengrasante alcalino por aspersión</t>
  </si>
  <si>
    <t>Túnel de pretratamiento (S2)</t>
  </si>
  <si>
    <t>Henkel (Bonderite) / Chemetall / Quimguard / SP Ingeniería</t>
  </si>
  <si>
    <t>Bidón 20–25 L o tambor 200 L</t>
  </si>
  <si>
    <t>Tambor 200 L</t>
  </si>
  <si>
    <t>Batea antiderrame (tambores/bidones)</t>
  </si>
  <si>
    <t>Depósito de químicos y agentes líquidos (con batea)</t>
  </si>
  <si>
    <t>Autoelevador con pinza de tambor / carro portatambor</t>
  </si>
  <si>
    <t>Drive: Investigación mercado</t>
  </si>
  <si>
    <t>Consumo supuesto (10 mL/m²) + llenado inicial de cubas: pedir al proveedor del túnel.</t>
  </si>
  <si>
    <t>Químicos pretratamiento</t>
  </si>
  <si>
    <t>Fosfato de hierro microcristalino</t>
  </si>
  <si>
    <t>Henkel / Chemetall</t>
  </si>
  <si>
    <t>Carro portatambor</t>
  </si>
  <si>
    <t>Ídem MP-29</t>
  </si>
  <si>
    <t>Poliéster termofijo exterior, RAL 3000, curado 180–200 °C, 60–80 µm</t>
  </si>
  <si>
    <t>Línea de pintura E-20 (1–10 kg; carros tercerizados)</t>
  </si>
  <si>
    <t>Sinteplast Industria / Tersuave (nacionales); AkzoNobel, Sherwin (importados)</t>
  </si>
  <si>
    <t>Sin cotizar (mail enviado a Sinteplast)</t>
  </si>
  <si>
    <t>Caja de 20 kg con bolsa PE interior</t>
  </si>
  <si>
    <t>Pallet 30 cajas = 600 kg (EST)</t>
  </si>
  <si>
    <t>Depósito de pintura en polvo (junto a S2)</t>
  </si>
  <si>
    <t>Transpaleta → cabina</t>
  </si>
  <si>
    <t>Web: caja 20 kg (Sinteplast/Tersuave); rendimiento 1000/(ρ·e), pinturaenpolvo.org. Drive: mails Sinteplast</t>
  </si>
  <si>
    <t>El BOM (0,04–0,10 kg/u) es ≈3× el consumo teórico; se usó el cálculo por área. Depósito fresco (&lt;30 °C) y seco.</t>
  </si>
  <si>
    <t>Pintura</t>
  </si>
  <si>
    <t>Tapón cónico de silicona 250 °C</t>
  </si>
  <si>
    <t>Protección de rosca en granallado y pintura</t>
  </si>
  <si>
    <t>Distribuidores de enmascarado</t>
  </si>
  <si>
    <t>Bolsa × 100</t>
  </si>
  <si>
    <t>Caja 500 u</t>
  </si>
  <si>
    <t>Pañol → línea de pintura</t>
  </si>
  <si>
    <t>Fosfato monoamónico ≥55 %, siliconado, humedad &lt;0,25 %, IRAM 3569</t>
  </si>
  <si>
    <t>Carga E-21 (fabricación) y R-03 (recargas)</t>
  </si>
  <si>
    <t>Polvex (principal) / DEMSA (2.ª fuente) / Sancibrao</t>
  </si>
  <si>
    <t>ABC 55: $3.450/kg en bolsa de 25 kg; −10 % por más de 1.000 kg (lista de precios del Drive). El modelo usa $3.500/kg</t>
  </si>
  <si>
    <t>Bolsa 25 kg doble PE; pallet con film. DEMSA: big bag 1.000 kg</t>
  </si>
  <si>
    <t>Big bag 1.000 kg (o pallet 40 bolsas)</t>
  </si>
  <si>
    <t>Piso big bag apilado 2</t>
  </si>
  <si>
    <t>Depósito de polvo químico (seco)</t>
  </si>
  <si>
    <t>Autoelevador → estación de descarga de big bag sobre la tolva E-21 (polipasto 2 t); bolsas a la sala de polvo</t>
  </si>
  <si>
    <t>Semanal (≈1 camión de 10–13 t en 2035)</t>
  </si>
  <si>
    <t>Drive: lista de precios (bolsa 25 kg); BOM (SS ≈10 días). Web: DEMSA ABC 55 bolsa 25 kg y big bag 1.000 kg</t>
  </si>
  <si>
    <t>El % de polvo nuevo en recargas (25 %) pesa ≈90 t/año. Confirmar si Polvex entrega en big bag. Con 25 kg por bolsa, manipular a mano ~100 bolsas por día no es aceptable (ergonomía).</t>
  </si>
  <si>
    <t>Polvo (Polvex/DEMSA)</t>
  </si>
  <si>
    <t>N₂ comprimido, punto de rocío ≤ −40 °C (IRAM: no se admite aire)</t>
  </si>
  <si>
    <t>Presurización E-23 y recargas R-10</t>
  </si>
  <si>
    <t>Air Liquide</t>
  </si>
  <si>
    <t>$1.800/m³ + $1.000/m³ acarreo + $50.000/mes alquiler de batería</t>
  </si>
  <si>
    <t>Batería 11 × 50 L 200 bar (≈9,4 m³ c/u ⇒ ≈103 m³). Alternativa: bloque 16 × 50 L = 150 m³</t>
  </si>
  <si>
    <t>Batería ≈103 m³</t>
  </si>
  <si>
    <t>Fija: manifold N₂ (S3a) y sala de recargas</t>
  </si>
  <si>
    <t>Drive: Cotizaciones de MP – wpp; Datos técnicos N₂ (50 L 200 bar = 9,4 m³)</t>
  </si>
  <si>
    <t>Drive: 300 m³/mes. Este cálculo da otro valor (ver Consumo Anual). Validar midiendo en una prueba de carga.</t>
  </si>
  <si>
    <t>Bicarbonato, IRAM 3569</t>
  </si>
  <si>
    <t>Recargas BC (equipo exclusivo FS-ZR01)</t>
  </si>
  <si>
    <t>Polvex</t>
  </si>
  <si>
    <t>$2.505/kg, bolsa 25 kg (lista de precios del Drive)</t>
  </si>
  <si>
    <t>Bolsa 25 kg</t>
  </si>
  <si>
    <t>Sala de polvo, separado del ABC (no mezclar)</t>
  </si>
  <si>
    <t>Trimestral / semestral</t>
  </si>
  <si>
    <t>Drive: lista de precios</t>
  </si>
  <si>
    <t>Agentes para recargas</t>
  </si>
  <si>
    <t>Polvo para metales combustibles</t>
  </si>
  <si>
    <t>Recargas clase D (manual, embudo)</t>
  </si>
  <si>
    <t>A definir</t>
  </si>
  <si>
    <t>Bolsa/balde 25 kg (EST)</t>
  </si>
  <si>
    <t>Sala de polvo (recipiente exclusivo)</t>
  </si>
  <si>
    <t>Semestral</t>
  </si>
  <si>
    <t>Tipo de polvo según el metal; carga por equipo supuesta 10 kg.</t>
  </si>
  <si>
    <t>CO₂ grado industrial, cilindro con sifón</t>
  </si>
  <si>
    <t>Trasvasador de CO₂ (recargas)</t>
  </si>
  <si>
    <t>Air Liquide / Linde / Air Products</t>
  </si>
  <si>
    <t>Sin cotizar (pedido en mail a Air Liquide)</t>
  </si>
  <si>
    <t>Cilindro con tubo sifón de 25–30 kg; a granel: termo/tanque en comodato</t>
  </si>
  <si>
    <t>Cilindro 25 kg</t>
  </si>
  <si>
    <t>Jaula de gases (cilindros sueltos)</t>
  </si>
  <si>
    <t>Carro portacilindros → trasvasador</t>
  </si>
  <si>
    <t>Drive: mails a Air Liquide; Parametros Recargas (35 % se vacían)</t>
  </si>
  <si>
    <t>Con ≈10 t/año conviene evaluar un termo de CO₂ a granel.</t>
  </si>
  <si>
    <t>HCFC-123 / HFC-236fa (IRAM 3526-1)</t>
  </si>
  <si>
    <t>Recargas de agente limpio</t>
  </si>
  <si>
    <t>Cilindro 50–100 kg</t>
  </si>
  <si>
    <t>Cilindro 50 kg</t>
  </si>
  <si>
    <t>Carro portacilindros → recuperadora FS-FM2</t>
  </si>
  <si>
    <t>Drive: mails (POLVEX/DEMSA)</t>
  </si>
  <si>
    <t>Tipo de agente y restricciones del Protocolo de Montreal para HCFC.</t>
  </si>
  <si>
    <t>Argón comprimido</t>
  </si>
  <si>
    <t>Presurización de agente limpio</t>
  </si>
  <si>
    <t>Cilindro 50 L 200 bar (≈10 m³)</t>
  </si>
  <si>
    <t>Cilindro ≈9,5 m³</t>
  </si>
  <si>
    <t>Carro portacilindros</t>
  </si>
  <si>
    <t>Anual (consumo muy bajo)</t>
  </si>
  <si>
    <t>Drive: mails a Air Liquide</t>
  </si>
  <si>
    <t>AFFF 3 % o 6 %, 0 °C</t>
  </si>
  <si>
    <t>Recargas de espuma</t>
  </si>
  <si>
    <t>Distribuidor de la lista / DEMSA</t>
  </si>
  <si>
    <t>AFFF 6 %: USD 6,70/L; AFFF 3 %: USD 7,32/L (bidón 20 L)</t>
  </si>
  <si>
    <t>Bidón 20 L; DEMSA también tambor 200 L e IBC 1.000 L</t>
  </si>
  <si>
    <t>Bidón 20 L</t>
  </si>
  <si>
    <t>Batea → estación de llenado FS-SJML01</t>
  </si>
  <si>
    <t>Drive: lista de precios. Web: DEMSA (bidón 20 L, tambor 200 L, IBC 1.000 L)</t>
  </si>
  <si>
    <t>Acetato de potasio (IRAM 3697)</t>
  </si>
  <si>
    <t>Recargas clase K</t>
  </si>
  <si>
    <t>Distribuidor de la lista (Gastro K)</t>
  </si>
  <si>
    <t>$4.468/L, bidones de 10, 20 y 30 L (lista de precios del Drive)</t>
  </si>
  <si>
    <t>Bidón 10/20/30 L</t>
  </si>
  <si>
    <t>Batea → llenado de líquidos</t>
  </si>
  <si>
    <t>Supuesto: se reemplaza el 100 % de la carga en cada recarga.</t>
  </si>
  <si>
    <t>Latón, rosca M22, con tubo de pesca plástico y O-ring nitrilo</t>
  </si>
  <si>
    <t>Ensamblaje E-22 (1 kg)</t>
  </si>
  <si>
    <t>HZ Firetec (vía distribuidor) / Georgia / Mozart / importación China</t>
  </si>
  <si>
    <t>$4.200 c/u (lista de precios del Drive, marca HZ)</t>
  </si>
  <si>
    <t>Caja de cartón × 100 u (EST)</t>
  </si>
  <si>
    <t>Pallet 30 cajas = 3.000 u (EST)</t>
  </si>
  <si>
    <t>Depósito de insumos de terminación y embalaje (junto a S3a / AL-3)</t>
  </si>
  <si>
    <t>Transpaleta → bancos E-22</t>
  </si>
  <si>
    <t>Drive: lista de precios (HZ)</t>
  </si>
  <si>
    <t>Si se importa: lead time 75–95 días ⇒ ≈4 meses de stock (BOM del Drive).</t>
  </si>
  <si>
    <t>Válvulas y componentes</t>
  </si>
  <si>
    <t>Latón forjado M30 × 1,5, palanca de acero, O-ring N70, tubo 7/8"</t>
  </si>
  <si>
    <t>Ensamblaje E-22</t>
  </si>
  <si>
    <t>HZ Firetec / Georgia / Mozart / China</t>
  </si>
  <si>
    <t>$6.800 c/u (lista de precios del Drive, marca HZ)</t>
  </si>
  <si>
    <t>Caja de cartón × 50 u (EST)</t>
  </si>
  <si>
    <t>Pallet 30 cajas = 1.500 u (EST)</t>
  </si>
  <si>
    <t>Transpaleta → E-22</t>
  </si>
  <si>
    <t>Drive: lista de precios; Investigación mercado</t>
  </si>
  <si>
    <t>Ítem crítico (Kraljic). Mozart es a la vez proveedor y competidor: mantener 2.ª fuente.</t>
  </si>
  <si>
    <t>Válvula de carro 7/8" (25 kg) / 50–100 kg</t>
  </si>
  <si>
    <t>Armado de carros</t>
  </si>
  <si>
    <t>HZ Firetec / Georgia</t>
  </si>
  <si>
    <t>$7.500 c/u (lista de precios del Drive)</t>
  </si>
  <si>
    <t>Caja × 10 u (EST)</t>
  </si>
  <si>
    <t>Caja 10 u</t>
  </si>
  <si>
    <t>Carro → armado de carros</t>
  </si>
  <si>
    <t>Latón + inoxidable, visor plástico, zona verde 1,4 MPa, IRAM 3533</t>
  </si>
  <si>
    <t>Ensamblaje E-22 / recargas</t>
  </si>
  <si>
    <t>Georgia / Securitá / Maxiseguridad; importación Anke, Safefire</t>
  </si>
  <si>
    <t>Caja × 100 u</t>
  </si>
  <si>
    <t>Caja 100 u</t>
  </si>
  <si>
    <t>'Materiales y útiles' dice que la válvula llega pre-armada con manómetro y pescante; la lista HZ no lo aclara. Confirmar.</t>
  </si>
  <si>
    <t>PP homopolímero, cortado a medida (alto interior − 5 mm)</t>
  </si>
  <si>
    <t>Mozart / Securitá / LACAR / China</t>
  </si>
  <si>
    <t>Caja × 200 u</t>
  </si>
  <si>
    <t>Caja 200 u</t>
  </si>
  <si>
    <t>E-22</t>
  </si>
  <si>
    <t>Drive: BOM / Investigación mercado</t>
  </si>
  <si>
    <t>Tubo acero SAE 1010 a medida</t>
  </si>
  <si>
    <t>Georgia / Securitá / metalúrgica</t>
  </si>
  <si>
    <t>Atado/caja × 20 u</t>
  </si>
  <si>
    <t>Caja 20 u</t>
  </si>
  <si>
    <t>EPDM/NBR con trenzado, ≥400 mm, 25 bar de trabajo</t>
  </si>
  <si>
    <t>Mozart / Fonseca / China</t>
  </si>
  <si>
    <t>Sin cotizar (catálogo pedido a HZ)</t>
  </si>
  <si>
    <t>Caja × 50 u</t>
  </si>
  <si>
    <t>Caja 50 u</t>
  </si>
  <si>
    <t>Drive: BOM / mail HZ Firetec</t>
  </si>
  <si>
    <t>Manguera armada 5 m + lanza con gatillo</t>
  </si>
  <si>
    <t>Georgia / Securitá / China</t>
  </si>
  <si>
    <t>Caja × 10 u</t>
  </si>
  <si>
    <t>NBR 70 Shore A, medida según válvula</t>
  </si>
  <si>
    <t>Ensamblaje y recargas</t>
  </si>
  <si>
    <t>Gasket Argentina / O-Ring Argentina / Securitá</t>
  </si>
  <si>
    <t>Bolsa × 1.000 u</t>
  </si>
  <si>
    <t>Bolsa 1.000 u</t>
  </si>
  <si>
    <t>Pañol de terminación</t>
  </si>
  <si>
    <t>Drive: BOM</t>
  </si>
  <si>
    <t>Pasador AISI 304 + precinto plástico numerado</t>
  </si>
  <si>
    <t>Securitá / Intermet / HZ</t>
  </si>
  <si>
    <t>Sin cotizar (pedido a HZ)</t>
  </si>
  <si>
    <t>Drive: BOM; mail HZ</t>
  </si>
  <si>
    <t>Acero estampado galvanizado o PP, con tornillo y taco</t>
  </si>
  <si>
    <t>Se entrega con el matafuego</t>
  </si>
  <si>
    <t>Local / China / HZ</t>
  </si>
  <si>
    <t>Encajonado E-25</t>
  </si>
  <si>
    <t>Chasis soldado, CHAS Res. 91/2001</t>
  </si>
  <si>
    <t>Armado de carros (S1b)</t>
  </si>
  <si>
    <t>Metalúrgica a medida (comprada armada)</t>
  </si>
  <si>
    <t>Estructuras apiladas en pallet</t>
  </si>
  <si>
    <t>Pallet 20 u (EST)</t>
  </si>
  <si>
    <t>Autoelevador → S1b</t>
  </si>
  <si>
    <t>Carros (estructura y ruedas)</t>
  </si>
  <si>
    <t>Chapa + goma, trocha 400–520 mm</t>
  </si>
  <si>
    <t>Ruedar (fábrica nacional) / Arda</t>
  </si>
  <si>
    <t>Pallet × 36 pares (EST)</t>
  </si>
  <si>
    <t>Pallet 36 pares</t>
  </si>
  <si>
    <t>Disco de ruptura / conjunto de seguridad</t>
  </si>
  <si>
    <t>Recargas de CO₂</t>
  </si>
  <si>
    <t>Georgia / HZ</t>
  </si>
  <si>
    <t>Bolsa × 100 u</t>
  </si>
  <si>
    <t>Bolsa 100 u</t>
  </si>
  <si>
    <t>Recargas</t>
  </si>
  <si>
    <t>Drive: Notas (IRAM 2736, reemplazo en cada vaciado)</t>
  </si>
  <si>
    <t>Autoadhesivo PP/vinilo UV, datos IRAM obligatorios</t>
  </si>
  <si>
    <t>Etiquetado E-24</t>
  </si>
  <si>
    <t>Imprenta de autoadhesivos industriales</t>
  </si>
  <si>
    <t>Rollo × 1.000 etiquetas</t>
  </si>
  <si>
    <t>Rollo 1.000 u</t>
  </si>
  <si>
    <t>ALMACENAMIENTO DE MATERIAS PRIMAS: SUPERFICIE, UBICACIÓN Y REGLAS</t>
  </si>
  <si>
    <t>Posiciones y m² salen de MP Abastecimiento (stock máximo 2035). m² por posición según tipo de almacenamiento (incluye pasillos).</t>
  </si>
  <si>
    <t>E-24</t>
  </si>
  <si>
    <t>Imprenta (etiquetas)</t>
  </si>
  <si>
    <t>Oblea de mantenimiento + marbete</t>
  </si>
  <si>
    <t>Recargas R-17</t>
  </si>
  <si>
    <t>Imprenta</t>
  </si>
  <si>
    <t>1. SUPERFICIE POR POSICIÓN SEGÚN TIPO DE ALMACENAMIENTO</t>
  </si>
  <si>
    <t>Rollo/paquete × 1.000</t>
  </si>
  <si>
    <t>Paquete 1.000 u</t>
  </si>
  <si>
    <t>Rack: ancho de módulo (m)</t>
  </si>
  <si>
    <t>Rack: pallets por nivel</t>
  </si>
  <si>
    <t>Rack: profundidad (m)</t>
  </si>
  <si>
    <t>Pasillo autoelevador (m)</t>
  </si>
  <si>
    <t>Descripción / regla</t>
  </si>
  <si>
    <t>Huella por posición incl. ½ pasillo (m²)</t>
  </si>
  <si>
    <t>Niveles / alturas</t>
  </si>
  <si>
    <t>Factor de circulación</t>
  </si>
  <si>
    <t>m² por posición</t>
  </si>
  <si>
    <t>Condiciones</t>
  </si>
  <si>
    <t>Rack selectivo de 3 niveles (piso + 2), pallets ≤1.000 kg; vigas para 2 pallets</t>
  </si>
  <si>
    <t>Drive: Parametros Recargas (etiquetado 100 %)</t>
  </si>
  <si>
    <t>Cartulina plastificada / PVC</t>
  </si>
  <si>
    <t>Terminados y recargas</t>
  </si>
  <si>
    <t>Paquete × 500</t>
  </si>
  <si>
    <t>Paquete 500 u</t>
  </si>
  <si>
    <t>Carga ≤1.500 kg por posición (ARLOG). Chapas de pie o rollos: NO en rack sin decking.</t>
  </si>
  <si>
    <t>Paquetes de chapa / pallets apilados de a 2 con tacos de madera</t>
  </si>
  <si>
    <t>Paquetes planos y estables, peso ≤1,5 t, identificados por formato; FIFO por fila.</t>
  </si>
  <si>
    <t>Rollos de fleje parados (ojo vertical) sobre cama de madera, 1 altura</t>
  </si>
  <si>
    <t>No apilar rollos. Calzas si se acuestan. Acceso con autoelevador con espolón o gancho C.</t>
  </si>
  <si>
    <t>Big bags de 1 t apilados de a 2 (si el big bag es apilable)</t>
  </si>
  <si>
    <t>Área seca (HR ≤70 %, como la sala de polvo del layout), sobre pallet, lejos de la prueba hidráulica.</t>
  </si>
  <si>
    <t>Rack cantiléver de brazos para atados de 6 m (12 atados por módulo 7 × 2,4 m + 1 m libre por lado)</t>
  </si>
  <si>
    <t>E-24 / recargas</t>
  </si>
  <si>
    <t>Acceso con autoelevador con prolongaciones. Atados identificados por medida.</t>
  </si>
  <si>
    <t>Corrugado doble canal, impresa 1 color</t>
  </si>
  <si>
    <t>Baterías / bloques de cilindros en jaula ventilada</t>
  </si>
  <si>
    <t>Smurfit Kappa / Cartocor / Zucamor</t>
  </si>
  <si>
    <t>$1.500 por caja 2,5–10 kg (Evaluación económica del Dimensionamiento)</t>
  </si>
  <si>
    <t>Plegadas en fardos de 25, sobre pallet</t>
  </si>
  <si>
    <t>Pallet ≈600 cajas plegadas (EST)</t>
  </si>
  <si>
    <t>Exterior o local ventilado, piso firme, cadenas, lejos de fuentes de calor; + 2 posiciones (en uso y vacía).</t>
  </si>
  <si>
    <t>Cilindros sueltos encadenados en jaula</t>
  </si>
  <si>
    <t>Separar llenos y vacíos; CO₂ a la sombra.</t>
  </si>
  <si>
    <t>Tambores / bidones sobre batea antiderrame</t>
  </si>
  <si>
    <t>Batea ≥110 % del mayor envase; kit de derrames; separado de oxidantes (Ley 11.720).</t>
  </si>
  <si>
    <t>Estantería de pañol (posición = metro lineal, 5 estantes)</t>
  </si>
  <si>
    <t>Pañol cerrado, entrega contra vale; FIFO.</t>
  </si>
  <si>
    <t>Piso pila de pallets vacíos</t>
  </si>
  <si>
    <t>Pila de 15 pallets vacíos (≈2,2 m)</t>
  </si>
  <si>
    <t>Lejos de la envolvedora y de rutas de evacuación.</t>
  </si>
  <si>
    <t>Paquetes de hojas 1000×2000 / 1220×2440 / 1500×3000 apilados de a 2 sobre tacos, un formato y espesor por fila</t>
  </si>
  <si>
    <t>según formato: (ancho + 0,3) × (largo + 0,3)</t>
  </si>
  <si>
    <t>ver MP Abastecimiento col. AC</t>
  </si>
  <si>
    <t>Paquetes ≤2 t. Acceso con autoelevador por el lado corto (prolongaciones de horquilla). Opción D.</t>
  </si>
  <si>
    <t>2. REQUERIMIENTO POR ZONA (stock máximo 2035)</t>
  </si>
  <si>
    <t>Transpaleta → E-25</t>
  </si>
  <si>
    <t>Quincenal (voluminoso)</t>
  </si>
  <si>
    <t>Drive: Evaluación económica; ET's Matafuegos</t>
  </si>
  <si>
    <t>Las medidas de caja de ET's son menores que el Ø del matafuego (ver Pallets PT y Dudas).</t>
  </si>
  <si>
    <t>Embalaje</t>
  </si>
  <si>
    <t>Zona</t>
  </si>
  <si>
    <t>IRAM 10016, 1200 × 1000 × 145 mm, 35 kg</t>
  </si>
  <si>
    <t>Despacho de terminados y cilindros</t>
  </si>
  <si>
    <t>Peso de stock máx. (t)</t>
  </si>
  <si>
    <t>Palletec / Intrapal / Samer</t>
  </si>
  <si>
    <t>Superficie en el layout v3 (m²)</t>
  </si>
  <si>
    <t>Diferencia (m²)</t>
  </si>
  <si>
    <t>Pila de 15 pallets</t>
  </si>
  <si>
    <t>Comentario</t>
  </si>
  <si>
    <t>Pila 15 u</t>
  </si>
  <si>
    <t>Autoelevador → envolvedora E-26</t>
  </si>
  <si>
    <t>Web: Pallet ARLOG IRAM 10016 (2.000 kg dinámica / 4.000 estática / 1.500 en rack; 35 kg)</t>
  </si>
  <si>
    <t>Pallets</t>
  </si>
  <si>
    <t>Plancha de cartón 1200 × 1000</t>
  </si>
  <si>
    <t>Palletizado de cilindros vendidos</t>
  </si>
  <si>
    <t>Cartocor / Smurfit</t>
  </si>
  <si>
    <t>AL-1 = 9,6 × 20 m = 192 m² brutos − pasillo (≈59 m²) = 133 m² netos, de los que ≈17 m² son big bags de polvo ⇒ ≈116 m² para acero. Opción D: paquetes de hoja por formato (hasta 1,5 × 3 m), rollos de fleje y atados de caño; se opera con autoelevador (sin puente grúa).</t>
  </si>
  <si>
    <t>Pallet × 500 planchas</t>
  </si>
  <si>
    <t>Pallet 500 u</t>
  </si>
  <si>
    <t>No existe: hoy el pañol + mantenimiento (≈50 m²) está en N5, en la esquina NE, lejos de P1. Ver sección 4.</t>
  </si>
  <si>
    <t>Terminación de cilindros (E-28)</t>
  </si>
  <si>
    <t>Tapón plástico M22 / M30 / 2½"</t>
  </si>
  <si>
    <t>Protección de rosca (E-28)</t>
  </si>
  <si>
    <t>Inyectora local</t>
  </si>
  <si>
    <t>Bolsa × 1.000</t>
  </si>
  <si>
    <t>Caja 5.000 u</t>
  </si>
  <si>
    <t>Layout v3: 12 posiciones de big bag × 2 alturas dentro de AL-1 (≈17 m²) + 1 big bag en S3a.</t>
  </si>
  <si>
    <t>No existe como almacén (el archivo de layout tenía un AL-2 de 90 m² que no se dibujó). Solo 'AL-6 pallets vacíos'.</t>
  </si>
  <si>
    <t>Jaula de gases de soldadura 4 × 4 m (norte) + manifold N₂ en S3a.</t>
  </si>
  <si>
    <t>E-28</t>
  </si>
  <si>
    <t>Layout v3 (E-28 banco de protección de rosca)</t>
  </si>
  <si>
    <t>Film stretch 500 mm × 23 µm; bobina Ø ≤250 mm (recubridor EDOS)</t>
  </si>
  <si>
    <t>Envolvedora E-26</t>
  </si>
  <si>
    <t>Distribuidor de embalaje</t>
  </si>
  <si>
    <t>Bobina ≈16 kg</t>
  </si>
  <si>
    <t>Bobina 16 kg</t>
  </si>
  <si>
    <t>No dibujado.</t>
  </si>
  <si>
    <t>No dibujado (cajas de pintura junto a la cabina).</t>
  </si>
  <si>
    <t>TOTAL MATERIAS PRIMAS</t>
  </si>
  <si>
    <t>E-26</t>
  </si>
  <si>
    <t>Drive: mail EDOS (bobina 500 mm, Ø máx. 250 mm)</t>
  </si>
  <si>
    <t>Esquinero de cartón 50 × 50 × 1.200 mm</t>
  </si>
  <si>
    <t>Palletizado</t>
  </si>
  <si>
    <t>Paquete × 100</t>
  </si>
  <si>
    <t>Paquete 100 u</t>
  </si>
  <si>
    <t>3. POSICIONES POR TIPO DE ALMACENAMIENTO</t>
  </si>
  <si>
    <t>Tipo</t>
  </si>
  <si>
    <t>Posiciones</t>
  </si>
  <si>
    <t>Esmalte sintético rojo RAL 3000</t>
  </si>
  <si>
    <t>Cabina de retoque de recargas</t>
  </si>
  <si>
    <t>Sinteplast / Tersuave</t>
  </si>
  <si>
    <t>Lata 4 L</t>
  </si>
  <si>
    <t>Drive: Parametros Recargas (15 % con pintura deteriorada)</t>
  </si>
  <si>
    <t>TOTAL</t>
  </si>
  <si>
    <t>4. UBICACIÓN RECOMENDADA (para debatir; no se modificó el plano)</t>
  </si>
  <si>
    <t>• PAÑOL DE INSUMOS PESADOS pegado a AL-1 y al portón P1 (recomendación de la cátedra): alambre MIG (pallets de carretes de 15 kg o tambores de 250 kg), granalla, asientos de válvula y cuplas, tapones y consumibles. Se descarga con el mismo autoelevador que la chapa y se reparte con carros a N1–N3.</t>
  </si>
  <si>
    <t>• PAÑOL DE HERRAMIENTAS Y MANTENIMIENTO: puede quedar en N5 (liviano, contra vale). Hoy concentra todo y queda a ~75 m de P1, en la esquina opuesta.</t>
  </si>
  <si>
    <t>• DEPÓSITO DE INSUMOS DE TERMINACIÓN (válvulas, manómetros, pescantes, mangueras, cajas, etiquetas, film, separadores, pallets): junto a S3a/AL-3, con acceso por los muelles M1–M2 (también es ingreso de camiones). Hoy no está dibujado.</t>
  </si>
  <si>
    <t>• POLVO QUÍMICO: seco (HR ≤70 %), en big bags junto a P1 (como hoy) y con un buffer al pie de E-21 y en la sala de polvo. Recomendación: estación de descarga de big bag con polipasto sobre la tolva E-21. Con ~2 t/día en 2035, manipular bolsas de 25 kg a mano no es aceptable.</t>
  </si>
  <si>
    <t>• GASES: la jaula de Ar/CO₂ al norte está bien (acceso por el camino de servicio). Sumar posiciones para N₂ (junto al manifold de S3a) y CO₂/argón de recargas.</t>
  </si>
  <si>
    <t>• QUÍMICOS Y AGENTES LÍQUIDOS: depósito con batea junto al túnel de pretratamiento (S2) y otro chico en recargas (AFFF, clase K).</t>
  </si>
  <si>
    <t>• PINTURA EN POLVO: depósito cerrado, fresco (&lt;30 °C) y lejos de chispas, junto a la cabina.</t>
  </si>
  <si>
    <t>• SCRAP: contenedor en N2 → montacargas → portón P2 → volquetes (layout v3 ✓). Coincide con la cátedra: el chatarrero no entra a la planta.</t>
  </si>
  <si>
    <t>5. RECEPCIONES DE MP (2035)</t>
  </si>
  <si>
    <t>Grupo de entrega (proveedor)</t>
  </si>
  <si>
    <t>Entregas por semana</t>
  </si>
  <si>
    <t>Carga por entrega (t)</t>
  </si>
  <si>
    <t>Se supone que los ítems del grupo llegan juntos, con la frecuencia del ítem más frecuente</t>
  </si>
  <si>
    <t>MANIPULACIÓN: CÓMO SE DESCARGA Y SE MUEVE CADA UNIDAD DE CARGA, Y EQUIPOS NECESARIOS</t>
  </si>
  <si>
    <t>Unidad de carga</t>
  </si>
  <si>
    <t>Peso máx. (kg)</t>
  </si>
  <si>
    <t>Medidas aprox.</t>
  </si>
  <si>
    <t>Almacenamiento</t>
  </si>
  <si>
    <t>Observaciones</t>
  </si>
  <si>
    <t>Paquete de hojas LAF (1000 × 2000 / 1220 × 2440 / 1500 × 3000)</t>
  </si>
  <si>
    <t>1,0–1,5 × 2,0–3,0 × 0,1–0,15 m</t>
  </si>
  <si>
    <t>Autoelevador 2,5 t con prolongaciones de horquilla (1,8 m)</t>
  </si>
  <si>
    <t>Autoelevador → mesa elevadora de tijera junto a la guillotina</t>
  </si>
  <si>
    <t>Piso, apilado de a 2 sobre tacos, un formato por fila</t>
  </si>
  <si>
    <t>Pedir paquetes ≤2 t, un solo formato por paquete, tacos con luz para horquillas. Hojas de 25–71 kg.</t>
  </si>
  <si>
    <t>Paquete de hojas LAC 3,2 / 4,75 (1500 × 3000)</t>
  </si>
  <si>
    <t>1,5 × 3,0 × 0,06–0,15 m</t>
  </si>
  <si>
    <t>Autoelevador 2,5 t con prolongaciones de horquilla</t>
  </si>
  <si>
    <t>Autoelevador → mesa elevadora de la guillotina</t>
  </si>
  <si>
    <t>Piso, de a 2 sobre tacos</t>
  </si>
  <si>
    <t>Hojas de 113 y 168 kg: nunca se levantan a mano; se deslizan sobre la mesa de bolas.</t>
  </si>
  <si>
    <t>Rollo de fleje LAF</t>
  </si>
  <si>
    <t>Ø ext. ≈0,8–1,3 m × 0,1–0,3 m (DI 508 mm)</t>
  </si>
  <si>
    <t>Autoelevador con espolón</t>
  </si>
  <si>
    <t>Autoelevador con espolón hasta la devanadora E-05 (N2)</t>
  </si>
  <si>
    <t>Piso, 1 altura, parado sobre cama</t>
  </si>
  <si>
    <t>Rollo parado sobre cama, zunchos radiales. Los de 0,9 mm de 1 t (Pradecon) tienen DE ≈1,3 m.</t>
  </si>
  <si>
    <t>Atado de caños de 6 m</t>
  </si>
  <si>
    <t>6,0 × Ø≈0,7 m</t>
  </si>
  <si>
    <t>Autoelevador con prolongaciones (o 2 eslingas + balancín)</t>
  </si>
  <si>
    <t>Autoelevador → cargador de atados E-01</t>
  </si>
  <si>
    <t>Cantiléver</t>
  </si>
  <si>
    <t>Confirmar caños por atado (se supuso 61)</t>
  </si>
  <si>
    <t>Big bag de polvo ABC</t>
  </si>
  <si>
    <t>1,0 × 1,0 × 1,2 m</t>
  </si>
  <si>
    <t>Autoelevador 2,5 t (por las asas con barra o sobre pallet)</t>
  </si>
  <si>
    <t>Autoelevador → estación de descarga sobre tolva E-21</t>
  </si>
  <si>
    <t>Piso, 2 alturas (si es apilable), área seca</t>
  </si>
  <si>
    <t>Alternativa: pallet de 40 bolsas de 25 kg</t>
  </si>
  <si>
    <t>Pallet de alambre MIG (60 × 15 kg)</t>
  </si>
  <si>
    <t>1,2 × 1,0 × 1,0 m</t>
  </si>
  <si>
    <t>Autoelevador / transpaleta</t>
  </si>
  <si>
    <t>Carro de reparto a los puestos</t>
  </si>
  <si>
    <t>Rack selectivo en el pañol de insumos pesados</t>
  </si>
  <si>
    <t>Tambor de 250 kg ≈ 280 kg con base para transpaleta</t>
  </si>
  <si>
    <t>Pallet de granalla (40 × 25 kg)</t>
  </si>
  <si>
    <t>1,2 × 1,0 × 0,6 m</t>
  </si>
  <si>
    <t>Autoelevador a N4</t>
  </si>
  <si>
    <t>Rack (nivel bajo)</t>
  </si>
  <si>
    <t>Carga concentrada: usar el nivel de piso</t>
  </si>
  <si>
    <t>Pallet de pintura en polvo (30 × 20 kg)</t>
  </si>
  <si>
    <t>1,2 × 1,0 × 1,2 m</t>
  </si>
  <si>
    <t>Transpaleta</t>
  </si>
  <si>
    <t>Rack, depósito fresco</t>
  </si>
  <si>
    <t>Batería de cilindros (11 × 50 L)</t>
  </si>
  <si>
    <t>≈1,1 × 0,9 × 1,9 m</t>
  </si>
  <si>
    <t>Hidrogrúa del camión del proveedor</t>
  </si>
  <si>
    <t>No se mueve (manifold)</t>
  </si>
  <si>
    <t>Jaula exterior ventilada</t>
  </si>
  <si>
    <t>La jaula necesita acceso de camión y piso nivelado</t>
  </si>
  <si>
    <t>Tambor 200 L (químicos)</t>
  </si>
  <si>
    <t>Ø0,6 × 0,9 m</t>
  </si>
  <si>
    <t>Autoelevador con pinza / transpaleta</t>
  </si>
  <si>
    <t>Batea antiderrame</t>
  </si>
  <si>
    <t>Pallet de válvulas / componentes</t>
  </si>
  <si>
    <t>Autoelevador / transpaleta (muelle M1–M2)</t>
  </si>
  <si>
    <t>Transpaleta a terminación</t>
  </si>
  <si>
    <t>Rack selectivo</t>
  </si>
  <si>
    <t>Pallet de cajas plegadas</t>
  </si>
  <si>
    <t>1,2 × 1,0 × 1,5 m</t>
  </si>
  <si>
    <t>Transpaleta / autoelevador</t>
  </si>
  <si>
    <t>Rack</t>
  </si>
  <si>
    <t>Material combustible: lejos de soldadura</t>
  </si>
  <si>
    <t>Pila de pallets vacíos (15)</t>
  </si>
  <si>
    <t>1,2 × 1,0 × 2,2 m</t>
  </si>
  <si>
    <t>Piso</t>
  </si>
  <si>
    <t>Pallet de PT (terminados o cilindros)</t>
  </si>
  <si>
    <t>1,2 × 1,0 × ≤1,6 m</t>
  </si>
  <si>
    <t>— (carga de camión en muelle)</t>
  </si>
  <si>
    <t>Autoelevador / apiladora</t>
  </si>
  <si>
    <t>Rack AL-3 (4 niveles) + playa</t>
  </si>
  <si>
    <t>Recubridor EDOS PS5: hasta 2.000 kg y 2,0 m</t>
  </si>
  <si>
    <t>Carro terminado 25–100 kg</t>
  </si>
  <si>
    <t>0,6–0,8 × 0,55–0,75 × 1,0–1,6 m</t>
  </si>
  <si>
    <t>Sobre sus ruedas</t>
  </si>
  <si>
    <t>Playa a piso</t>
  </si>
  <si>
    <t>Film + protección de manguera</t>
  </si>
  <si>
    <t>EQUIPOS DE MANIPULACIÓN RECOMENDADOS</t>
  </si>
  <si>
    <t>Equipo</t>
  </si>
  <si>
    <t>Capacidad</t>
  </si>
  <si>
    <t>Cant.</t>
  </si>
  <si>
    <t>Uso</t>
  </si>
  <si>
    <t>Verificación</t>
  </si>
  <si>
    <t>6. SCRAP GENERADO (2035) — sale por el portón P2</t>
  </si>
  <si>
    <t>Mesa elevadora de tijera 1500 × 3000 mm (entrada a la guillotina)</t>
  </si>
  <si>
    <t>3 t, elevación ≈1 m</t>
  </si>
  <si>
    <t>Origen</t>
  </si>
  <si>
    <t>Criterio</t>
  </si>
  <si>
    <t>Sube el paquete de hojas hasta la altura de la mesa de la guillotina (≈800 mm)</t>
  </si>
  <si>
    <t>Esqueleto de fleje (discos de cúpula y fondo)</t>
  </si>
  <si>
    <t>Bruto − neto por recipiente × recipientes</t>
  </si>
  <si>
    <t>Orillas de hoja en la guillotina propia (opción D)</t>
  </si>
  <si>
    <t>Opción D (Comparacion_corte). ESTIMADO USD 7.000</t>
  </si>
  <si>
    <t>Mesa de bolas / brazos delanteros con bolas</t>
  </si>
  <si>
    <t>Masa bruta de hoja por cuerpo − masa neta (Geometria filas 87–90)</t>
  </si>
  <si>
    <t>La hoja se desliza de la mesa elevadora a la guillotina sin levantarla (hojas de 25–168 kg)</t>
  </si>
  <si>
    <t>Consultar si la guillotina CENA trae brazos delanteros con bolas. ESTIMADO USD 1.500</t>
  </si>
  <si>
    <t>Despunte de caño (1 kg)</t>
  </si>
  <si>
    <t>Autoelevador eléctrico contrapesado</t>
  </si>
  <si>
    <t>2,5 t, mástil triplex ≥4,5 m, desplazador lateral, prolongaciones de horquilla 1,8 m y espolón para rollos</t>
  </si>
  <si>
    <t>Descarga de paquetes de hoja, rollos y caños; alimentación de la guillotina y de la prensa; big bags; carga de PT</t>
  </si>
  <si>
    <t>Masa bruta − neta del cuerpo 1 kg</t>
  </si>
  <si>
    <t>Sin puente grúa en la opción D: es el equipo principal para el acero (paquetes ≤2 t).</t>
  </si>
  <si>
    <t>Rechazos (1 % de la masa de recipientes)</t>
  </si>
  <si>
    <t>Transpaletas manuales</t>
  </si>
  <si>
    <t>2,5 t</t>
  </si>
  <si>
    <t>Muelles y abastecimiento a línea</t>
  </si>
  <si>
    <t>Apiladoras eléctricas (AL-5)</t>
  </si>
  <si>
    <t>1,2–1,6 t</t>
  </si>
  <si>
    <t>Racks de PT y de insumos de terminación</t>
  </si>
  <si>
    <t>El layout v3 prevé 4</t>
  </si>
  <si>
    <t>Estación de descarga de big bag con polipasto</t>
  </si>
  <si>
    <t>2 t</t>
  </si>
  <si>
    <t>Tolva de carga de polvo E-21</t>
  </si>
  <si>
    <t>Evita manipular bolsas de 25 kg</t>
  </si>
  <si>
    <t>TOTAL scrap ferroso</t>
  </si>
  <si>
    <t>Carros de reparto (zorras)</t>
  </si>
  <si>
    <t>300–500 kg</t>
  </si>
  <si>
    <t>Carros porta-desarrollos (guillotina → grabado → cilindrado) y kits a soldadura</t>
  </si>
  <si>
    <t>Recomendación de la cátedra</t>
  </si>
  <si>
    <t>Carros de ≈400 kg para empujar a mano; para 70/100 kg, carro a la altura de la roladora.</t>
  </si>
  <si>
    <t>Balanza de plataforma en recepción</t>
  </si>
  <si>
    <t>3 t</t>
  </si>
  <si>
    <t>Control de peso de chapa (se factura por kg) y polvo</t>
  </si>
  <si>
    <t>Control de peso de hojas y rollos (se facturan por kg) y de polvo</t>
  </si>
  <si>
    <t>Volquetes de 6 m³ por mes (densidad aparente ≈0,8 t/m³, mes pico)</t>
  </si>
  <si>
    <t>Estantería porta-flejes</t>
  </si>
  <si>
    <t>rollos 0,5–1 t</t>
  </si>
  <si>
    <t>Rollos de fleje por SKU (8 anchos) junto a la prensa de discos</t>
  </si>
  <si>
    <t>Opción D. ESTIMADO USD 3.000</t>
  </si>
  <si>
    <t>PALLETS DE PRODUCTO TERMINADO Y DE CILINDROS PARA VENDER</t>
  </si>
  <si>
    <t>Recalculado desde cero: las medidas de caja de ET's Matafuegos son menores que el Ø del matafuego y sus capas no cierran con la altura (ver Dudas).</t>
  </si>
  <si>
    <t>PARÁMETROS DE PALLETIZADO</t>
  </si>
  <si>
    <t>Pallet — largo</t>
  </si>
  <si>
    <t>ARLOG IRAM 10016 (web)</t>
  </si>
  <si>
    <t>Pallet — ancho</t>
  </si>
  <si>
    <t>ARLOG IRAM 10016</t>
  </si>
  <si>
    <t>Pallet — alto</t>
  </si>
  <si>
    <t>Pallet — tara</t>
  </si>
  <si>
    <t>Altura máxima de carga (incluye pallet)</t>
  </si>
  <si>
    <t>Recubridor EDOS: cargas de 1.000–1.700 mm (Drive)</t>
  </si>
  <si>
    <t>Peso máximo de carga por pallet</t>
  </si>
  <si>
    <t>EDOS: 600–1.200 kg; ARLOG: 1.500 kg en rack. Se toma 1.100 kg</t>
  </si>
  <si>
    <t>Espesor del separador de capa</t>
  </si>
  <si>
    <t>Masa del separador</t>
  </si>
  <si>
    <t>Stock de ciclo de despacho</t>
  </si>
  <si>
    <t>días háb.</t>
  </si>
  <si>
    <t>Pallets por semirremolque (una altura)</t>
  </si>
  <si>
    <t>EST: 13,6 m × 2 filas de pallets 1.200 × 1.000</t>
  </si>
  <si>
    <t>Stock máximo de PT 2035 (unidades)</t>
  </si>
  <si>
    <t>Dimensionamiento (13) › Sensibilidad Stock (noviembre)</t>
  </si>
  <si>
    <t>Posiciones de PT en el layout v3 (AL-3)</t>
  </si>
  <si>
    <t>pos.</t>
  </si>
  <si>
    <t>Layout v3: 96 posiciones en rack de 4 niveles + playa de 26 pallets</t>
  </si>
  <si>
    <t>A. CILINDROS VENDIDOS VACÍOS — a granel, parados, separador de cartón por capa, tapón de rosca, film</t>
  </si>
  <si>
    <t>OPCIÓN D ELEGIDA — HOJAS ESTÁNDAR EN GUILLOTINA PROPIA + FLEJE A MEDIDA (año de diseño 2035)</t>
  </si>
  <si>
    <t>Ø del cilindro</t>
  </si>
  <si>
    <t>Solo los datos de la forma de trabajo elegida. La comparación entre alternativas (bobina por formato, hojas, bobina madre, hojas + fleje) está en Comparacion_corte.xlsx. Cuerpos 2,5–100 kg desde hoja estándar cortada en la guillotina CENA; cúpulas y fondos desde rollos de fleje comprados al ancho de cada disco; cuerpo de 1 kg desde caño.</t>
  </si>
  <si>
    <t>A. ACERO QUE SE COMPRA — 2035</t>
  </si>
  <si>
    <t>Materia prima</t>
  </si>
  <si>
    <t>Proveedor (grupo de entrega)</t>
  </si>
  <si>
    <t>Consumo 2035</t>
  </si>
  <si>
    <t>Acero 2035 (t)</t>
  </si>
  <si>
    <t>USD/kg sin IVA</t>
  </si>
  <si>
    <t>Costo 2035 (USD)</t>
  </si>
  <si>
    <t>Stock máx. (t)</t>
  </si>
  <si>
    <t>Fuente del precio</t>
  </si>
  <si>
    <t>Alto sin válvula</t>
  </si>
  <si>
    <t>Geometria Acero (EST)</t>
  </si>
  <si>
    <t>Masa unitaria</t>
  </si>
  <si>
    <t>Metalprisa 09/09/2026: $37.044 + IVA por barra de 6 m (D25) al TC de D24</t>
  </si>
  <si>
    <t>Unidades por capa (cuadrícula)</t>
  </si>
  <si>
    <t>FLOOR(L/Ø) × FLOOR(A/Ø)</t>
  </si>
  <si>
    <t>Unidades por capa al tresbolillo (referencia)</t>
  </si>
  <si>
    <t>Pradecon 173195 ($1.993,51/kg a TC 1.545)</t>
  </si>
  <si>
    <t>Más denso pero menos estable; no se adopta</t>
  </si>
  <si>
    <t>Capas por altura</t>
  </si>
  <si>
    <t>Pradecon 173195 ($2.051,02/kg a TC 1.545)</t>
  </si>
  <si>
    <t>Capas por peso</t>
  </si>
  <si>
    <t>Pradecon 173195 ($1.978,22/kg a TC 1.545)</t>
  </si>
  <si>
    <t>Capas adoptadas</t>
  </si>
  <si>
    <t>UNIDADES POR PALLET</t>
  </si>
  <si>
    <t>Pradecon 173170 (LAF 0,9 flejada sin cargo)</t>
  </si>
  <si>
    <t>Resultado</t>
  </si>
  <si>
    <t>Separadores por pallet (capas + 1)</t>
  </si>
  <si>
    <t>Pacheco N°42021</t>
  </si>
  <si>
    <t>Peso bruto del pallet</t>
  </si>
  <si>
    <t>Altura total del pallet</t>
  </si>
  <si>
    <t>Pallets por año 2035</t>
  </si>
  <si>
    <t>Pradecon 173195 ($1.702,49/kg a TC 1.545)</t>
  </si>
  <si>
    <t>B. MATAFUEGOS TERMINADOS EN CAJA (1–10 kg). Los carros van sin caja, a piso (sección C).</t>
  </si>
  <si>
    <t>Pradecon 173195 ($1.685,56/kg a TC 1.545)</t>
  </si>
  <si>
    <t>Matafuegos por caja</t>
  </si>
  <si>
    <t>ET's: 1 kg × 6; resto individual</t>
  </si>
  <si>
    <t>Caja — largo exterior</t>
  </si>
  <si>
    <t>EST: Ø + holgura (ET's: 250/110/125/180 → no entran)</t>
  </si>
  <si>
    <t>Caja — ancho exterior</t>
  </si>
  <si>
    <t>Caja — alto exterior</t>
  </si>
  <si>
    <t>EST: recipiente + válvula (≈80 mm) + 20 mm</t>
  </si>
  <si>
    <t>Tara de caja</t>
  </si>
  <si>
    <t>Accesorios (manómetro, pescante, manguera, soporte)</t>
  </si>
  <si>
    <t>Masa del matafuego lleno</t>
  </si>
  <si>
    <t>Sin cotizar (proveedor a definir)</t>
  </si>
  <si>
    <t>Recipiente + polvo + válvula + accesorios (ET's da 2,70 kg para 1 kg: parece alto)</t>
  </si>
  <si>
    <t>TOTAL ACERO 2035</t>
  </si>
  <si>
    <t>Peso por caja</t>
  </si>
  <si>
    <t>Cajas por capa (mejor orientación)</t>
  </si>
  <si>
    <t>Tipo de cambio (ARS/USD)</t>
  </si>
  <si>
    <t>Dólar BNA usado en Comparacion_corte (Pradecon, 28/09/2026)</t>
  </si>
  <si>
    <t>Caño Ø76,2 × 1,25 — precio por barra (ARS sin IVA)</t>
  </si>
  <si>
    <t>Mail Metalprisa 09/09/2026</t>
  </si>
  <si>
    <t>B. HOJAS: NESTING Y CORTES EN LA GUILLOTINA (por formato)</t>
  </si>
  <si>
    <t>Formato</t>
  </si>
  <si>
    <t>Hoja (mm)</t>
  </si>
  <si>
    <t>Espesor (mm)</t>
  </si>
  <si>
    <t>Masa de la hoja (kg)</t>
  </si>
  <si>
    <t>Aprovech.</t>
  </si>
  <si>
    <t>1er corte: franja (mm)</t>
  </si>
  <si>
    <t>2º corte: pieza (mm)</t>
  </si>
  <si>
    <t>Cortes por hoja</t>
  </si>
  <si>
    <t>Cota máx. de tope (mm)</t>
  </si>
  <si>
    <t>¿Todo con tope?</t>
  </si>
  <si>
    <t>Hojas 2035</t>
  </si>
  <si>
    <t>Hojas por día</t>
  </si>
  <si>
    <t>C. CARROS TERMINADOS (25–100 kg) — a piso, sobre sus ruedas, con film</t>
  </si>
  <si>
    <t>Huella del carro — largo</t>
  </si>
  <si>
    <t>Huella del carro — ancho</t>
  </si>
  <si>
    <t>Altura con carro</t>
  </si>
  <si>
    <t>ET's (70 kg EST)</t>
  </si>
  <si>
    <t>m² de piso por carro (con 30 % de circulación)</t>
  </si>
  <si>
    <t>Carros en stock (días de ciclo × producción diaria pico)</t>
  </si>
  <si>
    <t>m² de playa para carros</t>
  </si>
  <si>
    <t>D. RESUMEN DE DESPACHO Y STOCK DE PT — 2035</t>
  </si>
  <si>
    <t>70 kg (hoja mixta 3 × 70 + 1 × 100)</t>
  </si>
  <si>
    <t>Pallets de cilindros por año</t>
  </si>
  <si>
    <t>pallets</t>
  </si>
  <si>
    <t>Pallets de terminados por año</t>
  </si>
  <si>
    <t>Pallets de PT por año</t>
  </si>
  <si>
    <t>Pallets en el mes pico</t>
  </si>
  <si>
    <t>pallets/mes</t>
  </si>
  <si>
    <t>Factor del mes pico (Volumenes)</t>
  </si>
  <si>
    <t>Pallets por día hábil (mes pico)</t>
  </si>
  <si>
    <t>pallets/día</t>
  </si>
  <si>
    <t>Semirremolques por semana (mes pico)</t>
  </si>
  <si>
    <t>semis/sem</t>
  </si>
  <si>
    <t>Carga a una altura</t>
  </si>
  <si>
    <t>Unidades palletizadas 2035 (terminados 1–10 kg + cilindros)</t>
  </si>
  <si>
    <t>Unidades por pallet promedio (mezcla 2035)</t>
  </si>
  <si>
    <t>Posiciones para el stock máximo (noviembre)</t>
  </si>
  <si>
    <t>Stock máx. del Dimensionamiento ÷ u/pallet promedio</t>
  </si>
  <si>
    <t>Posiciones para el stock de ciclo de despacho</t>
  </si>
  <si>
    <t>POSICIONES DE PT REQUERIDAS</t>
  </si>
  <si>
    <t>Posiciones en el layout v3</t>
  </si>
  <si>
    <t>Datos en Geometria Acero filas 79–97. En el 4,75 mm la franja de 1212 sale cortando primero la orilla de 288 mm con el tope y la franja queda adelante; las piezas de 900 y 680 mm se cortan con tope. Hojas del 25 y 50 kg = MP-11; del 70 y 100 kg = MP-12.</t>
  </si>
  <si>
    <t>Margen (+) / faltante (−)</t>
  </si>
  <si>
    <t>C. GUILLOTINA SELECCIONADA — CENA 8×3200 E21, tope trasero 1.000 mm</t>
  </si>
  <si>
    <t>Requisito del proyecto</t>
  </si>
  <si>
    <t>Cotizado por CENA</t>
  </si>
  <si>
    <t>Cumple</t>
  </si>
  <si>
    <t>Nota</t>
  </si>
  <si>
    <t>Playa de carros terminados requerida</t>
  </si>
  <si>
    <t>Largo de corte 3.200 mm</t>
  </si>
  <si>
    <t>3.200 mm</t>
  </si>
  <si>
    <t>SÍ</t>
  </si>
  <si>
    <t>Espesor hasta 6 mm en SAE 1010</t>
  </si>
  <si>
    <t>8 mm</t>
  </si>
  <si>
    <t>Layout v3: 'Rodantes terminados (a piso)' 5,4 × 5,6 = 30 m²</t>
  </si>
  <si>
    <t>Margen para el 4,75 mm de los rodantes.</t>
  </si>
  <si>
    <t>Tope trasero motorizado con control NC y recorrido de 1.000 mm</t>
  </si>
  <si>
    <t>Control E21, tope 20–1.000 mm</t>
  </si>
  <si>
    <t>Ángulo de corte regulable</t>
  </si>
  <si>
    <t>Corte oscilante, ángulo fijo de 1,5°</t>
  </si>
  <si>
    <t>SUPUESTO</t>
  </si>
  <si>
    <t>El proyecto supone la versión de ángulo regulable al mismo precio: confirmar con CENA (ver Dudas).</t>
  </si>
  <si>
    <t>Alimentación 380 V trifásica</t>
  </si>
  <si>
    <t>No informado</t>
  </si>
  <si>
    <t>A CONFIRMAR</t>
  </si>
  <si>
    <t>Pedir la confirmación por escrito junto con el ángulo.</t>
  </si>
  <si>
    <t>Golpes por minuto</t>
  </si>
  <si>
    <t>10</t>
  </si>
  <si>
    <t>Alcanza: Comparacion_corte supone 3 cortes efectivos por minuto con carga manual.</t>
  </si>
  <si>
    <t>Entrega</t>
  </si>
  <si>
    <t>A convenir</t>
  </si>
  <si>
    <t>La versión de 650 mm tiene entrega inmediata, pero no llega a los cortes de 858–994 mm.</t>
  </si>
  <si>
    <t>Precio (USD sin IVA)</t>
  </si>
  <si>
    <t>Tope de 650 mm: USD 32.000 (no cumple). Con sostén trasero neumático y tope de 1.000 mm: USD 45.000.</t>
  </si>
  <si>
    <t>IVA</t>
  </si>
  <si>
    <t>Precio con IVA (USD)</t>
  </si>
  <si>
    <t>Fuente: cotización CENA en el Drive (Cotizacion guillotina CENA.png).</t>
  </si>
  <si>
    <t>D. EQUIPOS DE CORTE Y MANIPULACIÓN DE LA OPCIÓN D (USD sin IVA)</t>
  </si>
  <si>
    <t>Cantidad</t>
  </si>
  <si>
    <t>Precio unitario</t>
  </si>
  <si>
    <t>Subtotal</t>
  </si>
  <si>
    <t>Guillotina hidráulica CENA 8×3200, control E21, tope 1.000 mm</t>
  </si>
  <si>
    <t>COTIZ: CENA (sección C)</t>
  </si>
  <si>
    <t>Autoelevador eléctrico 2,5 t (prolongaciones de horquilla y espolón)</t>
  </si>
  <si>
    <t>WEB: MercadoLibre GBA, nuevos 2026, USD 13.700–26.700 (Comparacion_corte)</t>
  </si>
  <si>
    <t>Mesa elevadora de tijera 1500 × 3000 mm, 3 t, elevación ≈1 m</t>
  </si>
  <si>
    <t>EST: cotizar</t>
  </si>
  <si>
    <t>Mesa de bolas entre la mesa elevadora y la guillotina</t>
  </si>
  <si>
    <t>EST: no hace falta si la guillotina trae brazos delanteros con bolas</t>
  </si>
  <si>
    <t>Racks por espesor y carros porta-desarrollos</t>
  </si>
  <si>
    <t>Desbobinador + enderezador + alimentador servo para la prensa de discos</t>
  </si>
  <si>
    <t>EST: en cotización (Cena, Henli, AEK, King Jime, Segura Llunell)</t>
  </si>
  <si>
    <t>TOTAL INVERSIÓN OPCIÓN D</t>
  </si>
  <si>
    <t>No lleva puente grúa, línea de corte transversal ni slitter. La prensa de discos y la cilindradora existen en todas las opciones y no se incluyen.</t>
  </si>
  <si>
    <t>E. MANEJO EN EL PUESTO DE GUILLOTINA (pesos por formato)</t>
  </si>
  <si>
    <t>Límite de manejo manual por persona (kg)</t>
  </si>
  <si>
    <t>Referencia de carga manual (Res. MTEySS 295/03). Por encima, se desliza o se usa ayuda mecánica.</t>
  </si>
  <si>
    <t>Cómo entra la hoja a la guillotina</t>
  </si>
  <si>
    <t>Hoja (kg)</t>
  </si>
  <si>
    <t>Franja (kg)</t>
  </si>
  <si>
    <t>Pieza (kg)</t>
  </si>
  <si>
    <t>Cómo sale la pieza</t>
  </si>
  <si>
    <t>Secuencia de materia prima (opción D)</t>
  </si>
  <si>
    <t>Paso</t>
  </si>
  <si>
    <t>Qué se hace</t>
  </si>
  <si>
    <t>Recepción: el autoelevador descarga los paquetes de hojas (≤2 t) y los rollos de fleje (0,5–1 t, con espolón). Control de recepción: certificado, espesor ±0,1 mm, colada; se pesa en la balanza.</t>
  </si>
  <si>
    <t>Almacén AL-1: paquetes de hoja apilados de a 2 sobre tacos, un formato y espesor por fila; rollos de fleje parados en la estantería porta-flejes, un SKU por disco; atados de caño en cantiléver.</t>
  </si>
  <si>
    <t>Entrada a la guillotina: el autoelevador lleva el paquete del formato a cortar a la mesa elevadora de tijera; se corta por tandas del mismo formato y el paquete vuelve al almacén.</t>
  </si>
  <si>
    <t>Carga: la mesa sube hasta que la hoja de arriba queda a la altura de la guillotina y se desliza por la mesa de bolas sin levantarla (hojas de 25 a 168 kg).</t>
  </si>
  <si>
    <t>Cortes: 1er corte en franjas con el tope trasero; la franja se gira 90° sobre las bolas y el 2º corte da los desarrollos. En 4,75 mm primero se corta la orilla de 288 mm y la franja de 1212 queda adelante.</t>
  </si>
  <si>
    <t>Salida: los desarrollos caen atrás sobre el sostén de chapa y pasan a carros porta-desarrollos (≈400 kg) → grabado de lote (tarjeta con la colada) → cilindradora o roladora E-15.</t>
  </si>
  <si>
    <t>Discos: el rollo va con espolón al desbobinador (3 t) → enderezador → alimentador servo → prensa de corte y embutido. Cambio de formato: rollo y troquel.</t>
  </si>
  <si>
    <t>Scrap: orillas de hoja (10–290 mm) y esqueleto de fleje a contenedor basculante junto a cada máquina → contenedor en N2 → portón P2 (Almacen MP, sección 6).</t>
  </si>
  <si>
    <t>DUDAS, INCONSISTENCIAS Y SUPUESTOS A VALIDAR</t>
  </si>
  <si>
    <t>Revisión crítica de los datos del Drive. Prioridad: A = cambia decisiones o superficies; B = cambia cantidades; C = menor.</t>
  </si>
  <si>
    <t>#</t>
  </si>
  <si>
    <t>Tema</t>
  </si>
  <si>
    <t>Qué encontré / duda</t>
  </si>
  <si>
    <t>Dónde</t>
  </si>
  <si>
    <t>Qué supuse en este Excel</t>
  </si>
  <si>
    <t>Cómo resolverlo</t>
  </si>
  <si>
    <t>Prioridad</t>
  </si>
  <si>
    <t>Pallets de PT (ET's)</t>
  </si>
  <si>
    <t>Las cajas de ET's (2,5 kg 110 mm; 5 kg 125 mm; 10 kg 180 mm) son más chicas que el Ø del matafuego (124 / 153 / 181,5 mm). Además 6 capas × 530 mm no dan 1,2 m de alto (dan 3,2 m).</t>
  </si>
  <si>
    <t>ET's Matafuegos › Matafuego conformado</t>
  </si>
  <si>
    <t>Recalculé cajas y pallets desde cero (Pallets PT)</t>
  </si>
  <si>
    <t>Pedir muestras de caja a Cartocor/Smurfit con las medidas reales del equipo + válvula</t>
  </si>
  <si>
    <t>Ø del carro de 70 kg</t>
  </si>
  <si>
    <t>ET's dice Ø216,5 × 1.212 mm (≈45 L, no entran 70 kg de polvo). El registro FADESA indica chapa 680 × 1212 y casquete de 15": el desarrollo es 1.212 ⇒ Ø≈390 y el alto es 680.</t>
  </si>
  <si>
    <t>ET's Matafuegos</t>
  </si>
  <si>
    <t>Ø390, cuerpo de 680 mm</t>
  </si>
  <si>
    <t>Corregir ET's</t>
  </si>
  <si>
    <t>Ø de discos (ET's vs FADESA)</t>
  </si>
  <si>
    <t>ET's calcula los discos con d = Ø + 2h (203/262/306,5 y 156/196/214,5 mm). FADESA y la cotización usan 179/221/258 y 148/177/205.</t>
  </si>
  <si>
    <t>ET's › Dimensiones chapa</t>
  </si>
  <si>
    <t>Unificar en ET's</t>
  </si>
  <si>
    <t>B</t>
  </si>
  <si>
    <t>Espesor de cúpula 10 kg</t>
  </si>
  <si>
    <t>Plano/FADESA: 1,6 mm. Pacheco cotizó el fleje 2,0 × 300 y la opción D (Comparacion_corte) usa 2,0 mm.</t>
  </si>
  <si>
    <t>Pacheco N°42021 / Comparacion_corte</t>
  </si>
  <si>
    <t>2,0 mm (opción D)</t>
  </si>
  <si>
    <t>Confirmar con el plano; si es 1,6 mm, recotizar el fleje</t>
  </si>
  <si>
    <t>Discos por rollo (fondo 5 kg)</t>
  </si>
  <si>
    <t>'Materias Primas' dice 1.412 discos por rollo de 1,6 × 200 (492 kg); con 1,6 mm salen ≈1.094 (el cálculo usó 1,25 mm). El fondo sale ≈29 % más caro de lo previsto.</t>
  </si>
  <si>
    <t>Materias Primas</t>
  </si>
  <si>
    <t>Cálculo por masa</t>
  </si>
  <si>
    <t>Corregir la planilla</t>
  </si>
  <si>
    <t>Anchos de fleje</t>
  </si>
  <si>
    <t>Pacheco cotizó 200 mm para el fondo Ø148, 250 mm para Ø221, 200 para Ø177, 300 para Ø258 y 249 para Ø205: entre 10 y 35 % de chapa de más. FADESA usa 179 y 147/148 mm.</t>
  </si>
  <si>
    <t>Anchos cotizados (opción D)</t>
  </si>
  <si>
    <t>Si se recotiza, pedir fleje = D₀ + 2s (≈D₀ + 6 mm)</t>
  </si>
  <si>
    <t>1 kg: discos y fleje</t>
  </si>
  <si>
    <t>FADESA anota '0,9 × 245' y '12 × 0,0461 kg' (ambiguo). No hay Ø de discos medidos para el 1 kg. La opción D estima 108 mm (cúpula) y 100 mm (fondo) desde la masa de pieza.</t>
  </si>
  <si>
    <t>Dimensiones de chapa</t>
  </si>
  <si>
    <t>Discos de 108 y 100 mm con flejes de 114 y 106 mm (Pradecon)</t>
  </si>
  <si>
    <t>Medir piezas reales y ajustar el ancho de fleje</t>
  </si>
  <si>
    <t>Cálculo del layout (AL-1)</t>
  </si>
  <si>
    <t>calc_dimensionamiento.py toma el '245' del 1 kg como Ø de disco: sobreestima ≈0,47 kg de acero por matafuego de 1 kg (≈95 t/año en 2035). Además el polvo no incluye recargas.</t>
  </si>
  <si>
    <t>Repositorio del layout (calc_dimensionamiento.py)</t>
  </si>
  <si>
    <t>No se usa ese cálculo</t>
  </si>
  <si>
    <t>Corregir antes de volver a dimensionar AL-1 (no toqué el plano)</t>
  </si>
  <si>
    <t>BOM desactualizado</t>
  </si>
  <si>
    <t>El BOM de ago-2025 describe cuerpo embutido sin costura, rosca BSP ¾", gas 75/25 y alambre 0,8 mm. El proceso actual es plancha rolada con costura, M22/M30, ARCAL 21 (92/8) y alambre 0,9/1,2 (cátedra).</t>
  </si>
  <si>
    <t>BOM-Lista de materiales.xlsx</t>
  </si>
  <si>
    <t>Proceso actual</t>
  </si>
  <si>
    <t>Actualizar el BOM</t>
  </si>
  <si>
    <t>Pintura por unidad (BOM)</t>
  </si>
  <si>
    <t>BOM: 0,04–0,10 kg/u; por área y espesor (70 µm, 25 % de pérdida) da ≈0,01–0,05 kg/u, unas 3 veces menos.</t>
  </si>
  <si>
    <t>BOM</t>
  </si>
  <si>
    <t>Cálculo por área</t>
  </si>
  <si>
    <t>Confirmar con Sinteplast / SP Ingeniería</t>
  </si>
  <si>
    <t>C</t>
  </si>
  <si>
    <t>Gas Ar/CO₂</t>
  </si>
  <si>
    <t>Drive: 500–600 m³/mes en el año 10, pero '4 baterías con recambio mensual' = 462 m³/mes, que no alcanza.</t>
  </si>
  <si>
    <t>Cotizaciones de MP – wpp</t>
  </si>
  <si>
    <t>Recambio semanal</t>
  </si>
  <si>
    <t>Pedir a Air Liquide recambio semanal o evaluar tanque a granel con mezclador</t>
  </si>
  <si>
    <t>Drive: 300 m³/mes. Este cálculo (volumen libre 25 %, 15 bar, 30 % de pérdidas, fabricación + recargas) da otro valor (ver Consumo Anual MP-34). 'Materiales y útiles' prevé un manifold de 4 cilindros (≈38 m³): en 2035 serían ≈10 recambios por mes.</t>
  </si>
  <si>
    <t>Cotizaciones de MP – wpp / Materiales y útiles</t>
  </si>
  <si>
    <t>Cálculo; batería de 11 cilindros</t>
  </si>
  <si>
    <t>Medir en una prueba de carga real; usar batería o bloque</t>
  </si>
  <si>
    <t>Válvula pre-armada</t>
  </si>
  <si>
    <t>'Materiales y útiles' dice que la válvula llega pre-armada (válvula + pescante + manómetro + accionador). La lista de precios HZ no lo aclara.</t>
  </si>
  <si>
    <t>Materiales y útiles / Lista de precios</t>
  </si>
  <si>
    <t>Manómetro y pescante como ítems aparte (MP-45, MP-46)</t>
  </si>
  <si>
    <t>Confirmar con HZ/Georgia; si vienen armadas, se suman a MP-42/43</t>
  </si>
  <si>
    <t>Superficie de almacenes</t>
  </si>
  <si>
    <t>El Modelo_Tecnico_Flama (ago-2026) estimaba 600 m² de almacenes de MP + PT. Este Excel da ≈340 m² de MP + AL-3 (≈242 m²) ≈ 580 m²: orden coherente.</t>
  </si>
  <si>
    <t>Modelo_Tecnico_Flama</t>
  </si>
  <si>
    <t>Solo verificación</t>
  </si>
  <si>
    <t>% de polvo nuevo en recargas</t>
  </si>
  <si>
    <t>No está definido. Se supuso 25 % (15 % de reposición + 10 % de rechazo en el ensayo Puffer). Cada +10 % suma ≈35 t/año. El Modelo_Tecnico_Flama (ago-2026) suponía 100 % de polvo nuevo en TODAS las recargas: ≈994 t/año.</t>
  </si>
  <si>
    <t>Parametros Recargas / Modelo_Tecnico_Flama</t>
  </si>
  <si>
    <t>25 %</t>
  </si>
  <si>
    <t>Definir con el responsable técnico (IRAM 3517-2)</t>
  </si>
  <si>
    <t>Recargas planta comercial</t>
  </si>
  <si>
    <t>El modelo tiene 247.311 recargas en 2035 en una 'planta comercial'; no se incluyen aquí.</t>
  </si>
  <si>
    <t>datos_base</t>
  </si>
  <si>
    <t>Solo planta industrial</t>
  </si>
  <si>
    <t>Confirmar que es otro sitio</t>
  </si>
  <si>
    <t>Total de recargas</t>
  </si>
  <si>
    <t>datos_base suma 128.766 en 2035 porque incluye la fila 'TOTAL CARROS' (subtotal). El Resumen usa 127.339.</t>
  </si>
  <si>
    <t>Sin la fila TOTAL CARROS</t>
  </si>
  <si>
    <t>Corregir la fórmula del total</t>
  </si>
  <si>
    <t>Mails a Polvex/DEMSA</t>
  </si>
  <si>
    <t>Dicen 'ABC 5 kg — 132.000 unidades'; el de Air Liquide dice 32.000 y el modelo da ≈30.751 + 34.614 recargas. Además piden CO₂ 2 y 5 kg 'nuevos y recargas' que el modelo no fabrica.</t>
  </si>
  <si>
    <t>mails presupuestos.docx</t>
  </si>
  <si>
    <t>Modelo</t>
  </si>
  <si>
    <t>Corregir antes de que coticen</t>
  </si>
  <si>
    <t>Tubo del 1 kg</t>
  </si>
  <si>
    <t>Comercial MID cotizó Ø76 × 2,6 mm (4,71 kg/m), no 1,25 mm. Metalprisa sí cotizó 1,25 mm. Largo de corte: 255 mm (FADESA), 298 mm (ET's) y 225 mm ('Materiales y útiles').</t>
  </si>
  <si>
    <t>FLAMA-COTI-27626 / ET's / Materiales y útiles</t>
  </si>
  <si>
    <t>Metalprisa, 255 mm</t>
  </si>
  <si>
    <t>Recotizar MID; definir largo con el plano G809</t>
  </si>
  <si>
    <t>Rosca de válvula 1 kg</t>
  </si>
  <si>
    <t>La válvula HZ del 1 kg es M-22; en otros archivos se habla de M30 para todos los manuales.</t>
  </si>
  <si>
    <t>Lista de precios / Investigación mercado</t>
  </si>
  <si>
    <t>M22 para 1 kg, M30 para 2,5–10 kg</t>
  </si>
  <si>
    <t>Definir con el plano G809</t>
  </si>
  <si>
    <t>Varilla de refuerzo</t>
  </si>
  <si>
    <t>Cotizada a $15.000/kg por 'Aceros Inoxidables Caseros' (precio de inoxidable). Medida sin definir.</t>
  </si>
  <si>
    <t>1,5 kg/u de acero</t>
  </si>
  <si>
    <t>Definir material y medida por cálculo</t>
  </si>
  <si>
    <t>Casquetes de carros</t>
  </si>
  <si>
    <t>Proveedor sin definir (EKC / China / local). Masa del de 100 kg sin dato.</t>
  </si>
  <si>
    <t>Investigación mercado</t>
  </si>
  <si>
    <t>Igual al de 70 kg, LT 60 días</t>
  </si>
  <si>
    <t>Cotizar</t>
  </si>
  <si>
    <t>Válvulas: nacional o importada</t>
  </si>
  <si>
    <t>Si se importa (China): lead time 75–95 días ⇒ ≈4 meses de stock y 4 veces más posiciones.</t>
  </si>
  <si>
    <t>BOM (Kraljic)</t>
  </si>
  <si>
    <t>Nacional (LT 20 días)</t>
  </si>
  <si>
    <t>Decidir la estrategia de compra</t>
  </si>
  <si>
    <t>Peso de los matafuegos</t>
  </si>
  <si>
    <t>ET's da 2,70 kg para el 1 kg lleno; recipiente 0,76 + polvo 1 + válvula ≈0,2 dan ≈2,1 kg.</t>
  </si>
  <si>
    <t>ET's</t>
  </si>
  <si>
    <t>Cálculo</t>
  </si>
  <si>
    <t>Pesar un prototipo</t>
  </si>
  <si>
    <t>Alturas de recipiente</t>
  </si>
  <si>
    <t>Las alturas de cuerpo de ET's (313,5 / 389,5 / 562,5 mm) no coinciden con las chapas (269,5 / 330 / 495 mm de alto).</t>
  </si>
  <si>
    <t>Chapa + cúpula + fondo</t>
  </si>
  <si>
    <t>Verificar con los planos</t>
  </si>
  <si>
    <t>Proveedores de acero: logística</t>
  </si>
  <si>
    <t>Las proformas de Pacheco y Pradecon no fijan peso máximo de paquete/rollo, diámetro de rollo, rollo parado, cama de madera, zunchos ni acceso de semirremolque.</t>
  </si>
  <si>
    <t>Pacheco N°42021; Pradecon 173170 / 173195</t>
  </si>
  <si>
    <t>Paquetes de hojas ≤2 t; rollos 0,5–1 t</t>
  </si>
  <si>
    <t>Completar en la orden de compra</t>
  </si>
  <si>
    <t>Orillas de hoja</t>
  </si>
  <si>
    <t>Con hojas estándar las orillas (10–290 mm) quedan en planta. No sirven para discos: el más chico necesita un fleje continuo de 106 mm.</t>
  </si>
  <si>
    <t>Comparacion_corte › Proceso D</t>
  </si>
  <si>
    <t>Scrap propio (Almacen MP, sección 6)</t>
  </si>
  <si>
    <t>Venderlas con el resto del scrap</t>
  </si>
  <si>
    <t>Guillotina CENA: ángulo de corte</t>
  </si>
  <si>
    <t>La versión cotizada (8×3200, tope 1.000 mm, USD 36.800 + IVA) es de corte oscilante con ángulo fijo de 1,5°. El proyecto pide ángulo regulable.</t>
  </si>
  <si>
    <t>Cotización CENA (Drive)</t>
  </si>
  <si>
    <t>Supuesto del proyecto: versión de ángulo regulable al mismo precio</t>
  </si>
  <si>
    <t>Confirmar con CENA una versión de corte vertical con ángulo regulable, y la alimentación 380 V trifásica</t>
  </si>
  <si>
    <t>Puente grúa en el layout</t>
  </si>
  <si>
    <t>AL-1 tiene un puente grúa de 5 t. La opción D no lo necesita: hojas, rollos y caños se mueven con autoelevador.</t>
  </si>
  <si>
    <t>Layout v3 (plan.py)</t>
  </si>
  <si>
    <t>Sin puente grúa</t>
  </si>
  <si>
    <t>Debatir si se saca del layout</t>
  </si>
  <si>
    <t>Pañol en el layout</t>
  </si>
  <si>
    <t>El pañol está en N5 (esquina NE), lejos del portón P1 de MP. La cátedra pide el depósito de insumos pesados cerca del ingreso de camiones.</t>
  </si>
  <si>
    <t>Layout v3</t>
  </si>
  <si>
    <t>Pañol de insumos pesados junto a AL-1</t>
  </si>
  <si>
    <t>Debatir (Almacen MP sección 4)</t>
  </si>
  <si>
    <t>Almacén de insumos de terminación</t>
  </si>
  <si>
    <t>No está dibujado (válvulas, cajas, etiquetas, film, pallets).</t>
  </si>
  <si>
    <t>Zona nueva junto a S3a/AL-3</t>
  </si>
  <si>
    <t>Debatir superficie (Almacen MP)</t>
  </si>
  <si>
    <t>Clase D y clase K</t>
  </si>
  <si>
    <t>Carga de polvo clase D por equipo (10 kg) y reemplazo total del agente K en cada recarga: supuestos.</t>
  </si>
  <si>
    <t>Supuestos</t>
  </si>
  <si>
    <t>Confirmar</t>
  </si>
  <si>
    <t>Concentración de AFFF</t>
  </si>
  <si>
    <t>3 % o 6 %: se usó 6 % (conservador).</t>
  </si>
  <si>
    <t>Lista de precios</t>
  </si>
  <si>
    <t>6 %</t>
  </si>
  <si>
    <t>Definir producto</t>
  </si>
  <si>
    <t>Atado de caños</t>
  </si>
  <si>
    <t>No se sabe cuántos caños trae cada atado ni su peso.</t>
  </si>
  <si>
    <t>61 caños (≈0,85 t)</t>
  </si>
  <si>
    <t>Preguntar a Metalprisa</t>
  </si>
  <si>
    <t>Parámetros de corte</t>
  </si>
  <si>
    <t>Este Excel usa densidad 7.850 kg/m³ y Comparacion_corte 7.870; el puente entre discos se llevó de 2 a 3 mm para coincidir con la opción D.</t>
  </si>
  <si>
    <t>Geometria Acero / Comparacion_corte</t>
  </si>
  <si>
    <t>7.850 kg/m³; puente 3 mm</t>
  </si>
  <si>
    <t>Unificar</t>
  </si>
  <si>
    <t>Lote de compra de hojas</t>
  </si>
  <si>
    <t>La opción D supone compra mensual de hojas y 2 semanas de stock de seguridad: el 5 kg llega a ≈18 t por entrega en 2035 y, si Pradecon manda hojas y fleje 0,9 juntos, la carga pasa de un camión (Almacen MP, sección 5).</t>
  </si>
  <si>
    <t>Comparacion_corte › Supuestos</t>
  </si>
  <si>
    <t>Lote mensual, stock de seguridad 10 días hábiles</t>
  </si>
  <si>
    <t>Evaluar entregas quincenales del 5 kg y separar hojas (mensual) de fleje 0,9 (semanal) para bajar el stock en AL-1</t>
  </si>
  <si>
    <t>FUENTES</t>
  </si>
  <si>
    <t>Documento / página</t>
  </si>
  <si>
    <t>Qué se tomó</t>
  </si>
  <si>
    <t>Enlace</t>
  </si>
  <si>
    <t>Drive</t>
  </si>
  <si>
    <t>Dimensionamiento_Tecnico_con_Recargas (13).xlsx</t>
  </si>
  <si>
    <t>Volúmenes 2026–2035, parámetros de recargas, stock de PT, capacidades, costos</t>
  </si>
  <si>
    <t>https://drive.google.com/file/d/1YJXfD9oWbfg4C9TqHuU7o5Kp86kolwBp/view</t>
  </si>
  <si>
    <t>INVESTIGACION PROVEEDORES › Materias Primas</t>
  </si>
  <si>
    <t>Proveedores y precios de chapa, flejes y tubo; lineamientos de planos (masas, discos)</t>
  </si>
  <si>
    <t>https://docs.google.com/spreadsheets/d/12V2t8Vcv4ZIc4YIS5_sPI6p3lEf2FZrrsZAg0abQJcc</t>
  </si>
  <si>
    <t>INVESTIGACION PROVEEDORES › Investigación mercado - maquinarias y MP.xlsx</t>
  </si>
  <si>
    <t>MP, proveedores, régimen de importación, instalaciones</t>
  </si>
  <si>
    <t>https://drive.google.com/file/d/1e9vuETc1IyG0qLaEZhqhyKvYxXXCNy2q/view</t>
  </si>
  <si>
    <t>INVESTIGACION PROVEEDORES › Investigación maquinaria y MP (doc)</t>
  </si>
  <si>
    <t>Máquinas por puesto</t>
  </si>
  <si>
    <t>https://docs.google.com/document/d/1TVTx0AC-oc2T1AbsrU2jKMFJVuXv9NIcqGY6NjUZUqw</t>
  </si>
  <si>
    <t>PRESUPUESTOS › Cotizaciones recibidas › Materia Prima › Cotizaciones de MP - wpp</t>
  </si>
  <si>
    <t>Air Liquide (baterías, precios), Eli-Met (cuplas), varilla</t>
  </si>
  <si>
    <t>https://docs.google.com/document/d/1zKuOmaDARCu2CbYSbb63t3tyYgBoRZMzhpK0GMRFFC8</t>
  </si>
  <si>
    <t>Cotización Pacheco Chapas N°42021 (09/09/2026)</t>
  </si>
  <si>
    <t>Flejes LAF (rollos ≈0,5–0,74 t), hojas para blanks, precios USD/kg, datos logísticos</t>
  </si>
  <si>
    <t>https://drive.google.com/file/d/1c15T2ZrZKL4GnL314UPDJ7pd0Mcj78iL/view</t>
  </si>
  <si>
    <t>Cotización Pacheco Chapas N°42024 (09/09/2026)</t>
  </si>
  <si>
    <t>LAC 4,75 mm para carros 70/100 kg</t>
  </si>
  <si>
    <t>https://drive.google.com/file/d/1mKG9dPQRwgIzSVU597-kJ8yF5p2fxxbL/view</t>
  </si>
  <si>
    <t>Cotización Pradecon N°173195 (hojas LAF/LAC)</t>
  </si>
  <si>
    <t>Hojas 1220×2440, 1000×2000 y 1500×3000 de 1,25 a 4,75 mm; precios en $/kg (TC 1.545)</t>
  </si>
  <si>
    <t>Ver Comparacion_corte.xlsx › Supuestos (sección 7)</t>
  </si>
  <si>
    <t>Mail Metalprisa (09/09/2026)</t>
  </si>
  <si>
    <t>Caño Ø76,2 × 1,25 = $37.044 por 6 m</t>
  </si>
  <si>
    <t>https://drive.google.com/file/d/13_F9LOAg_h2cwjrnh4qedQAhrJsK_jto/view</t>
  </si>
  <si>
    <t>Cotización Comercial MID N°27626</t>
  </si>
  <si>
    <t>Caño Ø76 × 2,6 mm (espesor equivocado)</t>
  </si>
  <si>
    <t>https://drive.google.com/file/d/1xc3XhcRqLVTw-JEv3ZyyNpFEVmX_JbBq/view</t>
  </si>
  <si>
    <t>Agentes extintores › Lista de precios</t>
  </si>
  <si>
    <t>Polvo ABC/BC (bolsa 25 kg), AFFF (bidón 20 L), acetato K, válvulas HZ</t>
  </si>
  <si>
    <t>https://drive.google.com/file/d/14zKkcrUgWdd4kiVn95_q9rPUllRxjX1h/view</t>
  </si>
  <si>
    <t>Gases › Datos técnicos N₂ y ARCAL</t>
  </si>
  <si>
    <t>Cilindro 50 L 200 bar = 9,4 m³ (N₂) / 11 m³ (ARCAL); bloques de 12–16 cilindros</t>
  </si>
  <si>
    <t>https://drive.google.com/file/d/1ns9X5EHENOZwp2L-0OoE818mrmzEGTe8/view</t>
  </si>
  <si>
    <t>Embaladora de pallet › mail EDOS</t>
  </si>
  <si>
    <t>Pallet 1000 × 1200, 600–1.200 kg, 1.000–1.700 mm; bobina de film 500 mm</t>
  </si>
  <si>
    <t>https://drive.google.com/file/d/1fp9F6fHvxUm3IeHNlfsQcHI51xEysM9s/view</t>
  </si>
  <si>
    <t>Volúmenes informados a proveedores (con inconsistencias)</t>
  </si>
  <si>
    <t>https://drive.google.com/file/d/1SKSAHGQSfZuPVcWZ3xOuYUDvSmspnQpw/view</t>
  </si>
  <si>
    <t>CONSULTAS - RECOMENDACIONES › RECOMENDACIONES ALE-CATEDRA</t>
  </si>
  <si>
    <t>Alambre 0,9/1,2 mm, nesting, puente grúa con percha, carros, scrap con acceso exterior</t>
  </si>
  <si>
    <t>https://docs.google.com/document/d/1CF3m5bUBNqwJoS8wuaPeNZYnDBuIYJCDIrlw4Ps9VGU</t>
  </si>
  <si>
    <t>AUXILIAR › BOM-Lista de materiales.xlsx</t>
  </si>
  <si>
    <t>Componentes por formato (desactualizado en proceso)</t>
  </si>
  <si>
    <t>https://drive.google.com/file/d/1a1glwcadtmrHWzDhQ2oSFuICid8X3uW4/view</t>
  </si>
  <si>
    <t>AUXILIAR › Dimensiones de chapa (registro FADESA)</t>
  </si>
  <si>
    <t>Medidas reales de discos, planchas y casquetes</t>
  </si>
  <si>
    <t>https://drive.google.com/file/d/1l9jUNhKRvlg5WkwFjcsd6clLHJcoDwmK/view</t>
  </si>
  <si>
    <t>Especificaciones técnicas › ET's Matafuegos</t>
  </si>
  <si>
    <t>Dimensiones, pesos y palletizado (con errores)</t>
  </si>
  <si>
    <t>https://docs.google.com/spreadsheets/d/1cAWNQfaxI8y5daphPbP_se-d6l63DShU2S3BCsN-bkM</t>
  </si>
  <si>
    <t>AUXILIAR › Corte_chapa.docx</t>
  </si>
  <si>
    <t>Método de cálculo de discos (paso D₀ + 2 mm, scrap 21–25 %)</t>
  </si>
  <si>
    <t>https://drive.google.com/file/d/1Va_yL0lv3loGzLTlJGv6WNvD6XRtrACg/view</t>
  </si>
  <si>
    <t>AUXILIAR › Costeo MP Abastecimiento</t>
  </si>
  <si>
    <t>TC 1.420; precio de chapa estimado USD 0,90/kg (la planilla tiene referencias rotas)</t>
  </si>
  <si>
    <t>https://docs.google.com/spreadsheets/d/1l-HlFknSPMSHWKdzsuLnsSW767uTBu040TymarFg14g</t>
  </si>
  <si>
    <t>Web</t>
  </si>
  <si>
    <t>DEMSA — Premium ABC 55 (hoja técnica)</t>
  </si>
  <si>
    <t>Bolsa 25 kg doble PE; big bag 1.000 kg; pallet no retornable con film</t>
  </si>
  <si>
    <t>https://demsa.com.ar/assets/pdf/productos/polvoquimicosecoabc55premium.pdf</t>
  </si>
  <si>
    <t>Mercado Libre — Polvo ABC Polvex bolsa 25 kg</t>
  </si>
  <si>
    <t>Presentación 25 kg</t>
  </si>
  <si>
    <t>https://www.mercadolibre.com.ar/polvo-abc-polvex-extintor-multiproposito-bolsa-25-kg-color-verde/p/MLA46255892</t>
  </si>
  <si>
    <t>2sonline — Alambre MIG ESAB 70S6 15 kg</t>
  </si>
  <si>
    <t>Carrete 15 kg</t>
  </si>
  <si>
    <t>https://www.2sonline.com.ar/productos/alambre-mig-esab-weld-70s6-15-kg/</t>
  </si>
  <si>
    <t>ESAB — Marathon Pac (bulk wire drums)</t>
  </si>
  <si>
    <t>Tambor 250 kg ≈ 14 carretes; cambios de 55,6 a 4 por tonelada</t>
  </si>
  <si>
    <t>https://esab.com/ae/mea_en/esab-university/articles/filler-metal-selection-guide-part-two/</t>
  </si>
  <si>
    <t>Sinteplast Industria — pintura en polvo</t>
  </si>
  <si>
    <t>Caja 20 kg con bolsa PE</t>
  </si>
  <si>
    <t>https://www.sinteplastindustria.com.ar/</t>
  </si>
  <si>
    <t>El Sitio de la Pintura en Polvo — rendimiento</t>
  </si>
  <si>
    <t>Rendimiento = 1000/(ρ·e); práctico 25–30 % menor</t>
  </si>
  <si>
    <t>https://pinturaenpolvo.org/rendimiento-de-la-pintura-en-polvo</t>
  </si>
  <si>
    <t>Mercado Libre — Granalla S330 saco 25 kg</t>
  </si>
  <si>
    <t>Bolsa 25 kg; 40 bolsas por pallet; big bag 1 t</t>
  </si>
  <si>
    <t>https://articulo.mercadolibre.com.mx/MLM-1969010010-granalla-de-acero-esferica-s330-saco-de-25-kgs-_JM</t>
  </si>
  <si>
    <t>Metalmecánica — Granallado industrial</t>
  </si>
  <si>
    <t>Consumo de referencia ≈9 kg/h; vida 700–5.000 ciclos</t>
  </si>
  <si>
    <t>https://www.metalmecanica.com/articles/granallado-industrial-el-primer-paso-hacia-una-superficie-perfecta-y-una-l%C3%ADnea-m%C3%A1s-rentable</t>
  </si>
  <si>
    <t>Palletec — Pallet ARLOG IRAM 10016</t>
  </si>
  <si>
    <t>1200 × 1000 × 145 mm; 2.000 kg dinámica; 4.000 estática; 1.500 en rack; 35 kg</t>
  </si>
  <si>
    <t>https://palletec.com.ar/portfolio/pallet-arlog-iram-10016/</t>
  </si>
  <si>
    <t>Mecalux Argentina — racks selectivos</t>
  </si>
  <si>
    <t>Pasillo 3,2–3,5 m para contrapesada eléctrica</t>
  </si>
  <si>
    <t>https://www.mecalux.com.ar/racks-para-pallets/racks-selectivos</t>
  </si>
  <si>
    <t>Ternium Argentina — laminados en frío</t>
  </si>
  <si>
    <t>Espesor 0,30–3,0 mm; ancho 600–1.500 mm; bobinas, flejes y hojas</t>
  </si>
  <si>
    <t>https://ar.ternium.com/es/productos/aceros-planos/laminados-en-frio</t>
  </si>
  <si>
    <t>Ternium Argentina — tubos de uso general</t>
  </si>
  <si>
    <t>Largo estándar 6.000 mm</t>
  </si>
  <si>
    <t>https://ar.ternium.com/es/productos/tuberia/tuberia-para-uso-general</t>
  </si>
  <si>
    <t>Vinco — calculadora de fleje / bobina</t>
  </si>
  <si>
    <t>Peso de rollo = π(DE² − DI²)/4 × ancho × ρ</t>
  </si>
  <si>
    <t>https://www.vinco.es/es/fleje/calculadora/</t>
  </si>
  <si>
    <t>Carflej — flejes a medida</t>
  </si>
  <si>
    <t>Anchos 8–1.220 mm, espesores 0,2–4 mm</t>
  </si>
  <si>
    <t>https://www.carflej.com.ar/</t>
  </si>
  <si>
    <t>DEMSA / Comercial Argentina — AFFF</t>
  </si>
  <si>
    <t>Bidón 20 L, tambor 200 L, IBC 1.000 L</t>
  </si>
  <si>
    <t>https://www.comercialargentina.com.ar/lucha-contra-el-fuego-espumigeno-afff-6-10-c-demsa-bidon-de-200-litros--det--PTE2009</t>
  </si>
  <si>
    <t>PWENT — bloque 12 × 50 L</t>
  </si>
  <si>
    <t>Bastidor ≈290 kg; 200 bar</t>
  </si>
  <si>
    <t>https://pwent.eu/en/products/products/gas-cylinder-bundles/12x50-cylinder-bundle-vertical/</t>
  </si>
  <si>
    <t>Cotización CENA — guillotina hidráulica 8×3200 E21</t>
  </si>
  <si>
    <t>Tope 20–650 mm USD 32.000; 20–1.000 mm USD 36.800; con sostén neumático USD 45.000 (+ IVA 10,5 %); ángulo 1,5° fijo; 10 golpes/min</t>
  </si>
  <si>
    <t>https://drive.google.com/file/d/1BQS1JLhY7VGMFoio8I9i6i2jxcJxI5nz/view</t>
  </si>
  <si>
    <t>Excel</t>
  </si>
  <si>
    <t>Comparacion_corte.xlsx (FLAMA S.A.)</t>
  </si>
  <si>
    <t>Opción D elegida: formatos de hoja, nesting, cortes, flejes a medida, equipos, precios de acero</t>
  </si>
  <si>
    <t>Archivo del proyecto</t>
  </si>
  <si>
    <t>AUXILIAR › Materiales y útiles.xlsx</t>
  </si>
  <si>
    <t>Válvula pre-armada, manifold N₂ de 4 cilindros, apilador 1,5 t, caño cortado a 225 mm</t>
  </si>
  <si>
    <t>https://drive.google.com/file/d/1VoWl951SoMNyzpwSTsPSWtiTldMt32a1/view</t>
  </si>
  <si>
    <t>AUXILIAR › Modelo_Tecnico_Flama (ago-2026)</t>
  </si>
  <si>
    <t>Modelo anterior: 100 % de polvo nuevo en recargas; 600 m² de almacenes</t>
  </si>
  <si>
    <t>https://docs.google.com/spreadsheets/d/16VSTp8eevT2ZlxwgGtlq--_K2mBUWqm5DWvrBdNo0ow</t>
  </si>
  <si>
    <t>Repo</t>
  </si>
  <si>
    <t>Layout v3 (v2/plan.py, calc_dimensionamiento.py)</t>
  </si>
  <si>
    <t>Superficies de AL-1, AL-3, jaula de gases, pañol; puente grúa 5 t (la opción D no lo necesita)</t>
  </si>
  <si>
    <t>Repositorio local</t>
  </si>
  <si>
    <t>Cotización Pradecon N°173170 (bobina LAF flejada)</t>
  </si>
  <si>
    <t>Fleje 0,9 mm para los discos de 1 kg; flejado sin cargo; USD 1,263/kg</t>
  </si>
  <si>
    <t>Cotización Hierros Parrotta N°413329</t>
  </si>
  <si>
    <t>Hojas LAF/LAC (alternativa a Pradecon)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</si>
</sst>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#,##0.000"/>
    <numFmt numFmtId="166" formatCode="#,##0.0000"/>
    <numFmt numFmtId="167" formatCode="0.0%"/>
    <numFmt numFmtId="168" formatCode="0.0\×"/>
  </numFmts>
  <fonts count="17">
    <font>
      <sz val="10.0"/>
      <color rgb="FF000000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sz val="10.0"/>
      <color rgb="FFFFFFFF"/>
      <name val="Arial"/>
    </font>
    <font/>
    <font>
      <sz val="9.0"/>
      <color rgb="FF000000"/>
      <name val="Arial"/>
    </font>
    <font>
      <u/>
      <sz val="10.0"/>
      <color rgb="FF0563C1"/>
      <name val="Arial"/>
    </font>
    <font>
      <b/>
      <sz val="11.0"/>
      <color rgb="FF000000"/>
      <name val="Arial"/>
    </font>
    <font>
      <b/>
      <sz val="10.0"/>
      <color rgb="FF0000FF"/>
      <name val="Arial"/>
    </font>
    <font>
      <b/>
      <sz val="10.0"/>
      <color rgb="FF000000"/>
      <name val="Arial"/>
    </font>
    <font>
      <sz val="10.0"/>
      <color rgb="FF0000FF"/>
      <name val="Arial"/>
    </font>
    <font>
      <b/>
      <sz val="10.0"/>
      <color rgb="FFFF0000"/>
      <name val="Arial"/>
    </font>
    <font>
      <sz val="10.0"/>
      <color theme="1"/>
      <name val="Arial"/>
    </font>
    <font>
      <i/>
      <sz val="9.0"/>
      <color theme="1"/>
      <name val="Arial"/>
    </font>
    <font>
      <b/>
      <sz val="9.0"/>
      <color rgb="FF000000"/>
      <name val="Arial"/>
    </font>
    <font>
      <u/>
      <sz val="10.0"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9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shrinkToFit="0" vertical="center" wrapText="1"/>
    </xf>
    <xf borderId="2" fillId="0" fontId="7" numFmtId="0" xfId="0" applyAlignment="1" applyBorder="1" applyFont="1">
      <alignment shrinkToFit="0" vertical="center" wrapText="0"/>
    </xf>
    <xf borderId="5" fillId="3" fontId="8" numFmtId="0" xfId="0" applyAlignment="1" applyBorder="1" applyFill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6" fillId="0" fontId="5" numFmtId="0" xfId="0" applyBorder="1" applyFont="1"/>
    <xf borderId="7" fillId="0" fontId="5" numFmtId="0" xfId="0" applyBorder="1" applyFont="1"/>
    <xf borderId="5" fillId="0" fontId="2" numFmtId="0" xfId="0" applyAlignment="1" applyBorder="1" applyFont="1">
      <alignment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2" fillId="0" fontId="10" numFmtId="0" xfId="0" applyAlignment="1" applyBorder="1" applyFont="1">
      <alignment shrinkToFit="0" vertical="center" wrapText="0"/>
    </xf>
    <xf borderId="2" fillId="0" fontId="11" numFmtId="3" xfId="0" applyAlignment="1" applyBorder="1" applyFont="1" applyNumberFormat="1">
      <alignment horizontal="center" shrinkToFit="0" vertical="center" wrapText="0"/>
    </xf>
    <xf borderId="2" fillId="0" fontId="2" numFmtId="3" xfId="0" applyAlignment="1" applyBorder="1" applyFont="1" applyNumberFormat="1">
      <alignment horizontal="center" shrinkToFit="0" vertical="center" wrapText="0"/>
    </xf>
    <xf borderId="2" fillId="0" fontId="10" numFmtId="3" xfId="0" applyAlignment="1" applyBorder="1" applyFont="1" applyNumberFormat="1">
      <alignment horizontal="center" shrinkToFit="0" vertical="center" wrapText="0"/>
    </xf>
    <xf borderId="2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0"/>
    </xf>
    <xf borderId="2" fillId="0" fontId="12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165" xfId="0" applyAlignment="1" applyBorder="1" applyFont="1" applyNumberFormat="1">
      <alignment horizontal="center" shrinkToFit="0" vertical="center" wrapText="0"/>
    </xf>
    <xf borderId="2" fillId="0" fontId="9" numFmtId="9" xfId="0" applyAlignment="1" applyBorder="1" applyFont="1" applyNumberFormat="1">
      <alignment horizontal="center" shrinkToFit="0" vertical="center" wrapText="0"/>
    </xf>
    <xf borderId="2" fillId="0" fontId="9" numFmtId="3" xfId="0" applyAlignment="1" applyBorder="1" applyFont="1" applyNumberFormat="1">
      <alignment horizontal="center" shrinkToFit="0" vertical="center" wrapText="0"/>
    </xf>
    <xf borderId="2" fillId="0" fontId="11" numFmtId="164" xfId="0" applyAlignment="1" applyBorder="1" applyFont="1" applyNumberFormat="1">
      <alignment horizontal="center" shrinkToFit="0" vertical="center" wrapText="0"/>
    </xf>
    <xf borderId="2" fillId="0" fontId="2" numFmtId="165" xfId="0" applyAlignment="1" applyBorder="1" applyFont="1" applyNumberFormat="1">
      <alignment horizontal="center" shrinkToFit="0" vertical="center" wrapText="0"/>
    </xf>
    <xf borderId="5" fillId="0" fontId="13" numFmtId="0" xfId="0" applyAlignment="1" applyBorder="1" applyFont="1">
      <alignment shrinkToFit="0" vertical="center" wrapText="1"/>
    </xf>
    <xf borderId="2" fillId="0" fontId="11" numFmtId="165" xfId="0" applyAlignment="1" applyBorder="1" applyFont="1" applyNumberFormat="1">
      <alignment horizontal="center" shrinkToFit="0" vertical="center" wrapText="0"/>
    </xf>
    <xf borderId="2" fillId="0" fontId="11" numFmtId="4" xfId="0" applyAlignment="1" applyBorder="1" applyFont="1" applyNumberFormat="1">
      <alignment horizontal="center" shrinkToFit="0" vertical="center" wrapText="0"/>
    </xf>
    <xf borderId="2" fillId="0" fontId="2" numFmtId="4" xfId="0" applyAlignment="1" applyBorder="1" applyFont="1" applyNumberFormat="1">
      <alignment horizontal="center" shrinkToFit="0" vertical="center" wrapText="0"/>
    </xf>
    <xf borderId="2" fillId="0" fontId="2" numFmtId="166" xfId="0" applyAlignment="1" applyBorder="1" applyFont="1" applyNumberFormat="1">
      <alignment horizontal="center" shrinkToFit="0" vertical="center" wrapText="0"/>
    </xf>
    <xf borderId="2" fillId="0" fontId="11" numFmtId="166" xfId="0" applyAlignment="1" applyBorder="1" applyFont="1" applyNumberFormat="1">
      <alignment horizontal="center" shrinkToFit="0" vertical="center" wrapText="0"/>
    </xf>
    <xf borderId="2" fillId="0" fontId="2" numFmtId="167" xfId="0" applyAlignment="1" applyBorder="1" applyFont="1" applyNumberFormat="1">
      <alignment horizontal="center" shrinkToFit="0" vertical="center" wrapText="0"/>
    </xf>
    <xf borderId="5" fillId="3" fontId="10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11" numFmtId="9" xfId="0" applyAlignment="1" applyBorder="1" applyFont="1" applyNumberFormat="1">
      <alignment horizontal="center" shrinkToFit="0" vertical="center" wrapText="0"/>
    </xf>
    <xf borderId="2" fillId="0" fontId="2" numFmtId="9" xfId="0" applyAlignment="1" applyBorder="1" applyFont="1" applyNumberFormat="1">
      <alignment horizontal="center" shrinkToFit="0" vertical="center" wrapText="0"/>
    </xf>
    <xf borderId="2" fillId="0" fontId="2" numFmtId="168" xfId="0" applyAlignment="1" applyBorder="1" applyFont="1" applyNumberFormat="1">
      <alignment horizontal="center" shrinkToFit="0" vertical="center" wrapText="0"/>
    </xf>
    <xf borderId="2" fillId="5" fontId="10" numFmtId="0" xfId="0" applyAlignment="1" applyBorder="1" applyFill="1" applyFont="1">
      <alignment shrinkToFit="0" vertical="center" wrapText="0"/>
    </xf>
    <xf borderId="2" fillId="4" fontId="10" numFmtId="0" xfId="0" applyAlignment="1" applyBorder="1" applyFill="1" applyFont="1">
      <alignment shrinkToFit="0" vertical="center" wrapText="0"/>
    </xf>
    <xf borderId="2" fillId="4" fontId="10" numFmtId="3" xfId="0" applyAlignment="1" applyBorder="1" applyFill="1" applyFont="1" applyNumberFormat="1">
      <alignment horizontal="center" shrinkToFit="0" vertical="center" wrapText="0"/>
    </xf>
    <xf borderId="2" fillId="4" fontId="13" numFmtId="0" xfId="0" applyAlignment="1" applyBorder="1" applyFill="1" applyFont="1">
      <alignment shrinkToFit="0" vertical="bottom" wrapText="0"/>
    </xf>
    <xf borderId="2" fillId="4" fontId="10" numFmtId="164" xfId="0" applyAlignment="1" applyBorder="1" applyFill="1" applyFont="1" applyNumberFormat="1">
      <alignment horizontal="center" shrinkToFit="0" vertical="center" wrapText="0"/>
    </xf>
    <xf borderId="2" fillId="0" fontId="11" numFmtId="3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0"/>
    </xf>
    <xf borderId="8" fillId="2" fontId="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top" wrapText="1"/>
    </xf>
    <xf borderId="2" fillId="3" fontId="8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top" wrapText="1"/>
    </xf>
    <xf borderId="0" fillId="0" fontId="2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2" fillId="4" fontId="10" numFmtId="0" xfId="0" applyAlignment="1" applyBorder="1" applyFill="1" applyFont="1">
      <alignment horizontal="center" shrinkToFit="0" vertical="center" wrapText="0"/>
    </xf>
    <xf borderId="2" fillId="4" fontId="15" numFmtId="0" xfId="0" applyAlignment="1" applyBorder="1" applyFill="1" applyFont="1">
      <alignment shrinkToFit="0" vertical="center" wrapText="1"/>
    </xf>
    <xf borderId="2" fillId="4" fontId="10" numFmtId="164" xfId="0" applyAlignment="1" applyBorder="1" applyFill="1" applyFont="1" applyNumberFormat="1">
      <alignment shrinkToFit="0" vertical="center" wrapText="0"/>
    </xf>
    <xf borderId="2" fillId="4" fontId="10" numFmtId="3" xfId="0" applyAlignment="1" applyBorder="1" applyFill="1" applyFont="1" applyNumberFormat="1">
      <alignment shrinkToFit="0" vertical="center" wrapText="0"/>
    </xf>
    <xf borderId="0" fillId="0" fontId="10" numFmtId="0" xfId="0" applyAlignment="1" applyFont="1">
      <alignment shrinkToFit="0" vertical="bottom" wrapText="0"/>
    </xf>
    <xf borderId="0" fillId="0" fontId="11" numFmtId="3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top" wrapText="1"/>
    </xf>
    <xf borderId="0" fillId="0" fontId="2" numFmtId="2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2" fillId="0" fontId="6" numFmtId="0" xfId="0" applyAlignment="1" applyBorder="1" applyFont="1">
      <alignment shrinkToFit="0" vertical="center" wrapText="0"/>
    </xf>
    <xf borderId="2" fillId="4" fontId="15" numFmtId="0" xfId="0" applyAlignment="1" applyBorder="1" applyFill="1" applyFont="1">
      <alignment shrinkToFit="0" vertical="center" wrapText="0"/>
    </xf>
    <xf borderId="0" fillId="0" fontId="13" numFmtId="0" xfId="0" applyAlignment="1" applyFont="1">
      <alignment shrinkToFit="0" vertical="top" wrapText="1"/>
    </xf>
    <xf borderId="0" fillId="0" fontId="11" numFmtId="167" xfId="0" applyAlignment="1" applyFont="1" applyNumberFormat="1">
      <alignment shrinkToFit="0" vertical="bottom" wrapText="0"/>
    </xf>
    <xf borderId="0" fillId="0" fontId="10" numFmtId="1" xfId="0" applyAlignment="1" applyFont="1" applyNumberFormat="1">
      <alignment shrinkToFit="0" vertical="bottom" wrapText="0"/>
    </xf>
    <xf borderId="2" fillId="0" fontId="1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6VSTp8eevT2ZlxwgGtlq--_K2mBUWqm5DWvrBdNo0ow" TargetMode="External"/><Relationship Id="rId20" Type="http://schemas.openxmlformats.org/officeDocument/2006/relationships/hyperlink" Target="https://docs.google.com/spreadsheets/d/1l-HlFknSPMSHWKdzsuLnsSW767uTBu040TymarFg14g" TargetMode="External"/><Relationship Id="rId41" Type="http://schemas.openxmlformats.org/officeDocument/2006/relationships/drawing" Target="../drawings/drawing14.xml"/><Relationship Id="rId22" Type="http://schemas.openxmlformats.org/officeDocument/2006/relationships/hyperlink" Target="https://www.mercadolibre.com.ar/polvo-abc-polvex-extintor-multiproposito-bolsa-25-kg-color-verde/p/MLA46255892" TargetMode="External"/><Relationship Id="rId21" Type="http://schemas.openxmlformats.org/officeDocument/2006/relationships/hyperlink" Target="https://demsa.com.ar/assets/pdf/productos/polvoquimicosecoabc55premium.pdf" TargetMode="External"/><Relationship Id="rId24" Type="http://schemas.openxmlformats.org/officeDocument/2006/relationships/hyperlink" Target="https://esab.com/ae/mea_en/esab-university/articles/filler-metal-selection-guide-part-two/" TargetMode="External"/><Relationship Id="rId23" Type="http://schemas.openxmlformats.org/officeDocument/2006/relationships/hyperlink" Target="https://www.2sonline.com.ar/productos/alambre-mig-esab-weld-70s6-15-kg/" TargetMode="External"/><Relationship Id="rId1" Type="http://schemas.openxmlformats.org/officeDocument/2006/relationships/hyperlink" Target="https://drive.google.com/file/d/1YJXfD9oWbfg4C9TqHuU7o5Kp86kolwBp/view" TargetMode="External"/><Relationship Id="rId2" Type="http://schemas.openxmlformats.org/officeDocument/2006/relationships/hyperlink" Target="https://docs.google.com/spreadsheets/d/12V2t8Vcv4ZIc4YIS5_sPI6p3lEf2FZrrsZAg0abQJcc" TargetMode="External"/><Relationship Id="rId3" Type="http://schemas.openxmlformats.org/officeDocument/2006/relationships/hyperlink" Target="https://drive.google.com/file/d/1e9vuETc1IyG0qLaEZhqhyKvYxXXCNy2q/view" TargetMode="External"/><Relationship Id="rId4" Type="http://schemas.openxmlformats.org/officeDocument/2006/relationships/hyperlink" Target="https://docs.google.com/document/d/1TVTx0AC-oc2T1AbsrU2jKMFJVuXv9NIcqGY6NjUZUqw" TargetMode="External"/><Relationship Id="rId9" Type="http://schemas.openxmlformats.org/officeDocument/2006/relationships/hyperlink" Target="https://drive.google.com/file/d/13_F9LOAg_h2cwjrnh4qedQAhrJsK_jto/view" TargetMode="External"/><Relationship Id="rId26" Type="http://schemas.openxmlformats.org/officeDocument/2006/relationships/hyperlink" Target="https://pinturaenpolvo.org/rendimiento-de-la-pintura-en-polvo" TargetMode="External"/><Relationship Id="rId25" Type="http://schemas.openxmlformats.org/officeDocument/2006/relationships/hyperlink" Target="https://www.sinteplastindustria.com.ar/" TargetMode="External"/><Relationship Id="rId28" Type="http://schemas.openxmlformats.org/officeDocument/2006/relationships/hyperlink" Target="https://www.metalmecanica.com/articles/granallado-industrial-el-primer-paso-hacia-una-superficie-perfecta-y-una-l%C3%ADnea-m%C3%A1s-rentable" TargetMode="External"/><Relationship Id="rId27" Type="http://schemas.openxmlformats.org/officeDocument/2006/relationships/hyperlink" Target="https://articulo.mercadolibre.com.mx/MLM-1969010010-granalla-de-acero-esferica-s330-saco-de-25-kgs-_JM" TargetMode="External"/><Relationship Id="rId5" Type="http://schemas.openxmlformats.org/officeDocument/2006/relationships/hyperlink" Target="https://docs.google.com/document/d/1zKuOmaDARCu2CbYSbb63t3tyYgBoRZMzhpK0GMRFFC8" TargetMode="External"/><Relationship Id="rId6" Type="http://schemas.openxmlformats.org/officeDocument/2006/relationships/hyperlink" Target="https://drive.google.com/file/d/1c15T2ZrZKL4GnL314UPDJ7pd0Mcj78iL/view" TargetMode="External"/><Relationship Id="rId29" Type="http://schemas.openxmlformats.org/officeDocument/2006/relationships/hyperlink" Target="https://palletec.com.ar/portfolio/pallet-arlog-iram-10016/" TargetMode="External"/><Relationship Id="rId7" Type="http://schemas.openxmlformats.org/officeDocument/2006/relationships/hyperlink" Target="https://drive.google.com/file/d/1mKG9dPQRwgIzSVU597-kJ8yF5p2fxxbL/view" TargetMode="External"/><Relationship Id="rId8" Type="http://schemas.openxmlformats.org/officeDocument/2006/relationships/hyperlink" Target="https://drive.google.com/file/d/1B-FbuCHKS_2LvOmALx38vsVNLw8o4mMK/view" TargetMode="External"/><Relationship Id="rId31" Type="http://schemas.openxmlformats.org/officeDocument/2006/relationships/hyperlink" Target="https://ar.ternium.com/es/productos/aceros-planos/laminados-en-frio" TargetMode="External"/><Relationship Id="rId30" Type="http://schemas.openxmlformats.org/officeDocument/2006/relationships/hyperlink" Target="https://www.mecalux.com.ar/racks-para-pallets/racks-selectivos" TargetMode="External"/><Relationship Id="rId11" Type="http://schemas.openxmlformats.org/officeDocument/2006/relationships/hyperlink" Target="https://drive.google.com/file/d/14zKkcrUgWdd4kiVn95_q9rPUllRxjX1h/view" TargetMode="External"/><Relationship Id="rId33" Type="http://schemas.openxmlformats.org/officeDocument/2006/relationships/hyperlink" Target="https://www.vinco.es/es/fleje/calculadora/" TargetMode="External"/><Relationship Id="rId10" Type="http://schemas.openxmlformats.org/officeDocument/2006/relationships/hyperlink" Target="https://drive.google.com/file/d/1xc3XhcRqLVTw-JEv3ZyyNpFEVmX_JbBq/view" TargetMode="External"/><Relationship Id="rId32" Type="http://schemas.openxmlformats.org/officeDocument/2006/relationships/hyperlink" Target="https://ar.ternium.com/es/productos/tuberia/tuberia-para-uso-general" TargetMode="External"/><Relationship Id="rId13" Type="http://schemas.openxmlformats.org/officeDocument/2006/relationships/hyperlink" Target="https://drive.google.com/file/d/1fp9F6fHvxUm3IeHNlfsQcHI51xEysM9s/view" TargetMode="External"/><Relationship Id="rId35" Type="http://schemas.openxmlformats.org/officeDocument/2006/relationships/hyperlink" Target="https://www.comercialargentina.com.ar/lucha-contra-el-fuego-espumigeno-afff-6-10-c-demsa-bidon-de-200-litros--det--PTE2009" TargetMode="External"/><Relationship Id="rId12" Type="http://schemas.openxmlformats.org/officeDocument/2006/relationships/hyperlink" Target="https://drive.google.com/file/d/1ns9X5EHENOZwp2L-0OoE818mrmzEGTe8/view" TargetMode="External"/><Relationship Id="rId34" Type="http://schemas.openxmlformats.org/officeDocument/2006/relationships/hyperlink" Target="https://www.carflej.com.ar/" TargetMode="External"/><Relationship Id="rId15" Type="http://schemas.openxmlformats.org/officeDocument/2006/relationships/hyperlink" Target="https://docs.google.com/document/d/1CF3m5bUBNqwJoS8wuaPeNZYnDBuIYJCDIrlw4Ps9VGU" TargetMode="External"/><Relationship Id="rId37" Type="http://schemas.openxmlformats.org/officeDocument/2006/relationships/hyperlink" Target="https://www.forvis.com.ar/puentes-grua-monovigas" TargetMode="External"/><Relationship Id="rId14" Type="http://schemas.openxmlformats.org/officeDocument/2006/relationships/hyperlink" Target="https://drive.google.com/file/d/1SKSAHGQSfZuPVcWZ3xOuYUDvSmspnQpw/view" TargetMode="External"/><Relationship Id="rId36" Type="http://schemas.openxmlformats.org/officeDocument/2006/relationships/hyperlink" Target="https://pwent.eu/en/products/products/gas-cylinder-bundles/12x50-cylinder-bundle-vertical/" TargetMode="External"/><Relationship Id="rId17" Type="http://schemas.openxmlformats.org/officeDocument/2006/relationships/hyperlink" Target="https://drive.google.com/file/d/1l9jUNhKRvlg5WkwFjcsd6clLHJcoDwmK/view" TargetMode="External"/><Relationship Id="rId39" Type="http://schemas.openxmlformats.org/officeDocument/2006/relationships/hyperlink" Target="https://drive.google.com/file/d/1VoWl951SoMNyzpwSTsPSWtiTldMt32a1/view" TargetMode="External"/><Relationship Id="rId16" Type="http://schemas.openxmlformats.org/officeDocument/2006/relationships/hyperlink" Target="https://drive.google.com/file/d/1a1glwcadtmrHWzDhQ2oSFuICid8X3uW4/view" TargetMode="External"/><Relationship Id="rId38" Type="http://schemas.openxmlformats.org/officeDocument/2006/relationships/hyperlink" Target="https://www.eurocranedq.com/es/puente-grua/tipos-puente-grua-2-toneladas-precio.html" TargetMode="External"/><Relationship Id="rId19" Type="http://schemas.openxmlformats.org/officeDocument/2006/relationships/hyperlink" Target="https://drive.google.com/file/d/1Va_yL0lv3loGzLTlJGv6WNvD6XRtrACg/view" TargetMode="External"/><Relationship Id="rId18" Type="http://schemas.openxmlformats.org/officeDocument/2006/relationships/hyperlink" Target="https://docs.google.com/spreadsheets/d/1cAWNQfaxI8y5daphPbP_se-d6l63DShU2S3BCsN-b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95.0"/>
    <col customWidth="1" min="3" max="6" width="8.88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8" t="s">
        <v>6</v>
      </c>
      <c r="B4" s="10" t="s">
        <v>11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8" t="s">
        <v>16</v>
      </c>
      <c r="B5" s="10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8" t="s">
        <v>23</v>
      </c>
      <c r="B6" s="10" t="s">
        <v>34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8" t="s">
        <v>37</v>
      </c>
      <c r="B7" s="10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8" t="s">
        <v>42</v>
      </c>
      <c r="B8" s="10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 t="s">
        <v>46</v>
      </c>
      <c r="B9" s="10" t="s">
        <v>48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8" t="s">
        <v>49</v>
      </c>
      <c r="B10" s="10" t="s">
        <v>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8" t="s">
        <v>51</v>
      </c>
      <c r="B11" s="10" t="s">
        <v>52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8" t="s">
        <v>53</v>
      </c>
      <c r="B12" s="10" t="s">
        <v>54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8" t="s">
        <v>55</v>
      </c>
      <c r="B13" s="10" t="s">
        <v>56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8" t="s">
        <v>57</v>
      </c>
      <c r="B14" s="10" t="s">
        <v>58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8" t="s">
        <v>61</v>
      </c>
      <c r="B15" s="10" t="s">
        <v>62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8" t="s">
        <v>65</v>
      </c>
      <c r="B16" s="10" t="s">
        <v>66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4" t="s">
        <v>67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3" t="s">
        <v>70</v>
      </c>
      <c r="B19" s="10" t="s">
        <v>72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4" t="s">
        <v>76</v>
      </c>
      <c r="B20" s="10" t="s">
        <v>78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5"/>
      <c r="B21" s="10" t="s">
        <v>82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6"/>
      <c r="B22" s="10" t="s">
        <v>84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8" t="s">
        <v>85</v>
      </c>
      <c r="B23" s="10" t="s">
        <v>87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4" t="s">
        <v>90</v>
      </c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9" t="s">
        <v>93</v>
      </c>
      <c r="B26" s="10" t="s">
        <v>94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9" t="s">
        <v>96</v>
      </c>
      <c r="B27" s="10" t="s">
        <v>98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9" t="s">
        <v>102</v>
      </c>
      <c r="B28" s="10" t="s">
        <v>103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9" t="s">
        <v>104</v>
      </c>
      <c r="B29" s="10" t="s">
        <v>105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display="Resumen" location="Resumen!A1" ref="A4"/>
    <hyperlink display="Volumenes" location="Volumenes!A1" ref="A5"/>
    <hyperlink display="Geometria Acero" location="'Geometria Acero'!A1" ref="A6"/>
    <hyperlink display="Coef Fabricacion" location="'Coef Fabricacion'!A1" ref="A7"/>
    <hyperlink display="Coef Recargas" location="'Coef Recargas'!A1" ref="A8"/>
    <hyperlink display="Consumo Anual" location="'Consumo Anual'!A1" ref="A9"/>
    <hyperlink display="MP Abastecimiento" location="'MP Abastecimiento'!A1" ref="A10"/>
    <hyperlink display="Almacen MP" location="'Almacen MP'!A1" ref="A11"/>
    <hyperlink display="Manipulacion" location="Manipulacion!A1" ref="A12"/>
    <hyperlink display="Pallets PT" location="'Pallets PT'!A1" ref="A13"/>
    <hyperlink display="Corte Opcion D" location="'Corte Opcion D'!A1" ref="A14"/>
    <hyperlink display="Dudas" location="Dudas!A1" ref="A15"/>
    <hyperlink display="Fuentes" location="Fuentes!A1" ref="A16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0"/>
    <col customWidth="1" min="2" max="2" width="22.0"/>
    <col customWidth="1" min="3" max="3" width="18.0"/>
    <col customWidth="1" min="4" max="4" width="46.0"/>
    <col customWidth="1" min="5" max="6" width="8.88"/>
  </cols>
  <sheetData>
    <row r="1" ht="19.5" customHeight="1">
      <c r="A1" s="3" t="s">
        <v>2</v>
      </c>
      <c r="B1" s="5"/>
      <c r="C1" s="5"/>
      <c r="D1" s="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7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9" t="s">
        <v>12</v>
      </c>
      <c r="B5" s="11"/>
      <c r="C5" s="11"/>
      <c r="D5" s="1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13" t="s">
        <v>15</v>
      </c>
      <c r="B6" s="11"/>
      <c r="C6" s="11"/>
      <c r="D6" s="1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13" t="s">
        <v>21</v>
      </c>
      <c r="B7" s="11"/>
      <c r="C7" s="11"/>
      <c r="D7" s="1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13" t="s">
        <v>31</v>
      </c>
      <c r="B8" s="11"/>
      <c r="C8" s="11"/>
      <c r="D8" s="1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9" t="s">
        <v>41</v>
      </c>
      <c r="B10" s="11"/>
      <c r="C10" s="11"/>
      <c r="D10" s="1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4" t="s">
        <v>44</v>
      </c>
      <c r="B11" s="4" t="s">
        <v>18</v>
      </c>
      <c r="C11" s="4" t="s">
        <v>17</v>
      </c>
      <c r="D11" s="4" t="s">
        <v>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7" t="s">
        <v>47</v>
      </c>
      <c r="B12" s="19">
        <f>'Corte Opcion D'!F22</f>
        <v>506.2327001</v>
      </c>
      <c r="C12" s="15" t="s">
        <v>59</v>
      </c>
      <c r="D12" s="21" t="s">
        <v>60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" t="s">
        <v>64</v>
      </c>
      <c r="B13" s="19">
        <f>'MP Abastecimiento'!$L$36/1000</f>
        <v>403.50998</v>
      </c>
      <c r="C13" s="15" t="s">
        <v>59</v>
      </c>
      <c r="D13" s="21" t="s">
        <v>68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7" t="s">
        <v>71</v>
      </c>
      <c r="B14" s="19">
        <f>'MP Abastecimiento'!$L$28/12</f>
        <v>602.4618154</v>
      </c>
      <c r="C14" s="10" t="s">
        <v>73</v>
      </c>
      <c r="D14" s="21" t="s">
        <v>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 t="s">
        <v>77</v>
      </c>
      <c r="B15" s="19">
        <f>'MP Abastecimiento'!$L$37/12</f>
        <v>394.1982807</v>
      </c>
      <c r="C15" s="10" t="s">
        <v>73</v>
      </c>
      <c r="D15" s="21" t="s">
        <v>80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7" t="s">
        <v>81</v>
      </c>
      <c r="B16" s="27">
        <f>('MP Abastecimiento'!$L$26+'MP Abastecimiento'!$L$27)/1000</f>
        <v>7.29074187</v>
      </c>
      <c r="C16" s="15" t="s">
        <v>59</v>
      </c>
      <c r="D16" s="21" t="s">
        <v>46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7" t="s">
        <v>88</v>
      </c>
      <c r="B17" s="19">
        <f>'MP Abastecimiento'!X69</f>
        <v>187.64379</v>
      </c>
      <c r="C17" s="15" t="s">
        <v>91</v>
      </c>
      <c r="D17" s="21" t="s">
        <v>49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7" t="s">
        <v>92</v>
      </c>
      <c r="B18" s="19">
        <f>'Almacen MP'!C28</f>
        <v>377.0186417</v>
      </c>
      <c r="C18" s="15" t="s">
        <v>97</v>
      </c>
      <c r="D18" s="21" t="s">
        <v>99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0" t="s">
        <v>101</v>
      </c>
      <c r="B19" s="19">
        <f>'Almacen MP'!C21</f>
        <v>148.3061</v>
      </c>
      <c r="C19" s="15" t="s">
        <v>97</v>
      </c>
      <c r="D19" s="21" t="s">
        <v>106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0" t="s">
        <v>107</v>
      </c>
      <c r="B20" s="19">
        <f>'Almacen MP'!C22</f>
        <v>35.20733333</v>
      </c>
      <c r="C20" s="15" t="s">
        <v>97</v>
      </c>
      <c r="D20" s="21" t="s">
        <v>108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0" t="s">
        <v>110</v>
      </c>
      <c r="B21" s="19">
        <f>'Almacen MP'!C23</f>
        <v>23.12091667</v>
      </c>
      <c r="C21" s="15" t="s">
        <v>97</v>
      </c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0" t="s">
        <v>113</v>
      </c>
      <c r="B22" s="19">
        <f>'Almacen MP'!C24</f>
        <v>97.523375</v>
      </c>
      <c r="C22" s="15" t="s">
        <v>97</v>
      </c>
      <c r="D22" s="21" t="s">
        <v>114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0" t="s">
        <v>116</v>
      </c>
      <c r="B23" s="19">
        <f>'Almacen MP'!C25</f>
        <v>48.78</v>
      </c>
      <c r="C23" s="15" t="s">
        <v>97</v>
      </c>
      <c r="D23" s="21" t="s">
        <v>117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7" t="s">
        <v>118</v>
      </c>
      <c r="B24" s="27">
        <f>'Almacen MP'!C73</f>
        <v>5.039728983</v>
      </c>
      <c r="C24" s="10" t="s">
        <v>119</v>
      </c>
      <c r="D24" s="21" t="s">
        <v>120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7" t="s">
        <v>121</v>
      </c>
      <c r="B25" s="19">
        <f>'Pallets PT'!C67</f>
        <v>1201.525786</v>
      </c>
      <c r="C25" s="15" t="s">
        <v>122</v>
      </c>
      <c r="D25" s="21" t="s">
        <v>124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7" t="s">
        <v>126</v>
      </c>
      <c r="B26" s="19">
        <f>'Pallets PT'!C75</f>
        <v>88</v>
      </c>
      <c r="C26" s="15" t="s">
        <v>127</v>
      </c>
      <c r="D26" s="21" t="s">
        <v>124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7" t="s">
        <v>130</v>
      </c>
      <c r="B27" s="19">
        <f>'Pallets PT'!C29</f>
        <v>780</v>
      </c>
      <c r="C27" s="15" t="s">
        <v>131</v>
      </c>
      <c r="D27" s="21" t="s">
        <v>132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7" t="s">
        <v>133</v>
      </c>
      <c r="B28" s="19">
        <f>'Pallets PT'!E29</f>
        <v>126</v>
      </c>
      <c r="C28" s="15" t="s">
        <v>131</v>
      </c>
      <c r="D28" s="21" t="s">
        <v>132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7" t="s">
        <v>134</v>
      </c>
      <c r="B29" s="19">
        <f>'Almacen MP'!B80</f>
        <v>68.84783317</v>
      </c>
      <c r="C29" s="15" t="s">
        <v>59</v>
      </c>
      <c r="D29" s="21" t="s">
        <v>136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7" t="s">
        <v>137</v>
      </c>
      <c r="B30" s="19">
        <f>'Corte Opcion D'!D61</f>
        <v>82300</v>
      </c>
      <c r="C30" s="15" t="s">
        <v>138</v>
      </c>
      <c r="D30" s="21" t="s">
        <v>140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9" t="s">
        <v>142</v>
      </c>
      <c r="B32" s="11"/>
      <c r="C32" s="11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75" customHeight="1">
      <c r="A33" s="30" t="s">
        <v>143</v>
      </c>
      <c r="B33" s="13" t="s">
        <v>144</v>
      </c>
      <c r="C33" s="11"/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75" customHeight="1">
      <c r="A34" s="30" t="s">
        <v>143</v>
      </c>
      <c r="B34" s="13" t="s">
        <v>145</v>
      </c>
      <c r="C34" s="11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9.75" customHeight="1">
      <c r="A35" s="30" t="s">
        <v>146</v>
      </c>
      <c r="B35" s="13" t="s">
        <v>147</v>
      </c>
      <c r="C35" s="11"/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9.75" customHeight="1">
      <c r="A36" s="30" t="s">
        <v>148</v>
      </c>
      <c r="B36" s="13" t="s">
        <v>149</v>
      </c>
      <c r="C36" s="11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9.75" customHeight="1">
      <c r="A37" s="30" t="s">
        <v>150</v>
      </c>
      <c r="B37" s="13" t="s">
        <v>151</v>
      </c>
      <c r="C37" s="11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9.75" customHeight="1">
      <c r="A38" s="30" t="s">
        <v>152</v>
      </c>
      <c r="B38" s="13" t="s">
        <v>153</v>
      </c>
      <c r="C38" s="11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9.75" customHeight="1">
      <c r="A39" s="30" t="s">
        <v>156</v>
      </c>
      <c r="B39" s="13" t="s">
        <v>157</v>
      </c>
      <c r="C39" s="11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9.75" customHeight="1">
      <c r="A40" s="30" t="s">
        <v>158</v>
      </c>
      <c r="B40" s="13" t="s">
        <v>159</v>
      </c>
      <c r="C40" s="11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9.75" customHeight="1">
      <c r="A41" s="30" t="s">
        <v>161</v>
      </c>
      <c r="B41" s="13" t="s">
        <v>162</v>
      </c>
      <c r="C41" s="11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1:D1"/>
    <mergeCell ref="A2:D2"/>
    <mergeCell ref="A5:D5"/>
    <mergeCell ref="A6:D6"/>
    <mergeCell ref="A7:D7"/>
    <mergeCell ref="A8:D8"/>
    <mergeCell ref="A10:D10"/>
    <mergeCell ref="B39:D39"/>
    <mergeCell ref="B40:D40"/>
    <mergeCell ref="B41:D41"/>
    <mergeCell ref="A32:D32"/>
    <mergeCell ref="B33:D33"/>
    <mergeCell ref="B34:D34"/>
    <mergeCell ref="B35:D35"/>
    <mergeCell ref="B36:D36"/>
    <mergeCell ref="B37:D37"/>
    <mergeCell ref="B38:D3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0.0"/>
    <col customWidth="1" min="2" max="2" width="12.0"/>
    <col customWidth="1" min="3" max="3" width="13.0"/>
    <col customWidth="1" min="4" max="19" width="12.0"/>
  </cols>
  <sheetData>
    <row r="1" ht="19.5" customHeight="1">
      <c r="A1" s="3" t="s">
        <v>3</v>
      </c>
      <c r="B1" s="5"/>
      <c r="C1" s="5"/>
      <c r="D1" s="5"/>
      <c r="E1" s="5"/>
      <c r="F1" s="5"/>
      <c r="G1" s="5"/>
      <c r="H1" s="5"/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7" t="s">
        <v>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9" t="s">
        <v>13</v>
      </c>
      <c r="B4" s="11"/>
      <c r="C4" s="11"/>
      <c r="D4" s="11"/>
      <c r="E4" s="11"/>
      <c r="F4" s="11"/>
      <c r="G4" s="11"/>
      <c r="H4" s="11"/>
      <c r="I4" s="11"/>
      <c r="J4" s="1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4" t="s">
        <v>22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33</v>
      </c>
      <c r="J5" s="4" t="s">
        <v>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7" t="s">
        <v>38</v>
      </c>
      <c r="B6" s="18">
        <v>4179.0</v>
      </c>
      <c r="C6" s="18">
        <v>295.0</v>
      </c>
      <c r="D6" s="18">
        <v>2256.0</v>
      </c>
      <c r="E6" s="18">
        <v>92.0</v>
      </c>
      <c r="F6" s="18">
        <v>34.0</v>
      </c>
      <c r="G6" s="18">
        <v>75.0</v>
      </c>
      <c r="H6" s="18">
        <v>16.0</v>
      </c>
      <c r="I6" s="18">
        <v>11.0</v>
      </c>
      <c r="J6" s="20">
        <f t="shared" ref="J6:J15" si="1">SUM(B6:I6)</f>
        <v>6958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7" t="s">
        <v>63</v>
      </c>
      <c r="B7" s="18">
        <v>5997.0</v>
      </c>
      <c r="C7" s="18">
        <v>709.0</v>
      </c>
      <c r="D7" s="18">
        <v>3847.0</v>
      </c>
      <c r="E7" s="18">
        <v>177.0</v>
      </c>
      <c r="F7" s="18">
        <v>58.0</v>
      </c>
      <c r="G7" s="18">
        <v>128.0</v>
      </c>
      <c r="H7" s="18">
        <v>29.0</v>
      </c>
      <c r="I7" s="18">
        <v>18.0</v>
      </c>
      <c r="J7" s="20">
        <f t="shared" si="1"/>
        <v>10963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7" t="s">
        <v>69</v>
      </c>
      <c r="B8" s="18">
        <v>6852.0</v>
      </c>
      <c r="C8" s="18">
        <v>987.0</v>
      </c>
      <c r="D8" s="18">
        <v>5094.0</v>
      </c>
      <c r="E8" s="18">
        <v>253.0</v>
      </c>
      <c r="F8" s="18">
        <v>76.0</v>
      </c>
      <c r="G8" s="18">
        <v>166.0</v>
      </c>
      <c r="H8" s="18">
        <v>36.0</v>
      </c>
      <c r="I8" s="18">
        <v>24.0</v>
      </c>
      <c r="J8" s="20">
        <f t="shared" si="1"/>
        <v>13488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7" t="s">
        <v>74</v>
      </c>
      <c r="B9" s="18">
        <v>8467.0</v>
      </c>
      <c r="C9" s="18">
        <v>1501.0</v>
      </c>
      <c r="D9" s="18">
        <v>6823.0</v>
      </c>
      <c r="E9" s="18">
        <v>358.0</v>
      </c>
      <c r="F9" s="18">
        <v>100.0</v>
      </c>
      <c r="G9" s="18">
        <v>221.0</v>
      </c>
      <c r="H9" s="18">
        <v>48.0</v>
      </c>
      <c r="I9" s="18">
        <v>33.0</v>
      </c>
      <c r="J9" s="20">
        <f t="shared" si="1"/>
        <v>17551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7" t="s">
        <v>79</v>
      </c>
      <c r="B10" s="18">
        <v>12681.0</v>
      </c>
      <c r="C10" s="18">
        <v>2312.0</v>
      </c>
      <c r="D10" s="18">
        <v>10819.0</v>
      </c>
      <c r="E10" s="18">
        <v>603.0</v>
      </c>
      <c r="F10" s="18">
        <v>156.0</v>
      </c>
      <c r="G10" s="18">
        <v>343.0</v>
      </c>
      <c r="H10" s="18">
        <v>74.0</v>
      </c>
      <c r="I10" s="18">
        <v>50.0</v>
      </c>
      <c r="J10" s="20">
        <f t="shared" si="1"/>
        <v>27038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7" t="s">
        <v>83</v>
      </c>
      <c r="B11" s="18">
        <v>15620.0</v>
      </c>
      <c r="C11" s="18">
        <v>3252.0</v>
      </c>
      <c r="D11" s="18">
        <v>14606.0</v>
      </c>
      <c r="E11" s="18">
        <v>872.0</v>
      </c>
      <c r="F11" s="18">
        <v>212.0</v>
      </c>
      <c r="G11" s="18">
        <v>466.0</v>
      </c>
      <c r="H11" s="18">
        <v>101.0</v>
      </c>
      <c r="I11" s="18">
        <v>67.0</v>
      </c>
      <c r="J11" s="20">
        <f t="shared" si="1"/>
        <v>35196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7" t="s">
        <v>86</v>
      </c>
      <c r="B12" s="18">
        <v>20333.0</v>
      </c>
      <c r="C12" s="18">
        <v>4103.0</v>
      </c>
      <c r="D12" s="18">
        <v>18878.0</v>
      </c>
      <c r="E12" s="18">
        <v>1127.0</v>
      </c>
      <c r="F12" s="18">
        <v>273.0</v>
      </c>
      <c r="G12" s="18">
        <v>599.0</v>
      </c>
      <c r="H12" s="18">
        <v>131.0</v>
      </c>
      <c r="I12" s="18">
        <v>87.0</v>
      </c>
      <c r="J12" s="20">
        <f t="shared" si="1"/>
        <v>45531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" t="s">
        <v>89</v>
      </c>
      <c r="B13" s="18">
        <v>25132.0</v>
      </c>
      <c r="C13" s="18">
        <v>5105.0</v>
      </c>
      <c r="D13" s="18">
        <v>23368.0</v>
      </c>
      <c r="E13" s="18">
        <v>1395.0</v>
      </c>
      <c r="F13" s="18">
        <v>338.0</v>
      </c>
      <c r="G13" s="18">
        <v>743.0</v>
      </c>
      <c r="H13" s="18">
        <v>163.0</v>
      </c>
      <c r="I13" s="18">
        <v>108.0</v>
      </c>
      <c r="J13" s="20">
        <f t="shared" si="1"/>
        <v>56352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7" t="s">
        <v>95</v>
      </c>
      <c r="B14" s="18">
        <v>28573.0</v>
      </c>
      <c r="C14" s="18">
        <v>6195.0</v>
      </c>
      <c r="D14" s="18">
        <v>26968.0</v>
      </c>
      <c r="E14" s="18">
        <v>1612.0</v>
      </c>
      <c r="F14" s="18">
        <v>393.0</v>
      </c>
      <c r="G14" s="18">
        <v>866.0</v>
      </c>
      <c r="H14" s="18">
        <v>189.0</v>
      </c>
      <c r="I14" s="18">
        <v>126.0</v>
      </c>
      <c r="J14" s="20">
        <f t="shared" si="1"/>
        <v>64922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 t="s">
        <v>100</v>
      </c>
      <c r="B15" s="18">
        <v>32073.0</v>
      </c>
      <c r="C15" s="18">
        <v>7425.0</v>
      </c>
      <c r="D15" s="18">
        <v>30751.0</v>
      </c>
      <c r="E15" s="18">
        <v>1841.0</v>
      </c>
      <c r="F15" s="18">
        <v>453.0</v>
      </c>
      <c r="G15" s="18">
        <v>997.0</v>
      </c>
      <c r="H15" s="18">
        <v>218.0</v>
      </c>
      <c r="I15" s="18">
        <v>145.0</v>
      </c>
      <c r="J15" s="20">
        <f t="shared" si="1"/>
        <v>73903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9" t="s">
        <v>109</v>
      </c>
      <c r="B17" s="11"/>
      <c r="C17" s="11"/>
      <c r="D17" s="11"/>
      <c r="E17" s="11"/>
      <c r="F17" s="11"/>
      <c r="G17" s="11"/>
      <c r="H17" s="11"/>
      <c r="I17" s="11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4" t="s">
        <v>22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30</v>
      </c>
      <c r="I18" s="4" t="s">
        <v>33</v>
      </c>
      <c r="J18" s="4" t="s">
        <v>35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7" t="s">
        <v>38</v>
      </c>
      <c r="B19" s="18">
        <v>0.0</v>
      </c>
      <c r="C19" s="18">
        <v>0.0</v>
      </c>
      <c r="D19" s="18">
        <v>0.0</v>
      </c>
      <c r="E19" s="18">
        <v>0.0</v>
      </c>
      <c r="F19" s="18">
        <v>0.0</v>
      </c>
      <c r="G19" s="18">
        <v>0.0</v>
      </c>
      <c r="H19" s="18">
        <v>0.0</v>
      </c>
      <c r="I19" s="18">
        <v>0.0</v>
      </c>
      <c r="J19" s="20">
        <f t="shared" ref="J19:J28" si="2">SUM(B19:I19)</f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7" t="s">
        <v>63</v>
      </c>
      <c r="B20" s="18">
        <v>0.0</v>
      </c>
      <c r="C20" s="18">
        <v>0.0</v>
      </c>
      <c r="D20" s="18">
        <v>0.0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20">
        <f t="shared" si="2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7" t="s">
        <v>69</v>
      </c>
      <c r="B21" s="18">
        <v>7662.0</v>
      </c>
      <c r="C21" s="18">
        <v>300.0</v>
      </c>
      <c r="D21" s="18">
        <v>1479.0</v>
      </c>
      <c r="E21" s="18">
        <v>90.0</v>
      </c>
      <c r="F21" s="18">
        <v>14.0</v>
      </c>
      <c r="G21" s="18">
        <v>32.0</v>
      </c>
      <c r="H21" s="18">
        <v>7.0</v>
      </c>
      <c r="I21" s="18">
        <v>5.0</v>
      </c>
      <c r="J21" s="20">
        <f t="shared" si="2"/>
        <v>9589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7" t="s">
        <v>74</v>
      </c>
      <c r="B22" s="18">
        <v>26695.0</v>
      </c>
      <c r="C22" s="18">
        <v>1044.0</v>
      </c>
      <c r="D22" s="18">
        <v>5152.0</v>
      </c>
      <c r="E22" s="18">
        <v>315.0</v>
      </c>
      <c r="F22" s="18">
        <v>50.0</v>
      </c>
      <c r="G22" s="18">
        <v>111.0</v>
      </c>
      <c r="H22" s="18">
        <v>24.0</v>
      </c>
      <c r="I22" s="18">
        <v>16.0</v>
      </c>
      <c r="J22" s="20">
        <f t="shared" si="2"/>
        <v>33407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7" t="s">
        <v>79</v>
      </c>
      <c r="B23" s="18">
        <v>49435.0</v>
      </c>
      <c r="C23" s="18">
        <v>1933.0</v>
      </c>
      <c r="D23" s="18">
        <v>9541.0</v>
      </c>
      <c r="E23" s="18">
        <v>583.0</v>
      </c>
      <c r="F23" s="18">
        <v>93.0</v>
      </c>
      <c r="G23" s="18">
        <v>205.0</v>
      </c>
      <c r="H23" s="18">
        <v>45.0</v>
      </c>
      <c r="I23" s="18">
        <v>30.0</v>
      </c>
      <c r="J23" s="20">
        <f t="shared" si="2"/>
        <v>61865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7" t="s">
        <v>83</v>
      </c>
      <c r="B24" s="18">
        <v>71680.0</v>
      </c>
      <c r="C24" s="18">
        <v>2803.0</v>
      </c>
      <c r="D24" s="18">
        <v>13834.0</v>
      </c>
      <c r="E24" s="18">
        <v>846.0</v>
      </c>
      <c r="F24" s="18">
        <v>135.0</v>
      </c>
      <c r="G24" s="18">
        <v>298.0</v>
      </c>
      <c r="H24" s="18">
        <v>65.0</v>
      </c>
      <c r="I24" s="18">
        <v>43.0</v>
      </c>
      <c r="J24" s="20">
        <f t="shared" si="2"/>
        <v>89704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7" t="s">
        <v>86</v>
      </c>
      <c r="B25" s="18">
        <v>101341.0</v>
      </c>
      <c r="C25" s="18">
        <v>3963.0</v>
      </c>
      <c r="D25" s="18">
        <v>19559.0</v>
      </c>
      <c r="E25" s="18">
        <v>1195.0</v>
      </c>
      <c r="F25" s="18">
        <v>191.0</v>
      </c>
      <c r="G25" s="18">
        <v>421.0</v>
      </c>
      <c r="H25" s="18">
        <v>92.0</v>
      </c>
      <c r="I25" s="18">
        <v>60.0</v>
      </c>
      <c r="J25" s="20">
        <f t="shared" si="2"/>
        <v>126822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7" t="s">
        <v>89</v>
      </c>
      <c r="B26" s="18">
        <v>131001.0</v>
      </c>
      <c r="C26" s="18">
        <v>5123.0</v>
      </c>
      <c r="D26" s="18">
        <v>25283.0</v>
      </c>
      <c r="E26" s="18">
        <v>1545.0</v>
      </c>
      <c r="F26" s="18">
        <v>247.0</v>
      </c>
      <c r="G26" s="18">
        <v>544.0</v>
      </c>
      <c r="H26" s="18">
        <v>119.0</v>
      </c>
      <c r="I26" s="18">
        <v>78.0</v>
      </c>
      <c r="J26" s="20">
        <f t="shared" si="2"/>
        <v>163940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7" t="s">
        <v>95</v>
      </c>
      <c r="B27" s="18">
        <v>146820.0</v>
      </c>
      <c r="C27" s="18">
        <v>5741.0</v>
      </c>
      <c r="D27" s="18">
        <v>28336.0</v>
      </c>
      <c r="E27" s="18">
        <v>1731.0</v>
      </c>
      <c r="F27" s="18">
        <v>277.0</v>
      </c>
      <c r="G27" s="18">
        <v>610.0</v>
      </c>
      <c r="H27" s="18">
        <v>133.0</v>
      </c>
      <c r="I27" s="18">
        <v>88.0</v>
      </c>
      <c r="J27" s="20">
        <f t="shared" si="2"/>
        <v>183736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7" t="s">
        <v>100</v>
      </c>
      <c r="B28" s="18">
        <v>170548.0</v>
      </c>
      <c r="C28" s="18">
        <v>6669.0</v>
      </c>
      <c r="D28" s="18">
        <v>32915.0</v>
      </c>
      <c r="E28" s="18">
        <v>2011.0</v>
      </c>
      <c r="F28" s="18">
        <v>322.0</v>
      </c>
      <c r="G28" s="18">
        <v>708.0</v>
      </c>
      <c r="H28" s="18">
        <v>155.0</v>
      </c>
      <c r="I28" s="18">
        <v>102.0</v>
      </c>
      <c r="J28" s="20">
        <f t="shared" si="2"/>
        <v>213430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9" t="s">
        <v>160</v>
      </c>
      <c r="B30" s="11"/>
      <c r="C30" s="11"/>
      <c r="D30" s="11"/>
      <c r="E30" s="11"/>
      <c r="F30" s="11"/>
      <c r="G30" s="11"/>
      <c r="H30" s="11"/>
      <c r="I30" s="11"/>
      <c r="J30" s="1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4" t="s">
        <v>22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30</v>
      </c>
      <c r="I31" s="4" t="s">
        <v>33</v>
      </c>
      <c r="J31" s="4" t="s">
        <v>35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7" t="s">
        <v>38</v>
      </c>
      <c r="B32" s="19">
        <f t="shared" ref="B32:I32" si="3">B6+B19</f>
        <v>4179</v>
      </c>
      <c r="C32" s="19">
        <f t="shared" si="3"/>
        <v>295</v>
      </c>
      <c r="D32" s="19">
        <f t="shared" si="3"/>
        <v>2256</v>
      </c>
      <c r="E32" s="19">
        <f t="shared" si="3"/>
        <v>92</v>
      </c>
      <c r="F32" s="19">
        <f t="shared" si="3"/>
        <v>34</v>
      </c>
      <c r="G32" s="19">
        <f t="shared" si="3"/>
        <v>75</v>
      </c>
      <c r="H32" s="19">
        <f t="shared" si="3"/>
        <v>16</v>
      </c>
      <c r="I32" s="19">
        <f t="shared" si="3"/>
        <v>11</v>
      </c>
      <c r="J32" s="20">
        <f t="shared" ref="J32:J41" si="5">SUM(B32:I32)</f>
        <v>6958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7" t="s">
        <v>63</v>
      </c>
      <c r="B33" s="19">
        <f t="shared" ref="B33:I33" si="4">B7+B20</f>
        <v>5997</v>
      </c>
      <c r="C33" s="19">
        <f t="shared" si="4"/>
        <v>709</v>
      </c>
      <c r="D33" s="19">
        <f t="shared" si="4"/>
        <v>3847</v>
      </c>
      <c r="E33" s="19">
        <f t="shared" si="4"/>
        <v>177</v>
      </c>
      <c r="F33" s="19">
        <f t="shared" si="4"/>
        <v>58</v>
      </c>
      <c r="G33" s="19">
        <f t="shared" si="4"/>
        <v>128</v>
      </c>
      <c r="H33" s="19">
        <f t="shared" si="4"/>
        <v>29</v>
      </c>
      <c r="I33" s="19">
        <f t="shared" si="4"/>
        <v>18</v>
      </c>
      <c r="J33" s="20">
        <f t="shared" si="5"/>
        <v>10963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7" t="s">
        <v>69</v>
      </c>
      <c r="B34" s="19">
        <f t="shared" ref="B34:I34" si="6">B8+B21</f>
        <v>14514</v>
      </c>
      <c r="C34" s="19">
        <f t="shared" si="6"/>
        <v>1287</v>
      </c>
      <c r="D34" s="19">
        <f t="shared" si="6"/>
        <v>6573</v>
      </c>
      <c r="E34" s="19">
        <f t="shared" si="6"/>
        <v>343</v>
      </c>
      <c r="F34" s="19">
        <f t="shared" si="6"/>
        <v>90</v>
      </c>
      <c r="G34" s="19">
        <f t="shared" si="6"/>
        <v>198</v>
      </c>
      <c r="H34" s="19">
        <f t="shared" si="6"/>
        <v>43</v>
      </c>
      <c r="I34" s="19">
        <f t="shared" si="6"/>
        <v>29</v>
      </c>
      <c r="J34" s="20">
        <f t="shared" si="5"/>
        <v>23077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7" t="s">
        <v>74</v>
      </c>
      <c r="B35" s="19">
        <f t="shared" ref="B35:I35" si="7">B9+B22</f>
        <v>35162</v>
      </c>
      <c r="C35" s="19">
        <f t="shared" si="7"/>
        <v>2545</v>
      </c>
      <c r="D35" s="19">
        <f t="shared" si="7"/>
        <v>11975</v>
      </c>
      <c r="E35" s="19">
        <f t="shared" si="7"/>
        <v>673</v>
      </c>
      <c r="F35" s="19">
        <f t="shared" si="7"/>
        <v>150</v>
      </c>
      <c r="G35" s="19">
        <f t="shared" si="7"/>
        <v>332</v>
      </c>
      <c r="H35" s="19">
        <f t="shared" si="7"/>
        <v>72</v>
      </c>
      <c r="I35" s="19">
        <f t="shared" si="7"/>
        <v>49</v>
      </c>
      <c r="J35" s="20">
        <f t="shared" si="5"/>
        <v>50958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7" t="s">
        <v>79</v>
      </c>
      <c r="B36" s="19">
        <f t="shared" ref="B36:I36" si="8">B10+B23</f>
        <v>62116</v>
      </c>
      <c r="C36" s="19">
        <f t="shared" si="8"/>
        <v>4245</v>
      </c>
      <c r="D36" s="19">
        <f t="shared" si="8"/>
        <v>20360</v>
      </c>
      <c r="E36" s="19">
        <f t="shared" si="8"/>
        <v>1186</v>
      </c>
      <c r="F36" s="19">
        <f t="shared" si="8"/>
        <v>249</v>
      </c>
      <c r="G36" s="19">
        <f t="shared" si="8"/>
        <v>548</v>
      </c>
      <c r="H36" s="19">
        <f t="shared" si="8"/>
        <v>119</v>
      </c>
      <c r="I36" s="19">
        <f t="shared" si="8"/>
        <v>80</v>
      </c>
      <c r="J36" s="20">
        <f t="shared" si="5"/>
        <v>88903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7" t="s">
        <v>83</v>
      </c>
      <c r="B37" s="19">
        <f t="shared" ref="B37:I37" si="9">B11+B24</f>
        <v>87300</v>
      </c>
      <c r="C37" s="19">
        <f t="shared" si="9"/>
        <v>6055</v>
      </c>
      <c r="D37" s="19">
        <f t="shared" si="9"/>
        <v>28440</v>
      </c>
      <c r="E37" s="19">
        <f t="shared" si="9"/>
        <v>1718</v>
      </c>
      <c r="F37" s="19">
        <f t="shared" si="9"/>
        <v>347</v>
      </c>
      <c r="G37" s="19">
        <f t="shared" si="9"/>
        <v>764</v>
      </c>
      <c r="H37" s="19">
        <f t="shared" si="9"/>
        <v>166</v>
      </c>
      <c r="I37" s="19">
        <f t="shared" si="9"/>
        <v>110</v>
      </c>
      <c r="J37" s="20">
        <f t="shared" si="5"/>
        <v>124900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7" t="s">
        <v>86</v>
      </c>
      <c r="B38" s="19">
        <f t="shared" ref="B38:I38" si="10">B12+B25</f>
        <v>121674</v>
      </c>
      <c r="C38" s="19">
        <f t="shared" si="10"/>
        <v>8066</v>
      </c>
      <c r="D38" s="19">
        <f t="shared" si="10"/>
        <v>38437</v>
      </c>
      <c r="E38" s="19">
        <f t="shared" si="10"/>
        <v>2322</v>
      </c>
      <c r="F38" s="19">
        <f t="shared" si="10"/>
        <v>464</v>
      </c>
      <c r="G38" s="19">
        <f t="shared" si="10"/>
        <v>1020</v>
      </c>
      <c r="H38" s="19">
        <f t="shared" si="10"/>
        <v>223</v>
      </c>
      <c r="I38" s="19">
        <f t="shared" si="10"/>
        <v>147</v>
      </c>
      <c r="J38" s="20">
        <f t="shared" si="5"/>
        <v>172353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7" t="s">
        <v>89</v>
      </c>
      <c r="B39" s="19">
        <f t="shared" ref="B39:I39" si="11">B13+B26</f>
        <v>156133</v>
      </c>
      <c r="C39" s="19">
        <f t="shared" si="11"/>
        <v>10228</v>
      </c>
      <c r="D39" s="19">
        <f t="shared" si="11"/>
        <v>48651</v>
      </c>
      <c r="E39" s="19">
        <f t="shared" si="11"/>
        <v>2940</v>
      </c>
      <c r="F39" s="19">
        <f t="shared" si="11"/>
        <v>585</v>
      </c>
      <c r="G39" s="19">
        <f t="shared" si="11"/>
        <v>1287</v>
      </c>
      <c r="H39" s="19">
        <f t="shared" si="11"/>
        <v>282</v>
      </c>
      <c r="I39" s="19">
        <f t="shared" si="11"/>
        <v>186</v>
      </c>
      <c r="J39" s="20">
        <f t="shared" si="5"/>
        <v>220292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7" t="s">
        <v>95</v>
      </c>
      <c r="B40" s="19">
        <f t="shared" ref="B40:I40" si="12">B14+B27</f>
        <v>175393</v>
      </c>
      <c r="C40" s="19">
        <f t="shared" si="12"/>
        <v>11936</v>
      </c>
      <c r="D40" s="19">
        <f t="shared" si="12"/>
        <v>55304</v>
      </c>
      <c r="E40" s="19">
        <f t="shared" si="12"/>
        <v>3343</v>
      </c>
      <c r="F40" s="19">
        <f t="shared" si="12"/>
        <v>670</v>
      </c>
      <c r="G40" s="19">
        <f t="shared" si="12"/>
        <v>1476</v>
      </c>
      <c r="H40" s="19">
        <f t="shared" si="12"/>
        <v>322</v>
      </c>
      <c r="I40" s="19">
        <f t="shared" si="12"/>
        <v>214</v>
      </c>
      <c r="J40" s="20">
        <f t="shared" si="5"/>
        <v>248658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7" t="s">
        <v>100</v>
      </c>
      <c r="B41" s="19">
        <f t="shared" ref="B41:I41" si="13">B15+B28</f>
        <v>202621</v>
      </c>
      <c r="C41" s="19">
        <f t="shared" si="13"/>
        <v>14094</v>
      </c>
      <c r="D41" s="19">
        <f t="shared" si="13"/>
        <v>63666</v>
      </c>
      <c r="E41" s="19">
        <f t="shared" si="13"/>
        <v>3852</v>
      </c>
      <c r="F41" s="19">
        <f t="shared" si="13"/>
        <v>775</v>
      </c>
      <c r="G41" s="19">
        <f t="shared" si="13"/>
        <v>1705</v>
      </c>
      <c r="H41" s="19">
        <f t="shared" si="13"/>
        <v>373</v>
      </c>
      <c r="I41" s="19">
        <f t="shared" si="13"/>
        <v>247</v>
      </c>
      <c r="J41" s="20">
        <f t="shared" si="5"/>
        <v>287333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9" t="s">
        <v>227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2"/>
      <c r="U43" s="2"/>
      <c r="V43" s="2"/>
      <c r="W43" s="2"/>
      <c r="X43" s="2"/>
      <c r="Y43" s="2"/>
      <c r="Z43" s="2"/>
    </row>
    <row r="44" ht="30.0" customHeight="1">
      <c r="A44" s="4" t="s">
        <v>22</v>
      </c>
      <c r="B44" s="4" t="s">
        <v>228</v>
      </c>
      <c r="C44" s="4" t="s">
        <v>229</v>
      </c>
      <c r="D44" s="4" t="s">
        <v>230</v>
      </c>
      <c r="E44" s="4" t="s">
        <v>231</v>
      </c>
      <c r="F44" s="4" t="s">
        <v>232</v>
      </c>
      <c r="G44" s="4" t="s">
        <v>233</v>
      </c>
      <c r="H44" s="4" t="s">
        <v>234</v>
      </c>
      <c r="I44" s="4" t="s">
        <v>236</v>
      </c>
      <c r="J44" s="4" t="s">
        <v>237</v>
      </c>
      <c r="K44" s="4" t="s">
        <v>238</v>
      </c>
      <c r="L44" s="4" t="s">
        <v>239</v>
      </c>
      <c r="M44" s="4" t="s">
        <v>240</v>
      </c>
      <c r="N44" s="4" t="s">
        <v>242</v>
      </c>
      <c r="O44" s="4" t="s">
        <v>243</v>
      </c>
      <c r="P44" s="4" t="s">
        <v>244</v>
      </c>
      <c r="Q44" s="4" t="s">
        <v>245</v>
      </c>
      <c r="R44" s="4" t="s">
        <v>246</v>
      </c>
      <c r="S44" s="4" t="s">
        <v>35</v>
      </c>
      <c r="T44" s="2"/>
      <c r="U44" s="2"/>
      <c r="V44" s="2"/>
      <c r="W44" s="2"/>
      <c r="X44" s="2"/>
      <c r="Y44" s="2"/>
      <c r="Z44" s="2"/>
    </row>
    <row r="45" ht="12.75" customHeight="1">
      <c r="A45" s="17" t="s">
        <v>38</v>
      </c>
      <c r="B45" s="18">
        <v>1190.0</v>
      </c>
      <c r="C45" s="18">
        <v>113.0</v>
      </c>
      <c r="D45" s="18">
        <v>668.0</v>
      </c>
      <c r="E45" s="18">
        <v>40.0</v>
      </c>
      <c r="F45" s="18">
        <v>54.0</v>
      </c>
      <c r="G45" s="18">
        <v>8.0</v>
      </c>
      <c r="H45" s="18">
        <v>4.0</v>
      </c>
      <c r="I45" s="18">
        <v>2.0</v>
      </c>
      <c r="J45" s="18">
        <v>28.0</v>
      </c>
      <c r="K45" s="18">
        <v>154.0</v>
      </c>
      <c r="L45" s="18">
        <v>43.0</v>
      </c>
      <c r="M45" s="18">
        <v>6.0</v>
      </c>
      <c r="N45" s="18">
        <v>2.0</v>
      </c>
      <c r="O45" s="18">
        <v>6.0</v>
      </c>
      <c r="P45" s="18">
        <v>13.0</v>
      </c>
      <c r="Q45" s="18">
        <v>3.0</v>
      </c>
      <c r="R45" s="18">
        <v>2.0</v>
      </c>
      <c r="S45" s="20">
        <f t="shared" ref="S45:S54" si="14">SUM(B45:R45)</f>
        <v>2336</v>
      </c>
      <c r="T45" s="2"/>
      <c r="U45" s="2"/>
      <c r="V45" s="2"/>
      <c r="W45" s="2"/>
      <c r="X45" s="2"/>
      <c r="Y45" s="2"/>
      <c r="Z45" s="2"/>
    </row>
    <row r="46" ht="12.75" customHeight="1">
      <c r="A46" s="17" t="s">
        <v>63</v>
      </c>
      <c r="B46" s="18">
        <v>5811.0</v>
      </c>
      <c r="C46" s="18">
        <v>441.0</v>
      </c>
      <c r="D46" s="18">
        <v>2689.0</v>
      </c>
      <c r="E46" s="18">
        <v>150.0</v>
      </c>
      <c r="F46" s="18">
        <v>220.0</v>
      </c>
      <c r="G46" s="18">
        <v>55.0</v>
      </c>
      <c r="H46" s="18">
        <v>29.0</v>
      </c>
      <c r="I46" s="18">
        <v>16.0</v>
      </c>
      <c r="J46" s="18">
        <v>115.0</v>
      </c>
      <c r="K46" s="18">
        <v>581.0</v>
      </c>
      <c r="L46" s="18">
        <v>221.0</v>
      </c>
      <c r="M46" s="18">
        <v>38.0</v>
      </c>
      <c r="N46" s="18">
        <v>16.0</v>
      </c>
      <c r="O46" s="18">
        <v>29.0</v>
      </c>
      <c r="P46" s="18">
        <v>65.0</v>
      </c>
      <c r="Q46" s="18">
        <v>14.0</v>
      </c>
      <c r="R46" s="18">
        <v>10.0</v>
      </c>
      <c r="S46" s="20">
        <f t="shared" si="14"/>
        <v>10500</v>
      </c>
      <c r="T46" s="2"/>
      <c r="U46" s="2"/>
      <c r="V46" s="2"/>
      <c r="W46" s="2"/>
      <c r="X46" s="2"/>
      <c r="Y46" s="2"/>
      <c r="Z46" s="2"/>
    </row>
    <row r="47" ht="12.75" customHeight="1">
      <c r="A47" s="17" t="s">
        <v>69</v>
      </c>
      <c r="B47" s="18">
        <v>10459.0</v>
      </c>
      <c r="C47" s="18">
        <v>1009.0</v>
      </c>
      <c r="D47" s="18">
        <v>6086.0</v>
      </c>
      <c r="E47" s="18">
        <v>351.0</v>
      </c>
      <c r="F47" s="18">
        <v>505.0</v>
      </c>
      <c r="G47" s="18">
        <v>109.0</v>
      </c>
      <c r="H47" s="18">
        <v>56.0</v>
      </c>
      <c r="I47" s="18">
        <v>30.0</v>
      </c>
      <c r="J47" s="18">
        <v>256.0</v>
      </c>
      <c r="K47" s="18">
        <v>1354.0</v>
      </c>
      <c r="L47" s="18">
        <v>471.0</v>
      </c>
      <c r="M47" s="18">
        <v>79.0</v>
      </c>
      <c r="N47" s="18">
        <v>30.0</v>
      </c>
      <c r="O47" s="18">
        <v>64.0</v>
      </c>
      <c r="P47" s="18">
        <v>141.0</v>
      </c>
      <c r="Q47" s="18">
        <v>31.0</v>
      </c>
      <c r="R47" s="18">
        <v>21.0</v>
      </c>
      <c r="S47" s="20">
        <f t="shared" si="14"/>
        <v>21052</v>
      </c>
      <c r="T47" s="2"/>
      <c r="U47" s="2"/>
      <c r="V47" s="2"/>
      <c r="W47" s="2"/>
      <c r="X47" s="2"/>
      <c r="Y47" s="2"/>
      <c r="Z47" s="2"/>
    </row>
    <row r="48" ht="12.75" customHeight="1">
      <c r="A48" s="17" t="s">
        <v>74</v>
      </c>
      <c r="B48" s="18">
        <v>19190.0</v>
      </c>
      <c r="C48" s="18">
        <v>1858.0</v>
      </c>
      <c r="D48" s="18">
        <v>11506.0</v>
      </c>
      <c r="E48" s="18">
        <v>671.0</v>
      </c>
      <c r="F48" s="18">
        <v>947.0</v>
      </c>
      <c r="G48" s="18">
        <v>181.0</v>
      </c>
      <c r="H48" s="18">
        <v>96.0</v>
      </c>
      <c r="I48" s="18">
        <v>55.0</v>
      </c>
      <c r="J48" s="18">
        <v>465.0</v>
      </c>
      <c r="K48" s="18">
        <v>2589.0</v>
      </c>
      <c r="L48" s="18">
        <v>842.0</v>
      </c>
      <c r="M48" s="18">
        <v>137.0</v>
      </c>
      <c r="N48" s="18">
        <v>51.0</v>
      </c>
      <c r="O48" s="18">
        <v>115.0</v>
      </c>
      <c r="P48" s="18">
        <v>253.0</v>
      </c>
      <c r="Q48" s="18">
        <v>55.0</v>
      </c>
      <c r="R48" s="18">
        <v>37.0</v>
      </c>
      <c r="S48" s="20">
        <f t="shared" si="14"/>
        <v>39048</v>
      </c>
      <c r="T48" s="2"/>
      <c r="U48" s="2"/>
      <c r="V48" s="2"/>
      <c r="W48" s="2"/>
      <c r="X48" s="2"/>
      <c r="Y48" s="2"/>
      <c r="Z48" s="2"/>
    </row>
    <row r="49" ht="12.75" customHeight="1">
      <c r="A49" s="17" t="s">
        <v>79</v>
      </c>
      <c r="B49" s="18">
        <v>28853.0</v>
      </c>
      <c r="C49" s="18">
        <v>2688.0</v>
      </c>
      <c r="D49" s="18">
        <v>16574.0</v>
      </c>
      <c r="E49" s="18">
        <v>974.0</v>
      </c>
      <c r="F49" s="18">
        <v>1366.0</v>
      </c>
      <c r="G49" s="18">
        <v>255.0</v>
      </c>
      <c r="H49" s="18">
        <v>137.0</v>
      </c>
      <c r="I49" s="18">
        <v>75.0</v>
      </c>
      <c r="J49" s="18">
        <v>671.0</v>
      </c>
      <c r="K49" s="18">
        <v>3739.0</v>
      </c>
      <c r="L49" s="18">
        <v>1214.0</v>
      </c>
      <c r="M49" s="18">
        <v>197.0</v>
      </c>
      <c r="N49" s="18">
        <v>70.0</v>
      </c>
      <c r="O49" s="18">
        <v>166.0</v>
      </c>
      <c r="P49" s="18">
        <v>365.0</v>
      </c>
      <c r="Q49" s="18">
        <v>80.0</v>
      </c>
      <c r="R49" s="18">
        <v>53.0</v>
      </c>
      <c r="S49" s="20">
        <f t="shared" si="14"/>
        <v>57477</v>
      </c>
      <c r="T49" s="2"/>
      <c r="U49" s="2"/>
      <c r="V49" s="2"/>
      <c r="W49" s="2"/>
      <c r="X49" s="2"/>
      <c r="Y49" s="2"/>
      <c r="Z49" s="2"/>
    </row>
    <row r="50" ht="12.75" customHeight="1">
      <c r="A50" s="17" t="s">
        <v>83</v>
      </c>
      <c r="B50" s="18">
        <v>40199.0</v>
      </c>
      <c r="C50" s="18">
        <v>3569.0</v>
      </c>
      <c r="D50" s="18">
        <v>22024.0</v>
      </c>
      <c r="E50" s="18">
        <v>1305.0</v>
      </c>
      <c r="F50" s="18">
        <v>1827.0</v>
      </c>
      <c r="G50" s="18">
        <v>330.0</v>
      </c>
      <c r="H50" s="18">
        <v>176.0</v>
      </c>
      <c r="I50" s="18">
        <v>100.0</v>
      </c>
      <c r="J50" s="18">
        <v>890.0</v>
      </c>
      <c r="K50" s="18">
        <v>4970.0</v>
      </c>
      <c r="L50" s="18">
        <v>1617.0</v>
      </c>
      <c r="M50" s="18">
        <v>259.0</v>
      </c>
      <c r="N50" s="18">
        <v>87.0</v>
      </c>
      <c r="O50" s="18">
        <v>220.0</v>
      </c>
      <c r="P50" s="18">
        <v>484.0</v>
      </c>
      <c r="Q50" s="18">
        <v>105.0</v>
      </c>
      <c r="R50" s="18">
        <v>71.0</v>
      </c>
      <c r="S50" s="20">
        <f t="shared" si="14"/>
        <v>78233</v>
      </c>
      <c r="T50" s="2"/>
      <c r="U50" s="2"/>
      <c r="V50" s="2"/>
      <c r="W50" s="2"/>
      <c r="X50" s="2"/>
      <c r="Y50" s="2"/>
      <c r="Z50" s="2"/>
    </row>
    <row r="51" ht="12.75" customHeight="1">
      <c r="A51" s="17" t="s">
        <v>86</v>
      </c>
      <c r="B51" s="18">
        <v>50541.0</v>
      </c>
      <c r="C51" s="18">
        <v>4386.0</v>
      </c>
      <c r="D51" s="18">
        <v>26953.0</v>
      </c>
      <c r="E51" s="18">
        <v>1597.0</v>
      </c>
      <c r="F51" s="18">
        <v>2239.0</v>
      </c>
      <c r="G51" s="18">
        <v>409.0</v>
      </c>
      <c r="H51" s="18">
        <v>215.0</v>
      </c>
      <c r="I51" s="18">
        <v>126.0</v>
      </c>
      <c r="J51" s="18">
        <v>1095.0</v>
      </c>
      <c r="K51" s="18">
        <v>6076.0</v>
      </c>
      <c r="L51" s="18">
        <v>2004.0</v>
      </c>
      <c r="M51" s="18">
        <v>324.0</v>
      </c>
      <c r="N51" s="18">
        <v>112.0</v>
      </c>
      <c r="O51" s="18">
        <v>271.0</v>
      </c>
      <c r="P51" s="18">
        <v>597.0</v>
      </c>
      <c r="Q51" s="18">
        <v>130.0</v>
      </c>
      <c r="R51" s="18">
        <v>87.0</v>
      </c>
      <c r="S51" s="20">
        <f t="shared" si="14"/>
        <v>97162</v>
      </c>
      <c r="T51" s="2"/>
      <c r="U51" s="2"/>
      <c r="V51" s="2"/>
      <c r="W51" s="2"/>
      <c r="X51" s="2"/>
      <c r="Y51" s="2"/>
      <c r="Z51" s="2"/>
    </row>
    <row r="52" ht="12.75" customHeight="1">
      <c r="A52" s="17" t="s">
        <v>89</v>
      </c>
      <c r="B52" s="18">
        <v>58687.0</v>
      </c>
      <c r="C52" s="18">
        <v>4884.0</v>
      </c>
      <c r="D52" s="18">
        <v>29869.0</v>
      </c>
      <c r="E52" s="18">
        <v>1768.0</v>
      </c>
      <c r="F52" s="18">
        <v>2489.0</v>
      </c>
      <c r="G52" s="18">
        <v>463.0</v>
      </c>
      <c r="H52" s="18">
        <v>244.0</v>
      </c>
      <c r="I52" s="18">
        <v>140.0</v>
      </c>
      <c r="J52" s="18">
        <v>1225.0</v>
      </c>
      <c r="K52" s="18">
        <v>6717.0</v>
      </c>
      <c r="L52" s="18">
        <v>2263.0</v>
      </c>
      <c r="M52" s="18">
        <v>367.0</v>
      </c>
      <c r="N52" s="18">
        <v>126.0</v>
      </c>
      <c r="O52" s="18">
        <v>305.0</v>
      </c>
      <c r="P52" s="18">
        <v>670.0</v>
      </c>
      <c r="Q52" s="18">
        <v>146.0</v>
      </c>
      <c r="R52" s="18">
        <v>98.0</v>
      </c>
      <c r="S52" s="20">
        <f t="shared" si="14"/>
        <v>110461</v>
      </c>
      <c r="T52" s="2"/>
      <c r="U52" s="2"/>
      <c r="V52" s="2"/>
      <c r="W52" s="2"/>
      <c r="X52" s="2"/>
      <c r="Y52" s="2"/>
      <c r="Z52" s="2"/>
    </row>
    <row r="53" ht="12.75" customHeight="1">
      <c r="A53" s="17" t="s">
        <v>95</v>
      </c>
      <c r="B53" s="18">
        <v>62894.0</v>
      </c>
      <c r="C53" s="18">
        <v>5284.0</v>
      </c>
      <c r="D53" s="18">
        <v>32221.0</v>
      </c>
      <c r="E53" s="18">
        <v>1908.0</v>
      </c>
      <c r="F53" s="18">
        <v>2690.0</v>
      </c>
      <c r="G53" s="18">
        <v>506.0</v>
      </c>
      <c r="H53" s="18">
        <v>265.0</v>
      </c>
      <c r="I53" s="18">
        <v>153.0</v>
      </c>
      <c r="J53" s="18">
        <v>1325.0</v>
      </c>
      <c r="K53" s="18">
        <v>7246.0</v>
      </c>
      <c r="L53" s="18">
        <v>2460.0</v>
      </c>
      <c r="M53" s="18">
        <v>401.0</v>
      </c>
      <c r="N53" s="18">
        <v>138.0</v>
      </c>
      <c r="O53" s="18">
        <v>330.0</v>
      </c>
      <c r="P53" s="18">
        <v>727.0</v>
      </c>
      <c r="Q53" s="18">
        <v>159.0</v>
      </c>
      <c r="R53" s="18">
        <v>106.0</v>
      </c>
      <c r="S53" s="20">
        <f t="shared" si="14"/>
        <v>118813</v>
      </c>
      <c r="T53" s="2"/>
      <c r="U53" s="2"/>
      <c r="V53" s="2"/>
      <c r="W53" s="2"/>
      <c r="X53" s="2"/>
      <c r="Y53" s="2"/>
      <c r="Z53" s="2"/>
    </row>
    <row r="54" ht="12.75" customHeight="1">
      <c r="A54" s="17" t="s">
        <v>100</v>
      </c>
      <c r="B54" s="18">
        <v>67206.0</v>
      </c>
      <c r="C54" s="18">
        <v>5691.0</v>
      </c>
      <c r="D54" s="18">
        <v>34614.0</v>
      </c>
      <c r="E54" s="18">
        <v>2050.0</v>
      </c>
      <c r="F54" s="18">
        <v>2893.0</v>
      </c>
      <c r="G54" s="18">
        <v>550.0</v>
      </c>
      <c r="H54" s="18">
        <v>287.0</v>
      </c>
      <c r="I54" s="18">
        <v>165.0</v>
      </c>
      <c r="J54" s="18">
        <v>1427.0</v>
      </c>
      <c r="K54" s="18">
        <v>7784.0</v>
      </c>
      <c r="L54" s="18">
        <v>2660.0</v>
      </c>
      <c r="M54" s="18">
        <v>436.0</v>
      </c>
      <c r="N54" s="18">
        <v>150.0</v>
      </c>
      <c r="O54" s="18">
        <v>357.0</v>
      </c>
      <c r="P54" s="18">
        <v>785.0</v>
      </c>
      <c r="Q54" s="18">
        <v>171.0</v>
      </c>
      <c r="R54" s="18">
        <v>114.0</v>
      </c>
      <c r="S54" s="20">
        <f t="shared" si="14"/>
        <v>127340</v>
      </c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9" t="s">
        <v>258</v>
      </c>
      <c r="B56" s="11"/>
      <c r="C56" s="11"/>
      <c r="D56" s="11"/>
      <c r="E56" s="11"/>
      <c r="F56" s="11"/>
      <c r="G56" s="11"/>
      <c r="H56" s="11"/>
      <c r="I56" s="11"/>
      <c r="J56" s="1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0" t="s">
        <v>259</v>
      </c>
      <c r="B57" s="32">
        <v>0.12</v>
      </c>
      <c r="C57" s="22" t="s">
        <v>261</v>
      </c>
      <c r="D57" s="11"/>
      <c r="E57" s="11"/>
      <c r="F57" s="11"/>
      <c r="G57" s="11"/>
      <c r="H57" s="11"/>
      <c r="I57" s="11"/>
      <c r="J57" s="1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0" t="s">
        <v>264</v>
      </c>
      <c r="B58" s="33">
        <v>20.0</v>
      </c>
      <c r="C58" s="22" t="s">
        <v>265</v>
      </c>
      <c r="D58" s="11"/>
      <c r="E58" s="11"/>
      <c r="F58" s="11"/>
      <c r="G58" s="11"/>
      <c r="H58" s="11"/>
      <c r="I58" s="11"/>
      <c r="J58" s="1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0" t="s">
        <v>266</v>
      </c>
      <c r="B59" s="20">
        <f>B58*12</f>
        <v>240</v>
      </c>
      <c r="C59" s="36"/>
      <c r="D59" s="11"/>
      <c r="E59" s="11"/>
      <c r="F59" s="11"/>
      <c r="G59" s="11"/>
      <c r="H59" s="11"/>
      <c r="I59" s="11"/>
      <c r="J59" s="1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" t="s">
        <v>267</v>
      </c>
      <c r="B60" s="33">
        <v>48.0</v>
      </c>
      <c r="C60" s="22" t="s">
        <v>268</v>
      </c>
      <c r="D60" s="11"/>
      <c r="E60" s="11"/>
      <c r="F60" s="11"/>
      <c r="G60" s="11"/>
      <c r="H60" s="11"/>
      <c r="I60" s="11"/>
      <c r="J60" s="1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C57:J57"/>
    <mergeCell ref="C58:J58"/>
    <mergeCell ref="C59:J59"/>
    <mergeCell ref="C60:J60"/>
    <mergeCell ref="A1:J1"/>
    <mergeCell ref="A2:J2"/>
    <mergeCell ref="A4:J4"/>
    <mergeCell ref="A17:J17"/>
    <mergeCell ref="A30:J30"/>
    <mergeCell ref="A43:S43"/>
    <mergeCell ref="A56:J56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0.0" topLeftCell="C31" activePane="bottomRight" state="frozen"/>
      <selection activeCell="C1" sqref="C1" pane="topRight"/>
      <selection activeCell="A31" sqref="A31" pane="bottomLeft"/>
      <selection activeCell="C31" sqref="C31" pane="bottomRight"/>
    </sheetView>
  </sheetViews>
  <sheetFormatPr customHeight="1" defaultColWidth="12.63" defaultRowHeight="15.0"/>
  <cols>
    <col customWidth="1" min="1" max="1" width="46.0"/>
    <col customWidth="1" min="2" max="2" width="8.0"/>
    <col customWidth="1" min="3" max="10" width="11.0"/>
    <col customWidth="1" min="11" max="11" width="70.0"/>
  </cols>
  <sheetData>
    <row r="1" ht="19.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7" t="s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9" t="s">
        <v>10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4" t="s">
        <v>14</v>
      </c>
      <c r="B5" s="4" t="s">
        <v>17</v>
      </c>
      <c r="C5" s="4" t="s">
        <v>18</v>
      </c>
      <c r="D5" s="14" t="s">
        <v>19</v>
      </c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0" t="s">
        <v>32</v>
      </c>
      <c r="B6" s="15" t="s">
        <v>36</v>
      </c>
      <c r="C6" s="16">
        <v>7850.0</v>
      </c>
      <c r="D6" s="22" t="s">
        <v>40</v>
      </c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 t="s">
        <v>111</v>
      </c>
      <c r="B7" s="15" t="s">
        <v>112</v>
      </c>
      <c r="C7" s="16">
        <v>76.2</v>
      </c>
      <c r="D7" s="22" t="s">
        <v>115</v>
      </c>
      <c r="E7" s="11"/>
      <c r="F7" s="11"/>
      <c r="G7" s="11"/>
      <c r="H7" s="11"/>
      <c r="I7" s="11"/>
      <c r="J7" s="11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0" t="s">
        <v>123</v>
      </c>
      <c r="B8" s="15" t="s">
        <v>112</v>
      </c>
      <c r="C8" s="16">
        <v>1.25</v>
      </c>
      <c r="D8" s="22" t="s">
        <v>125</v>
      </c>
      <c r="E8" s="11"/>
      <c r="F8" s="11"/>
      <c r="G8" s="11"/>
      <c r="H8" s="11"/>
      <c r="I8" s="11"/>
      <c r="J8" s="11"/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0" t="s">
        <v>128</v>
      </c>
      <c r="B9" s="15" t="s">
        <v>112</v>
      </c>
      <c r="C9" s="16">
        <v>6000.0</v>
      </c>
      <c r="D9" s="22" t="s">
        <v>129</v>
      </c>
      <c r="E9" s="11"/>
      <c r="F9" s="11"/>
      <c r="G9" s="11"/>
      <c r="H9" s="11"/>
      <c r="I9" s="11"/>
      <c r="J9" s="11"/>
      <c r="K9" s="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0" t="s">
        <v>135</v>
      </c>
      <c r="B10" s="15" t="s">
        <v>112</v>
      </c>
      <c r="C10" s="16">
        <v>3.0</v>
      </c>
      <c r="D10" s="22" t="s">
        <v>104</v>
      </c>
      <c r="E10" s="11"/>
      <c r="F10" s="11"/>
      <c r="G10" s="11"/>
      <c r="H10" s="11"/>
      <c r="I10" s="11"/>
      <c r="J10" s="11"/>
      <c r="K10" s="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0" t="s">
        <v>139</v>
      </c>
      <c r="B11" s="15" t="s">
        <v>141</v>
      </c>
      <c r="C11" s="31">
        <f>PI()*($C$7-$C$8)*$C$8*$C$6/1000000</f>
        <v>2.3104745</v>
      </c>
      <c r="D11" s="22" t="s">
        <v>76</v>
      </c>
      <c r="E11" s="11"/>
      <c r="F11" s="11"/>
      <c r="G11" s="11"/>
      <c r="H11" s="11"/>
      <c r="I11" s="11"/>
      <c r="J11" s="11"/>
      <c r="K11" s="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0" t="s">
        <v>154</v>
      </c>
      <c r="B12" s="15" t="s">
        <v>155</v>
      </c>
      <c r="C12" s="31">
        <f>$C$11*$C$9/1000</f>
        <v>13.862847</v>
      </c>
      <c r="D12" s="22" t="s">
        <v>76</v>
      </c>
      <c r="E12" s="11"/>
      <c r="F12" s="11"/>
      <c r="G12" s="11"/>
      <c r="H12" s="11"/>
      <c r="I12" s="11"/>
      <c r="J12" s="11"/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0" t="s">
        <v>163</v>
      </c>
      <c r="B13" s="15" t="s">
        <v>112</v>
      </c>
      <c r="C13" s="16">
        <v>3.0</v>
      </c>
      <c r="D13" s="22" t="s">
        <v>164</v>
      </c>
      <c r="E13" s="11"/>
      <c r="F13" s="11"/>
      <c r="G13" s="11"/>
      <c r="H13" s="11"/>
      <c r="I13" s="11"/>
      <c r="J13" s="11"/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0" t="s">
        <v>165</v>
      </c>
      <c r="B14" s="15" t="s">
        <v>166</v>
      </c>
      <c r="C14" s="16">
        <v>1.5</v>
      </c>
      <c r="D14" s="22" t="s">
        <v>167</v>
      </c>
      <c r="E14" s="11"/>
      <c r="F14" s="11"/>
      <c r="G14" s="11"/>
      <c r="H14" s="11"/>
      <c r="I14" s="11"/>
      <c r="J14" s="11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0" t="s">
        <v>168</v>
      </c>
      <c r="B15" s="15" t="s">
        <v>169</v>
      </c>
      <c r="C15" s="16">
        <v>70.0</v>
      </c>
      <c r="D15" s="22" t="s">
        <v>170</v>
      </c>
      <c r="E15" s="11"/>
      <c r="F15" s="11"/>
      <c r="G15" s="11"/>
      <c r="H15" s="11"/>
      <c r="I15" s="11"/>
      <c r="J15" s="11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0" t="s">
        <v>171</v>
      </c>
      <c r="B16" s="15" t="s">
        <v>172</v>
      </c>
      <c r="C16" s="32">
        <v>0.25</v>
      </c>
      <c r="D16" s="22" t="s">
        <v>173</v>
      </c>
      <c r="E16" s="11"/>
      <c r="F16" s="11"/>
      <c r="G16" s="11"/>
      <c r="H16" s="11"/>
      <c r="I16" s="11"/>
      <c r="J16" s="11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0" t="s">
        <v>174</v>
      </c>
      <c r="B17" s="15" t="s">
        <v>175</v>
      </c>
      <c r="C17" s="31">
        <f>$C$14*$C$15/1000/(1-$C$16)</f>
        <v>0.14</v>
      </c>
      <c r="D17" s="22" t="s">
        <v>76</v>
      </c>
      <c r="E17" s="11"/>
      <c r="F17" s="11"/>
      <c r="G17" s="11"/>
      <c r="H17" s="11"/>
      <c r="I17" s="11"/>
      <c r="J17" s="11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0" t="s">
        <v>176</v>
      </c>
      <c r="B18" s="15" t="s">
        <v>177</v>
      </c>
      <c r="C18" s="16">
        <v>1.15</v>
      </c>
      <c r="D18" s="22" t="s">
        <v>104</v>
      </c>
      <c r="E18" s="11"/>
      <c r="F18" s="11"/>
      <c r="G18" s="11"/>
      <c r="H18" s="11"/>
      <c r="I18" s="11"/>
      <c r="J18" s="11"/>
      <c r="K18" s="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0" t="s">
        <v>178</v>
      </c>
      <c r="B19" s="15" t="s">
        <v>172</v>
      </c>
      <c r="C19" s="32">
        <v>0.9</v>
      </c>
      <c r="D19" s="22" t="s">
        <v>179</v>
      </c>
      <c r="E19" s="11"/>
      <c r="F19" s="11"/>
      <c r="G19" s="11"/>
      <c r="H19" s="11"/>
      <c r="I19" s="11"/>
      <c r="J19" s="11"/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0" t="s">
        <v>180</v>
      </c>
      <c r="B20" s="15" t="s">
        <v>181</v>
      </c>
      <c r="C20" s="16">
        <v>14.0</v>
      </c>
      <c r="D20" s="22" t="s">
        <v>182</v>
      </c>
      <c r="E20" s="11"/>
      <c r="F20" s="11"/>
      <c r="G20" s="11"/>
      <c r="H20" s="11"/>
      <c r="I20" s="11"/>
      <c r="J20" s="11"/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0" t="s">
        <v>183</v>
      </c>
      <c r="B21" s="15" t="s">
        <v>181</v>
      </c>
      <c r="C21" s="16">
        <v>16.0</v>
      </c>
      <c r="D21" s="22" t="s">
        <v>104</v>
      </c>
      <c r="E21" s="11"/>
      <c r="F21" s="11"/>
      <c r="G21" s="11"/>
      <c r="H21" s="11"/>
      <c r="I21" s="11"/>
      <c r="J21" s="11"/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0" t="s">
        <v>184</v>
      </c>
      <c r="B22" s="15" t="s">
        <v>177</v>
      </c>
      <c r="C22" s="16">
        <v>1.25</v>
      </c>
      <c r="D22" s="22" t="s">
        <v>104</v>
      </c>
      <c r="E22" s="11"/>
      <c r="F22" s="11"/>
      <c r="G22" s="11"/>
      <c r="H22" s="11"/>
      <c r="I22" s="11"/>
      <c r="J22" s="11"/>
      <c r="K22" s="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0" t="s">
        <v>185</v>
      </c>
      <c r="B23" s="15" t="s">
        <v>186</v>
      </c>
      <c r="C23" s="16">
        <v>6.0</v>
      </c>
      <c r="D23" s="22" t="s">
        <v>187</v>
      </c>
      <c r="E23" s="11"/>
      <c r="F23" s="11"/>
      <c r="G23" s="11"/>
      <c r="H23" s="11"/>
      <c r="I23" s="11"/>
      <c r="J23" s="11"/>
      <c r="K23" s="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0" t="s">
        <v>188</v>
      </c>
      <c r="B24" s="15" t="s">
        <v>189</v>
      </c>
      <c r="C24" s="16">
        <v>81.2</v>
      </c>
      <c r="D24" s="22" t="s">
        <v>190</v>
      </c>
      <c r="E24" s="11"/>
      <c r="F24" s="11"/>
      <c r="G24" s="11"/>
      <c r="H24" s="11"/>
      <c r="I24" s="11"/>
      <c r="J24" s="11"/>
      <c r="K24" s="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0" t="s">
        <v>191</v>
      </c>
      <c r="B25" s="15" t="s">
        <v>192</v>
      </c>
      <c r="C25" s="16">
        <v>0.01</v>
      </c>
      <c r="D25" s="22" t="s">
        <v>193</v>
      </c>
      <c r="E25" s="11"/>
      <c r="F25" s="11"/>
      <c r="G25" s="11"/>
      <c r="H25" s="11"/>
      <c r="I25" s="11"/>
      <c r="J25" s="11"/>
      <c r="K25" s="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0" t="s">
        <v>194</v>
      </c>
      <c r="B26" s="15" t="s">
        <v>192</v>
      </c>
      <c r="C26" s="16">
        <v>0.01</v>
      </c>
      <c r="D26" s="22" t="s">
        <v>195</v>
      </c>
      <c r="E26" s="11"/>
      <c r="F26" s="11"/>
      <c r="G26" s="11"/>
      <c r="H26" s="11"/>
      <c r="I26" s="11"/>
      <c r="J26" s="11"/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0" t="s">
        <v>196</v>
      </c>
      <c r="B27" s="15" t="s">
        <v>112</v>
      </c>
      <c r="C27" s="33">
        <v>1000.0</v>
      </c>
      <c r="D27" s="21" t="s">
        <v>197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0" t="s">
        <v>198</v>
      </c>
      <c r="B28" s="15" t="s">
        <v>155</v>
      </c>
      <c r="C28" s="33">
        <v>2000.0</v>
      </c>
      <c r="D28" s="21" t="s">
        <v>199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9" t="s">
        <v>200</v>
      </c>
      <c r="B29" s="11"/>
      <c r="C29" s="11"/>
      <c r="D29" s="11"/>
      <c r="E29" s="11"/>
      <c r="F29" s="11"/>
      <c r="G29" s="11"/>
      <c r="H29" s="11"/>
      <c r="I29" s="11"/>
      <c r="J29" s="11"/>
      <c r="K29" s="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4" t="s">
        <v>201</v>
      </c>
      <c r="B30" s="4" t="s">
        <v>17</v>
      </c>
      <c r="C30" s="4" t="s">
        <v>24</v>
      </c>
      <c r="D30" s="4" t="s">
        <v>25</v>
      </c>
      <c r="E30" s="4" t="s">
        <v>26</v>
      </c>
      <c r="F30" s="4" t="s">
        <v>27</v>
      </c>
      <c r="G30" s="4" t="s">
        <v>28</v>
      </c>
      <c r="H30" s="4" t="s">
        <v>29</v>
      </c>
      <c r="I30" s="4" t="s">
        <v>30</v>
      </c>
      <c r="J30" s="4" t="s">
        <v>33</v>
      </c>
      <c r="K30" s="4" t="s">
        <v>19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0" t="s">
        <v>202</v>
      </c>
      <c r="B31" s="15" t="s">
        <v>177</v>
      </c>
      <c r="C31" s="19" t="s">
        <v>203</v>
      </c>
      <c r="D31" s="19" t="s">
        <v>204</v>
      </c>
      <c r="E31" s="19" t="s">
        <v>204</v>
      </c>
      <c r="F31" s="19" t="s">
        <v>204</v>
      </c>
      <c r="G31" s="19" t="s">
        <v>205</v>
      </c>
      <c r="H31" s="19" t="s">
        <v>205</v>
      </c>
      <c r="I31" s="19" t="s">
        <v>205</v>
      </c>
      <c r="J31" s="19" t="s">
        <v>205</v>
      </c>
      <c r="K31" s="21" t="s">
        <v>206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0" t="s">
        <v>207</v>
      </c>
      <c r="B32" s="15" t="s">
        <v>112</v>
      </c>
      <c r="C32" s="34">
        <v>1.25</v>
      </c>
      <c r="D32" s="34">
        <v>1.25</v>
      </c>
      <c r="E32" s="34">
        <v>1.6</v>
      </c>
      <c r="F32" s="34">
        <v>2.0</v>
      </c>
      <c r="G32" s="34">
        <v>3.2</v>
      </c>
      <c r="H32" s="34">
        <v>3.2</v>
      </c>
      <c r="I32" s="34">
        <v>4.75</v>
      </c>
      <c r="J32" s="34">
        <v>4.75</v>
      </c>
      <c r="K32" s="21" t="s">
        <v>208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0" t="s">
        <v>209</v>
      </c>
      <c r="B33" s="15" t="s">
        <v>112</v>
      </c>
      <c r="C33" s="34">
        <v>76.2</v>
      </c>
      <c r="D33" s="34">
        <v>124.0</v>
      </c>
      <c r="E33" s="34">
        <v>153.0</v>
      </c>
      <c r="F33" s="34">
        <v>181.5</v>
      </c>
      <c r="G33" s="34">
        <v>276.5</v>
      </c>
      <c r="H33" s="34">
        <v>320.0</v>
      </c>
      <c r="I33" s="34">
        <v>390.0</v>
      </c>
      <c r="J33" s="34">
        <v>390.0</v>
      </c>
      <c r="K33" s="21" t="s">
        <v>210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0" t="s">
        <v>211</v>
      </c>
      <c r="B34" s="15" t="s">
        <v>112</v>
      </c>
      <c r="C34" s="34">
        <v>0.0</v>
      </c>
      <c r="D34" s="34">
        <v>385.5</v>
      </c>
      <c r="E34" s="34">
        <v>474.5</v>
      </c>
      <c r="F34" s="34">
        <v>563.0</v>
      </c>
      <c r="G34" s="34">
        <v>858.0</v>
      </c>
      <c r="H34" s="34">
        <v>994.0</v>
      </c>
      <c r="I34" s="34">
        <v>1212.0</v>
      </c>
      <c r="J34" s="34">
        <v>1212.0</v>
      </c>
      <c r="K34" s="21" t="s">
        <v>212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0" t="s">
        <v>213</v>
      </c>
      <c r="B35" s="15" t="s">
        <v>112</v>
      </c>
      <c r="C35" s="34">
        <v>255.0</v>
      </c>
      <c r="D35" s="34">
        <v>269.5</v>
      </c>
      <c r="E35" s="34">
        <v>330.0</v>
      </c>
      <c r="F35" s="34">
        <v>495.0</v>
      </c>
      <c r="G35" s="34">
        <v>490.0</v>
      </c>
      <c r="H35" s="34">
        <v>640.0</v>
      </c>
      <c r="I35" s="34">
        <v>680.0</v>
      </c>
      <c r="J35" s="34">
        <v>900.0</v>
      </c>
      <c r="K35" s="21" t="s">
        <v>214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0" t="s">
        <v>215</v>
      </c>
      <c r="B36" s="15" t="s">
        <v>155</v>
      </c>
      <c r="C36" s="35">
        <f>$C$11*C35/1000</f>
        <v>0.5891709974</v>
      </c>
      <c r="D36" s="35">
        <f t="shared" ref="D36:J36" si="1">D34*D35*D32*$C$6/1000000000</f>
        <v>1.019442703</v>
      </c>
      <c r="E36" s="35">
        <f t="shared" si="1"/>
        <v>1.9667076</v>
      </c>
      <c r="F36" s="35">
        <f t="shared" si="1"/>
        <v>4.3753545</v>
      </c>
      <c r="G36" s="35">
        <f t="shared" si="1"/>
        <v>10.5609504</v>
      </c>
      <c r="H36" s="35">
        <f t="shared" si="1"/>
        <v>15.9803392</v>
      </c>
      <c r="I36" s="35">
        <f t="shared" si="1"/>
        <v>30.730866</v>
      </c>
      <c r="J36" s="35">
        <f t="shared" si="1"/>
        <v>40.673205</v>
      </c>
      <c r="K36" s="21" t="s">
        <v>216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0" t="s">
        <v>217</v>
      </c>
      <c r="B37" s="15" t="s">
        <v>112</v>
      </c>
      <c r="C37" s="34">
        <v>0.9</v>
      </c>
      <c r="D37" s="34">
        <v>1.25</v>
      </c>
      <c r="E37" s="34">
        <v>1.6</v>
      </c>
      <c r="F37" s="34">
        <v>2.0</v>
      </c>
      <c r="G37" s="34">
        <v>0.0</v>
      </c>
      <c r="H37" s="34">
        <v>0.0</v>
      </c>
      <c r="I37" s="34">
        <v>0.0</v>
      </c>
      <c r="J37" s="34">
        <v>0.0</v>
      </c>
      <c r="K37" s="21" t="s">
        <v>218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0" t="s">
        <v>219</v>
      </c>
      <c r="B38" s="15" t="s">
        <v>112</v>
      </c>
      <c r="C38" s="34">
        <v>108.0</v>
      </c>
      <c r="D38" s="34">
        <v>179.0</v>
      </c>
      <c r="E38" s="34">
        <v>221.0</v>
      </c>
      <c r="F38" s="34">
        <v>258.0</v>
      </c>
      <c r="G38" s="34">
        <v>0.0</v>
      </c>
      <c r="H38" s="34">
        <v>0.0</v>
      </c>
      <c r="I38" s="34">
        <v>0.0</v>
      </c>
      <c r="J38" s="34">
        <v>0.0</v>
      </c>
      <c r="K38" s="21" t="s">
        <v>220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0" t="s">
        <v>221</v>
      </c>
      <c r="B39" s="15" t="s">
        <v>112</v>
      </c>
      <c r="C39" s="34">
        <v>114.0</v>
      </c>
      <c r="D39" s="34">
        <v>200.0</v>
      </c>
      <c r="E39" s="34">
        <v>250.0</v>
      </c>
      <c r="F39" s="34">
        <v>300.0</v>
      </c>
      <c r="G39" s="34">
        <v>0.0</v>
      </c>
      <c r="H39" s="34">
        <v>0.0</v>
      </c>
      <c r="I39" s="34">
        <v>0.0</v>
      </c>
      <c r="J39" s="34">
        <v>0.0</v>
      </c>
      <c r="K39" s="21" t="s">
        <v>222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0" t="s">
        <v>223</v>
      </c>
      <c r="B40" s="15" t="s">
        <v>224</v>
      </c>
      <c r="C40" s="18">
        <v>1.0</v>
      </c>
      <c r="D40" s="18">
        <v>1.0</v>
      </c>
      <c r="E40" s="18">
        <v>1.0</v>
      </c>
      <c r="F40" s="18">
        <v>1.0</v>
      </c>
      <c r="G40" s="18">
        <v>0.0</v>
      </c>
      <c r="H40" s="18">
        <v>0.0</v>
      </c>
      <c r="I40" s="18">
        <v>0.0</v>
      </c>
      <c r="J40" s="18">
        <v>0.0</v>
      </c>
      <c r="K40" s="21" t="s">
        <v>225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0" t="s">
        <v>226</v>
      </c>
      <c r="B41" s="15" t="s">
        <v>155</v>
      </c>
      <c r="C41" s="35">
        <f t="shared" ref="C41:J41" si="2">IF(C40=0,0,C39/C40*(C38+$C$13)*C37*$C$6/1000000000)</f>
        <v>0.08940051</v>
      </c>
      <c r="D41" s="35">
        <f t="shared" si="2"/>
        <v>0.357175</v>
      </c>
      <c r="E41" s="35">
        <f t="shared" si="2"/>
        <v>0.70336</v>
      </c>
      <c r="F41" s="35">
        <f t="shared" si="2"/>
        <v>1.22931</v>
      </c>
      <c r="G41" s="35">
        <f t="shared" si="2"/>
        <v>0</v>
      </c>
      <c r="H41" s="35">
        <f t="shared" si="2"/>
        <v>0</v>
      </c>
      <c r="I41" s="35">
        <f t="shared" si="2"/>
        <v>0</v>
      </c>
      <c r="J41" s="35">
        <f t="shared" si="2"/>
        <v>0</v>
      </c>
      <c r="K41" s="21" t="s">
        <v>235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0" t="s">
        <v>241</v>
      </c>
      <c r="B42" s="15" t="s">
        <v>155</v>
      </c>
      <c r="C42" s="35">
        <f t="shared" ref="C42:J42" si="3">PI()/4*C38^2*C37*$C$6/1000000000</f>
        <v>0.06472164672</v>
      </c>
      <c r="D42" s="35">
        <f t="shared" si="3"/>
        <v>0.2469309988</v>
      </c>
      <c r="E42" s="35">
        <f t="shared" si="3"/>
        <v>0.4817969741</v>
      </c>
      <c r="F42" s="35">
        <f t="shared" si="3"/>
        <v>0.8207841206</v>
      </c>
      <c r="G42" s="35">
        <f t="shared" si="3"/>
        <v>0</v>
      </c>
      <c r="H42" s="35">
        <f t="shared" si="3"/>
        <v>0</v>
      </c>
      <c r="I42" s="35">
        <f t="shared" si="3"/>
        <v>0</v>
      </c>
      <c r="J42" s="35">
        <f t="shared" si="3"/>
        <v>0</v>
      </c>
      <c r="K42" s="21" t="s">
        <v>247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0" t="s">
        <v>248</v>
      </c>
      <c r="B43" s="15" t="s">
        <v>112</v>
      </c>
      <c r="C43" s="34">
        <v>0.9</v>
      </c>
      <c r="D43" s="34">
        <v>1.25</v>
      </c>
      <c r="E43" s="34">
        <v>1.6</v>
      </c>
      <c r="F43" s="34">
        <v>2.0</v>
      </c>
      <c r="G43" s="34">
        <v>0.0</v>
      </c>
      <c r="H43" s="34">
        <v>0.0</v>
      </c>
      <c r="I43" s="34">
        <v>0.0</v>
      </c>
      <c r="J43" s="34">
        <v>0.0</v>
      </c>
      <c r="K43" s="21" t="s">
        <v>249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0" t="s">
        <v>250</v>
      </c>
      <c r="B44" s="15" t="s">
        <v>112</v>
      </c>
      <c r="C44" s="34">
        <v>100.0</v>
      </c>
      <c r="D44" s="34">
        <v>148.0</v>
      </c>
      <c r="E44" s="34">
        <v>177.0</v>
      </c>
      <c r="F44" s="34">
        <v>205.0</v>
      </c>
      <c r="G44" s="34">
        <v>0.0</v>
      </c>
      <c r="H44" s="34">
        <v>0.0</v>
      </c>
      <c r="I44" s="34">
        <v>0.0</v>
      </c>
      <c r="J44" s="34">
        <v>0.0</v>
      </c>
      <c r="K44" s="21" t="s">
        <v>251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0" t="s">
        <v>252</v>
      </c>
      <c r="B45" s="15" t="s">
        <v>112</v>
      </c>
      <c r="C45" s="34">
        <v>106.0</v>
      </c>
      <c r="D45" s="34">
        <v>200.0</v>
      </c>
      <c r="E45" s="34">
        <v>200.0</v>
      </c>
      <c r="F45" s="34">
        <v>249.0</v>
      </c>
      <c r="G45" s="34">
        <v>0.0</v>
      </c>
      <c r="H45" s="34">
        <v>0.0</v>
      </c>
      <c r="I45" s="34">
        <v>0.0</v>
      </c>
      <c r="J45" s="34">
        <v>0.0</v>
      </c>
      <c r="K45" s="21" t="s">
        <v>253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0" t="s">
        <v>254</v>
      </c>
      <c r="B46" s="15" t="s">
        <v>224</v>
      </c>
      <c r="C46" s="18">
        <v>1.0</v>
      </c>
      <c r="D46" s="18">
        <v>1.0</v>
      </c>
      <c r="E46" s="18">
        <v>1.0</v>
      </c>
      <c r="F46" s="18">
        <v>1.0</v>
      </c>
      <c r="G46" s="18">
        <v>0.0</v>
      </c>
      <c r="H46" s="18">
        <v>0.0</v>
      </c>
      <c r="I46" s="18">
        <v>0.0</v>
      </c>
      <c r="J46" s="18">
        <v>0.0</v>
      </c>
      <c r="K46" s="21" t="s">
        <v>255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0" t="s">
        <v>256</v>
      </c>
      <c r="B47" s="15" t="s">
        <v>155</v>
      </c>
      <c r="C47" s="35">
        <f t="shared" ref="C47:J47" si="4">IF(C46=0,0,C45/C46*(C44+$C$13)*C43*$C$6/1000000000)</f>
        <v>0.07713567</v>
      </c>
      <c r="D47" s="35">
        <f t="shared" si="4"/>
        <v>0.2963375</v>
      </c>
      <c r="E47" s="35">
        <f t="shared" si="4"/>
        <v>0.45216</v>
      </c>
      <c r="F47" s="35">
        <f t="shared" si="4"/>
        <v>0.8131344</v>
      </c>
      <c r="G47" s="35">
        <f t="shared" si="4"/>
        <v>0</v>
      </c>
      <c r="H47" s="35">
        <f t="shared" si="4"/>
        <v>0</v>
      </c>
      <c r="I47" s="35">
        <f t="shared" si="4"/>
        <v>0</v>
      </c>
      <c r="J47" s="35">
        <f t="shared" si="4"/>
        <v>0</v>
      </c>
      <c r="K47" s="21" t="s">
        <v>76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0" t="s">
        <v>257</v>
      </c>
      <c r="B48" s="15" t="s">
        <v>155</v>
      </c>
      <c r="C48" s="35">
        <f t="shared" ref="C48:J48" si="5">PI()/4*C44^2*C43*$C$6/1000000000</f>
        <v>0.05548838024</v>
      </c>
      <c r="D48" s="35">
        <f t="shared" si="5"/>
        <v>0.1688079835</v>
      </c>
      <c r="E48" s="35">
        <f t="shared" si="5"/>
        <v>0.3090480826</v>
      </c>
      <c r="F48" s="35">
        <f t="shared" si="5"/>
        <v>0.5181998177</v>
      </c>
      <c r="G48" s="35">
        <f t="shared" si="5"/>
        <v>0</v>
      </c>
      <c r="H48" s="35">
        <f t="shared" si="5"/>
        <v>0</v>
      </c>
      <c r="I48" s="35">
        <f t="shared" si="5"/>
        <v>0</v>
      </c>
      <c r="J48" s="35">
        <f t="shared" si="5"/>
        <v>0</v>
      </c>
      <c r="K48" s="21" t="s">
        <v>76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0" t="s">
        <v>260</v>
      </c>
      <c r="B49" s="15" t="s">
        <v>224</v>
      </c>
      <c r="C49" s="18">
        <v>0.0</v>
      </c>
      <c r="D49" s="18">
        <v>0.0</v>
      </c>
      <c r="E49" s="18">
        <v>0.0</v>
      </c>
      <c r="F49" s="18">
        <v>0.0</v>
      </c>
      <c r="G49" s="18">
        <v>2.0</v>
      </c>
      <c r="H49" s="18">
        <v>2.0</v>
      </c>
      <c r="I49" s="18">
        <v>2.0</v>
      </c>
      <c r="J49" s="18">
        <v>2.0</v>
      </c>
      <c r="K49" s="21" t="s">
        <v>262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0" t="s">
        <v>263</v>
      </c>
      <c r="B50" s="15" t="s">
        <v>155</v>
      </c>
      <c r="C50" s="37">
        <v>0.0</v>
      </c>
      <c r="D50" s="37">
        <v>0.0</v>
      </c>
      <c r="E50" s="37">
        <v>0.0</v>
      </c>
      <c r="F50" s="37">
        <v>0.0</v>
      </c>
      <c r="G50" s="37">
        <v>2.44</v>
      </c>
      <c r="H50" s="37">
        <v>3.36</v>
      </c>
      <c r="I50" s="37">
        <v>6.64</v>
      </c>
      <c r="J50" s="37">
        <v>6.64</v>
      </c>
      <c r="K50" s="21" t="s">
        <v>269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0" t="s">
        <v>270</v>
      </c>
      <c r="B51" s="15" t="s">
        <v>112</v>
      </c>
      <c r="C51" s="34">
        <v>12.5</v>
      </c>
      <c r="D51" s="34">
        <v>39.5</v>
      </c>
      <c r="E51" s="34">
        <v>54.5</v>
      </c>
      <c r="F51" s="34">
        <v>62.5</v>
      </c>
      <c r="G51" s="34">
        <v>87.0</v>
      </c>
      <c r="H51" s="34">
        <v>105.0</v>
      </c>
      <c r="I51" s="34">
        <v>110.0</v>
      </c>
      <c r="J51" s="34">
        <v>110.0</v>
      </c>
      <c r="K51" s="21" t="s">
        <v>271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0" t="s">
        <v>272</v>
      </c>
      <c r="B52" s="15" t="s">
        <v>112</v>
      </c>
      <c r="C52" s="34">
        <v>22.0</v>
      </c>
      <c r="D52" s="34">
        <v>16.0</v>
      </c>
      <c r="E52" s="34">
        <v>21.5</v>
      </c>
      <c r="F52" s="34">
        <v>16.5</v>
      </c>
      <c r="G52" s="34">
        <v>87.0</v>
      </c>
      <c r="H52" s="34">
        <v>105.0</v>
      </c>
      <c r="I52" s="34">
        <v>110.0</v>
      </c>
      <c r="J52" s="34">
        <v>110.0</v>
      </c>
      <c r="K52" s="21" t="s">
        <v>271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0" t="s">
        <v>273</v>
      </c>
      <c r="B53" s="15" t="s">
        <v>112</v>
      </c>
      <c r="C53" s="27">
        <f t="shared" ref="C53:J53" si="6">C35+C51+C52+8</f>
        <v>297.5</v>
      </c>
      <c r="D53" s="27">
        <f t="shared" si="6"/>
        <v>333</v>
      </c>
      <c r="E53" s="27">
        <f t="shared" si="6"/>
        <v>414</v>
      </c>
      <c r="F53" s="27">
        <f t="shared" si="6"/>
        <v>582</v>
      </c>
      <c r="G53" s="27">
        <f t="shared" si="6"/>
        <v>672</v>
      </c>
      <c r="H53" s="27">
        <f t="shared" si="6"/>
        <v>858</v>
      </c>
      <c r="I53" s="27">
        <f t="shared" si="6"/>
        <v>908</v>
      </c>
      <c r="J53" s="27">
        <f t="shared" si="6"/>
        <v>1128</v>
      </c>
      <c r="K53" s="21" t="s">
        <v>274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0" t="s">
        <v>275</v>
      </c>
      <c r="B54" s="15" t="s">
        <v>155</v>
      </c>
      <c r="C54" s="37">
        <v>0.06</v>
      </c>
      <c r="D54" s="37">
        <v>0.08</v>
      </c>
      <c r="E54" s="37">
        <v>0.08</v>
      </c>
      <c r="F54" s="37">
        <v>0.08</v>
      </c>
      <c r="G54" s="37">
        <v>0.25</v>
      </c>
      <c r="H54" s="37">
        <v>0.25</v>
      </c>
      <c r="I54" s="37">
        <v>0.6</v>
      </c>
      <c r="J54" s="37">
        <v>0.6</v>
      </c>
      <c r="K54" s="21" t="s">
        <v>104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0" t="s">
        <v>276</v>
      </c>
      <c r="B55" s="15" t="s">
        <v>155</v>
      </c>
      <c r="C55" s="37">
        <v>0.0</v>
      </c>
      <c r="D55" s="37">
        <v>0.0</v>
      </c>
      <c r="E55" s="37">
        <v>0.0</v>
      </c>
      <c r="F55" s="37">
        <v>0.0</v>
      </c>
      <c r="G55" s="37">
        <v>0.0</v>
      </c>
      <c r="H55" s="37">
        <v>0.0</v>
      </c>
      <c r="I55" s="37">
        <v>1.5</v>
      </c>
      <c r="J55" s="37">
        <v>1.5</v>
      </c>
      <c r="K55" s="21" t="s">
        <v>277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0" t="s">
        <v>278</v>
      </c>
      <c r="B56" s="15" t="s">
        <v>155</v>
      </c>
      <c r="C56" s="35">
        <f t="shared" ref="C56:J56" si="7">C36+C42+C48+C49*C50+C54+C55+C67</f>
        <v>0.7843752178</v>
      </c>
      <c r="D56" s="35">
        <f t="shared" si="7"/>
        <v>1.545579824</v>
      </c>
      <c r="E56" s="35">
        <f t="shared" si="7"/>
        <v>2.874301769</v>
      </c>
      <c r="F56" s="35">
        <f t="shared" si="7"/>
        <v>5.840090736</v>
      </c>
      <c r="G56" s="35">
        <f t="shared" si="7"/>
        <v>15.9935482</v>
      </c>
      <c r="H56" s="35">
        <f t="shared" si="7"/>
        <v>23.30093662</v>
      </c>
      <c r="I56" s="35">
        <f t="shared" si="7"/>
        <v>46.86176284</v>
      </c>
      <c r="J56" s="35">
        <f t="shared" si="7"/>
        <v>56.84631739</v>
      </c>
      <c r="K56" s="21" t="s">
        <v>279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0" t="s">
        <v>280</v>
      </c>
      <c r="B57" s="15" t="s">
        <v>155</v>
      </c>
      <c r="C57" s="37">
        <v>0.76</v>
      </c>
      <c r="D57" s="37">
        <v>1.48</v>
      </c>
      <c r="E57" s="37">
        <v>2.78</v>
      </c>
      <c r="F57" s="37">
        <v>5.48</v>
      </c>
      <c r="G57" s="37">
        <v>15.92</v>
      </c>
      <c r="H57" s="37">
        <v>23.3</v>
      </c>
      <c r="I57" s="37">
        <v>0.0</v>
      </c>
      <c r="J57" s="37">
        <v>0.0</v>
      </c>
      <c r="K57" s="21" t="s">
        <v>281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0" t="s">
        <v>282</v>
      </c>
      <c r="B58" s="15" t="s">
        <v>155</v>
      </c>
      <c r="C58" s="35">
        <f t="shared" ref="C58:J58" si="8">IF(C57&gt;0,C57,C56)</f>
        <v>0.76</v>
      </c>
      <c r="D58" s="35">
        <f t="shared" si="8"/>
        <v>1.48</v>
      </c>
      <c r="E58" s="35">
        <f t="shared" si="8"/>
        <v>2.78</v>
      </c>
      <c r="F58" s="35">
        <f t="shared" si="8"/>
        <v>5.48</v>
      </c>
      <c r="G58" s="35">
        <f t="shared" si="8"/>
        <v>15.92</v>
      </c>
      <c r="H58" s="35">
        <f t="shared" si="8"/>
        <v>23.3</v>
      </c>
      <c r="I58" s="35">
        <f t="shared" si="8"/>
        <v>46.86176284</v>
      </c>
      <c r="J58" s="35">
        <f t="shared" si="8"/>
        <v>56.84631739</v>
      </c>
      <c r="K58" s="21" t="s">
        <v>283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0" t="s">
        <v>284</v>
      </c>
      <c r="B59" s="15" t="s">
        <v>285</v>
      </c>
      <c r="C59" s="37">
        <v>0.0</v>
      </c>
      <c r="D59" s="35">
        <f t="shared" ref="D59:J59" si="9">D35/1000</f>
        <v>0.2695</v>
      </c>
      <c r="E59" s="35">
        <f t="shared" si="9"/>
        <v>0.33</v>
      </c>
      <c r="F59" s="35">
        <f t="shared" si="9"/>
        <v>0.495</v>
      </c>
      <c r="G59" s="35">
        <f t="shared" si="9"/>
        <v>0.49</v>
      </c>
      <c r="H59" s="35">
        <f t="shared" si="9"/>
        <v>0.64</v>
      </c>
      <c r="I59" s="35">
        <f t="shared" si="9"/>
        <v>0.68</v>
      </c>
      <c r="J59" s="35">
        <f t="shared" si="9"/>
        <v>0.9</v>
      </c>
      <c r="K59" s="21" t="s">
        <v>286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" t="s">
        <v>287</v>
      </c>
      <c r="B60" s="15" t="s">
        <v>285</v>
      </c>
      <c r="C60" s="35">
        <f t="shared" ref="C60:J60" si="10">2*PI()*C33/1000</f>
        <v>0.4787787204</v>
      </c>
      <c r="D60" s="35">
        <f t="shared" si="10"/>
        <v>0.7791149781</v>
      </c>
      <c r="E60" s="35">
        <f t="shared" si="10"/>
        <v>0.961327352</v>
      </c>
      <c r="F60" s="35">
        <f t="shared" si="10"/>
        <v>1.140398133</v>
      </c>
      <c r="G60" s="35">
        <f t="shared" si="10"/>
        <v>1.737300737</v>
      </c>
      <c r="H60" s="35">
        <f t="shared" si="10"/>
        <v>2.010619298</v>
      </c>
      <c r="I60" s="35">
        <f t="shared" si="10"/>
        <v>2.45044227</v>
      </c>
      <c r="J60" s="35">
        <f t="shared" si="10"/>
        <v>2.45044227</v>
      </c>
      <c r="K60" s="21" t="s">
        <v>288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0" t="s">
        <v>289</v>
      </c>
      <c r="B61" s="15" t="s">
        <v>112</v>
      </c>
      <c r="C61" s="34">
        <v>30.0</v>
      </c>
      <c r="D61" s="34">
        <v>36.0</v>
      </c>
      <c r="E61" s="34">
        <v>36.0</v>
      </c>
      <c r="F61" s="34">
        <v>36.0</v>
      </c>
      <c r="G61" s="34">
        <v>45.0</v>
      </c>
      <c r="H61" s="34">
        <v>45.0</v>
      </c>
      <c r="I61" s="34">
        <v>90.0</v>
      </c>
      <c r="J61" s="34">
        <v>90.0</v>
      </c>
      <c r="K61" s="21" t="s">
        <v>290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0" t="s">
        <v>291</v>
      </c>
      <c r="B62" s="15" t="s">
        <v>285</v>
      </c>
      <c r="C62" s="35">
        <f t="shared" ref="C62:J62" si="11">PI()*C61/1000</f>
        <v>0.09424777961</v>
      </c>
      <c r="D62" s="35">
        <f t="shared" si="11"/>
        <v>0.1130973355</v>
      </c>
      <c r="E62" s="35">
        <f t="shared" si="11"/>
        <v>0.1130973355</v>
      </c>
      <c r="F62" s="35">
        <f t="shared" si="11"/>
        <v>0.1130973355</v>
      </c>
      <c r="G62" s="35">
        <f t="shared" si="11"/>
        <v>0.1413716694</v>
      </c>
      <c r="H62" s="35">
        <f t="shared" si="11"/>
        <v>0.1413716694</v>
      </c>
      <c r="I62" s="35">
        <f t="shared" si="11"/>
        <v>0.2827433388</v>
      </c>
      <c r="J62" s="35">
        <f t="shared" si="11"/>
        <v>0.2827433388</v>
      </c>
      <c r="K62" s="21" t="s">
        <v>292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0" t="s">
        <v>293</v>
      </c>
      <c r="B63" s="15" t="s">
        <v>285</v>
      </c>
      <c r="C63" s="37">
        <v>0.0</v>
      </c>
      <c r="D63" s="37">
        <v>0.0</v>
      </c>
      <c r="E63" s="37">
        <v>0.0</v>
      </c>
      <c r="F63" s="37">
        <v>0.0</v>
      </c>
      <c r="G63" s="37">
        <v>0.3</v>
      </c>
      <c r="H63" s="37">
        <v>0.3</v>
      </c>
      <c r="I63" s="37">
        <v>0.5</v>
      </c>
      <c r="J63" s="37">
        <v>0.5</v>
      </c>
      <c r="K63" s="21" t="s">
        <v>104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0" t="s">
        <v>294</v>
      </c>
      <c r="B64" s="15" t="s">
        <v>285</v>
      </c>
      <c r="C64" s="35">
        <f t="shared" ref="C64:J64" si="12">C59+C60+C62+C63</f>
        <v>0.5730265</v>
      </c>
      <c r="D64" s="35">
        <f t="shared" si="12"/>
        <v>1.161712314</v>
      </c>
      <c r="E64" s="35">
        <f t="shared" si="12"/>
        <v>1.404424688</v>
      </c>
      <c r="F64" s="35">
        <f t="shared" si="12"/>
        <v>1.748495469</v>
      </c>
      <c r="G64" s="35">
        <f t="shared" si="12"/>
        <v>2.668672407</v>
      </c>
      <c r="H64" s="35">
        <f t="shared" si="12"/>
        <v>3.091990968</v>
      </c>
      <c r="I64" s="35">
        <f t="shared" si="12"/>
        <v>3.913185609</v>
      </c>
      <c r="J64" s="35">
        <f t="shared" si="12"/>
        <v>4.133185609</v>
      </c>
      <c r="K64" s="21" t="s">
        <v>76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0" t="s">
        <v>295</v>
      </c>
      <c r="B65" s="15" t="s">
        <v>296</v>
      </c>
      <c r="C65" s="18">
        <v>3.0</v>
      </c>
      <c r="D65" s="18">
        <v>3.0</v>
      </c>
      <c r="E65" s="18">
        <v>3.0</v>
      </c>
      <c r="F65" s="18">
        <v>3.0</v>
      </c>
      <c r="G65" s="18">
        <v>13.0</v>
      </c>
      <c r="H65" s="18">
        <v>13.0</v>
      </c>
      <c r="I65" s="18">
        <v>22.0</v>
      </c>
      <c r="J65" s="18">
        <v>22.0</v>
      </c>
      <c r="K65" s="21" t="s">
        <v>297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0" t="s">
        <v>298</v>
      </c>
      <c r="B66" s="15" t="s">
        <v>299</v>
      </c>
      <c r="C66" s="27">
        <f t="shared" ref="C66:J66" si="13">C65*$C$6/1000/$C$19</f>
        <v>26.16666667</v>
      </c>
      <c r="D66" s="27">
        <f t="shared" si="13"/>
        <v>26.16666667</v>
      </c>
      <c r="E66" s="27">
        <f t="shared" si="13"/>
        <v>26.16666667</v>
      </c>
      <c r="F66" s="27">
        <f t="shared" si="13"/>
        <v>26.16666667</v>
      </c>
      <c r="G66" s="27">
        <f t="shared" si="13"/>
        <v>113.3888889</v>
      </c>
      <c r="H66" s="27">
        <f t="shared" si="13"/>
        <v>113.3888889</v>
      </c>
      <c r="I66" s="27">
        <f t="shared" si="13"/>
        <v>191.8888889</v>
      </c>
      <c r="J66" s="27">
        <f t="shared" si="13"/>
        <v>191.8888889</v>
      </c>
      <c r="K66" s="21" t="s">
        <v>300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0" t="s">
        <v>301</v>
      </c>
      <c r="B67" s="15" t="s">
        <v>155</v>
      </c>
      <c r="C67" s="35">
        <f t="shared" ref="C67:J67" si="14">C64*C66/1000</f>
        <v>0.01499419342</v>
      </c>
      <c r="D67" s="35">
        <f t="shared" si="14"/>
        <v>0.03039813887</v>
      </c>
      <c r="E67" s="35">
        <f t="shared" si="14"/>
        <v>0.03674911266</v>
      </c>
      <c r="F67" s="35">
        <f t="shared" si="14"/>
        <v>0.0457522981</v>
      </c>
      <c r="G67" s="35">
        <f t="shared" si="14"/>
        <v>0.302597799</v>
      </c>
      <c r="H67" s="35">
        <f t="shared" si="14"/>
        <v>0.3505974203</v>
      </c>
      <c r="I67" s="35">
        <f t="shared" si="14"/>
        <v>0.7508968385</v>
      </c>
      <c r="J67" s="35">
        <f t="shared" si="14"/>
        <v>0.793112394</v>
      </c>
      <c r="K67" s="21" t="s">
        <v>76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0" t="s">
        <v>302</v>
      </c>
      <c r="B68" s="15" t="s">
        <v>112</v>
      </c>
      <c r="C68" s="34">
        <v>0.9</v>
      </c>
      <c r="D68" s="34">
        <v>0.9</v>
      </c>
      <c r="E68" s="34">
        <v>0.9</v>
      </c>
      <c r="F68" s="34">
        <v>0.9</v>
      </c>
      <c r="G68" s="34">
        <v>1.2</v>
      </c>
      <c r="H68" s="34">
        <v>1.2</v>
      </c>
      <c r="I68" s="34">
        <v>1.2</v>
      </c>
      <c r="J68" s="34">
        <v>1.2</v>
      </c>
      <c r="K68" s="21" t="s">
        <v>303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0" t="s">
        <v>304</v>
      </c>
      <c r="B69" s="15" t="s">
        <v>305</v>
      </c>
      <c r="C69" s="38">
        <v>0.6</v>
      </c>
      <c r="D69" s="38">
        <v>0.6</v>
      </c>
      <c r="E69" s="38">
        <v>0.6</v>
      </c>
      <c r="F69" s="38">
        <v>0.6</v>
      </c>
      <c r="G69" s="38">
        <v>0.35</v>
      </c>
      <c r="H69" s="38">
        <v>0.35</v>
      </c>
      <c r="I69" s="38">
        <v>0.35</v>
      </c>
      <c r="J69" s="38">
        <v>0.35</v>
      </c>
      <c r="K69" s="21" t="s">
        <v>306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0" t="s">
        <v>307</v>
      </c>
      <c r="B70" s="15" t="s">
        <v>308</v>
      </c>
      <c r="C70" s="39">
        <f t="shared" ref="C70:J70" si="15">C64/C69</f>
        <v>0.9550441667</v>
      </c>
      <c r="D70" s="39">
        <f t="shared" si="15"/>
        <v>1.936187189</v>
      </c>
      <c r="E70" s="39">
        <f t="shared" si="15"/>
        <v>2.340707813</v>
      </c>
      <c r="F70" s="39">
        <f t="shared" si="15"/>
        <v>2.914159115</v>
      </c>
      <c r="G70" s="39">
        <f t="shared" si="15"/>
        <v>7.624778305</v>
      </c>
      <c r="H70" s="39">
        <f t="shared" si="15"/>
        <v>8.834259908</v>
      </c>
      <c r="I70" s="39">
        <f t="shared" si="15"/>
        <v>11.18053031</v>
      </c>
      <c r="J70" s="39">
        <f t="shared" si="15"/>
        <v>11.80910174</v>
      </c>
      <c r="K70" s="21" t="s">
        <v>76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0" t="s">
        <v>309</v>
      </c>
      <c r="B71" s="15" t="s">
        <v>310</v>
      </c>
      <c r="C71" s="40">
        <f t="shared" ref="C71:J71" si="16">C70*IF(C32&lt;3,$C$20,$C$21)*$C$22/1000</f>
        <v>0.01671327292</v>
      </c>
      <c r="D71" s="40">
        <f t="shared" si="16"/>
        <v>0.03388327581</v>
      </c>
      <c r="E71" s="40">
        <f t="shared" si="16"/>
        <v>0.04096238672</v>
      </c>
      <c r="F71" s="40">
        <f t="shared" si="16"/>
        <v>0.05099778451</v>
      </c>
      <c r="G71" s="40">
        <f t="shared" si="16"/>
        <v>0.1524955661</v>
      </c>
      <c r="H71" s="40">
        <f t="shared" si="16"/>
        <v>0.1766851982</v>
      </c>
      <c r="I71" s="40">
        <f t="shared" si="16"/>
        <v>0.2236106062</v>
      </c>
      <c r="J71" s="40">
        <f t="shared" si="16"/>
        <v>0.2361820348</v>
      </c>
      <c r="K71" s="21" t="s">
        <v>311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0" t="s">
        <v>312</v>
      </c>
      <c r="B72" s="15" t="s">
        <v>97</v>
      </c>
      <c r="C72" s="35">
        <f t="shared" ref="C72:J72" si="17">PI()*C33*C53/1000000+2*PI()/4*C33^2/1000000*$C$18</f>
        <v>0.08170717948</v>
      </c>
      <c r="D72" s="35">
        <f t="shared" si="17"/>
        <v>0.1574980928</v>
      </c>
      <c r="E72" s="35">
        <f t="shared" si="17"/>
        <v>0.2412811488</v>
      </c>
      <c r="F72" s="35">
        <f t="shared" si="17"/>
        <v>0.3913632569</v>
      </c>
      <c r="G72" s="35">
        <f t="shared" si="17"/>
        <v>0.7218375983</v>
      </c>
      <c r="H72" s="35">
        <f t="shared" si="17"/>
        <v>1.047532654</v>
      </c>
      <c r="I72" s="35">
        <f t="shared" si="17"/>
        <v>1.38725663</v>
      </c>
      <c r="J72" s="35">
        <f t="shared" si="17"/>
        <v>1.65680528</v>
      </c>
      <c r="K72" s="21" t="s">
        <v>313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0" t="s">
        <v>314</v>
      </c>
      <c r="B73" s="15" t="s">
        <v>177</v>
      </c>
      <c r="C73" s="18">
        <v>1.0</v>
      </c>
      <c r="D73" s="18">
        <v>1.0</v>
      </c>
      <c r="E73" s="18">
        <v>1.0</v>
      </c>
      <c r="F73" s="18">
        <v>1.0</v>
      </c>
      <c r="G73" s="18">
        <v>0.0</v>
      </c>
      <c r="H73" s="18">
        <v>0.0</v>
      </c>
      <c r="I73" s="18">
        <v>0.0</v>
      </c>
      <c r="J73" s="18">
        <v>0.0</v>
      </c>
      <c r="K73" s="21" t="s">
        <v>315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0" t="s">
        <v>316</v>
      </c>
      <c r="B74" s="15" t="s">
        <v>155</v>
      </c>
      <c r="C74" s="35">
        <f t="shared" ref="C74:J74" si="18">C72*C73*$C$17</f>
        <v>0.01143900513</v>
      </c>
      <c r="D74" s="35">
        <f t="shared" si="18"/>
        <v>0.02204973299</v>
      </c>
      <c r="E74" s="35">
        <f t="shared" si="18"/>
        <v>0.03377936083</v>
      </c>
      <c r="F74" s="35">
        <f t="shared" si="18"/>
        <v>0.05479085596</v>
      </c>
      <c r="G74" s="35">
        <f t="shared" si="18"/>
        <v>0</v>
      </c>
      <c r="H74" s="35">
        <f t="shared" si="18"/>
        <v>0</v>
      </c>
      <c r="I74" s="35">
        <f t="shared" si="18"/>
        <v>0</v>
      </c>
      <c r="J74" s="35">
        <f t="shared" si="18"/>
        <v>0</v>
      </c>
      <c r="K74" s="21" t="s">
        <v>76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0" t="s">
        <v>317</v>
      </c>
      <c r="B75" s="15" t="s">
        <v>177</v>
      </c>
      <c r="C75" s="18">
        <v>0.0</v>
      </c>
      <c r="D75" s="18">
        <v>1.0</v>
      </c>
      <c r="E75" s="18">
        <v>1.0</v>
      </c>
      <c r="F75" s="18">
        <v>1.0</v>
      </c>
      <c r="G75" s="18">
        <v>0.0</v>
      </c>
      <c r="H75" s="18">
        <v>0.0</v>
      </c>
      <c r="I75" s="18">
        <v>0.0</v>
      </c>
      <c r="J75" s="18">
        <v>0.0</v>
      </c>
      <c r="K75" s="21" t="s">
        <v>318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0" t="s">
        <v>319</v>
      </c>
      <c r="B76" s="15" t="s">
        <v>155</v>
      </c>
      <c r="C76" s="35">
        <f t="shared" ref="C76:J76" si="19">C75*$C$23/$C$24</f>
        <v>0</v>
      </c>
      <c r="D76" s="35">
        <f t="shared" si="19"/>
        <v>0.07389162562</v>
      </c>
      <c r="E76" s="35">
        <f t="shared" si="19"/>
        <v>0.07389162562</v>
      </c>
      <c r="F76" s="35">
        <f t="shared" si="19"/>
        <v>0.07389162562</v>
      </c>
      <c r="G76" s="35">
        <f t="shared" si="19"/>
        <v>0</v>
      </c>
      <c r="H76" s="35">
        <f t="shared" si="19"/>
        <v>0</v>
      </c>
      <c r="I76" s="35">
        <f t="shared" si="19"/>
        <v>0</v>
      </c>
      <c r="J76" s="35">
        <f t="shared" si="19"/>
        <v>0</v>
      </c>
      <c r="K76" s="21" t="s">
        <v>320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0" t="s">
        <v>321</v>
      </c>
      <c r="B77" s="15" t="s">
        <v>322</v>
      </c>
      <c r="C77" s="40">
        <f t="shared" ref="C77:J77" si="20">C72*C73*$C$25</f>
        <v>0.0008170717948</v>
      </c>
      <c r="D77" s="40">
        <f t="shared" si="20"/>
        <v>0.001574980928</v>
      </c>
      <c r="E77" s="40">
        <f t="shared" si="20"/>
        <v>0.002412811488</v>
      </c>
      <c r="F77" s="40">
        <f t="shared" si="20"/>
        <v>0.003913632569</v>
      </c>
      <c r="G77" s="40">
        <f t="shared" si="20"/>
        <v>0</v>
      </c>
      <c r="H77" s="40">
        <f t="shared" si="20"/>
        <v>0</v>
      </c>
      <c r="I77" s="40">
        <f t="shared" si="20"/>
        <v>0</v>
      </c>
      <c r="J77" s="40">
        <f t="shared" si="20"/>
        <v>0</v>
      </c>
      <c r="K77" s="21" t="s">
        <v>76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0" t="s">
        <v>323</v>
      </c>
      <c r="B78" s="15" t="s">
        <v>322</v>
      </c>
      <c r="C78" s="40">
        <f t="shared" ref="C78:J78" si="21">C72*C73*$C$26</f>
        <v>0.0008170717948</v>
      </c>
      <c r="D78" s="40">
        <f t="shared" si="21"/>
        <v>0.001574980928</v>
      </c>
      <c r="E78" s="40">
        <f t="shared" si="21"/>
        <v>0.002412811488</v>
      </c>
      <c r="F78" s="40">
        <f t="shared" si="21"/>
        <v>0.003913632569</v>
      </c>
      <c r="G78" s="40">
        <f t="shared" si="21"/>
        <v>0</v>
      </c>
      <c r="H78" s="40">
        <f t="shared" si="21"/>
        <v>0</v>
      </c>
      <c r="I78" s="40">
        <f t="shared" si="21"/>
        <v>0</v>
      </c>
      <c r="J78" s="40">
        <f t="shared" si="21"/>
        <v>0</v>
      </c>
      <c r="K78" s="21" t="s">
        <v>76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0" t="s">
        <v>324</v>
      </c>
      <c r="B79" s="15" t="s">
        <v>112</v>
      </c>
      <c r="C79" s="18">
        <v>0.0</v>
      </c>
      <c r="D79" s="18">
        <v>1220.0</v>
      </c>
      <c r="E79" s="18">
        <v>1000.0</v>
      </c>
      <c r="F79" s="18">
        <v>1500.0</v>
      </c>
      <c r="G79" s="18">
        <v>1500.0</v>
      </c>
      <c r="H79" s="18">
        <v>1500.0</v>
      </c>
      <c r="I79" s="18">
        <v>1500.0</v>
      </c>
      <c r="J79" s="18">
        <v>1500.0</v>
      </c>
      <c r="K79" s="21" t="s">
        <v>325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0" t="s">
        <v>326</v>
      </c>
      <c r="B80" s="15" t="s">
        <v>112</v>
      </c>
      <c r="C80" s="18">
        <v>0.0</v>
      </c>
      <c r="D80" s="18">
        <v>2440.0</v>
      </c>
      <c r="E80" s="18">
        <v>2000.0</v>
      </c>
      <c r="F80" s="18">
        <v>3000.0</v>
      </c>
      <c r="G80" s="18">
        <v>3000.0</v>
      </c>
      <c r="H80" s="18">
        <v>3000.0</v>
      </c>
      <c r="I80" s="18">
        <v>3000.0</v>
      </c>
      <c r="J80" s="18">
        <v>3000.0</v>
      </c>
      <c r="K80" s="21" t="s">
        <v>327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0" t="s">
        <v>328</v>
      </c>
      <c r="B81" s="15" t="s">
        <v>224</v>
      </c>
      <c r="C81" s="19">
        <f>FLOOR($C$9/(C35+$C$10),1)</f>
        <v>23</v>
      </c>
      <c r="D81" s="18">
        <v>0.0</v>
      </c>
      <c r="E81" s="18">
        <v>0.0</v>
      </c>
      <c r="F81" s="18">
        <v>0.0</v>
      </c>
      <c r="G81" s="18">
        <v>0.0</v>
      </c>
      <c r="H81" s="18">
        <v>0.0</v>
      </c>
      <c r="I81" s="18">
        <v>0.0</v>
      </c>
      <c r="J81" s="18">
        <v>0.0</v>
      </c>
      <c r="K81" s="21" t="s">
        <v>329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0" t="s">
        <v>330</v>
      </c>
      <c r="B82" s="15" t="s">
        <v>331</v>
      </c>
      <c r="C82" s="40">
        <f>1/C81</f>
        <v>0.04347826087</v>
      </c>
      <c r="D82" s="41">
        <v>0.0</v>
      </c>
      <c r="E82" s="41">
        <v>0.0</v>
      </c>
      <c r="F82" s="41">
        <v>0.0</v>
      </c>
      <c r="G82" s="41">
        <v>0.0</v>
      </c>
      <c r="H82" s="41">
        <v>0.0</v>
      </c>
      <c r="I82" s="41">
        <v>0.0</v>
      </c>
      <c r="J82" s="41">
        <v>0.0</v>
      </c>
      <c r="K82" s="21" t="s">
        <v>76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0" t="s">
        <v>332</v>
      </c>
      <c r="B83" s="15" t="s">
        <v>155</v>
      </c>
      <c r="C83" s="35">
        <f>$C$12/C81</f>
        <v>0.6027324782</v>
      </c>
      <c r="D83" s="37">
        <v>0.0</v>
      </c>
      <c r="E83" s="37">
        <v>0.0</v>
      </c>
      <c r="F83" s="37">
        <v>0.0</v>
      </c>
      <c r="G83" s="37">
        <v>0.0</v>
      </c>
      <c r="H83" s="37">
        <v>0.0</v>
      </c>
      <c r="I83" s="37">
        <v>0.0</v>
      </c>
      <c r="J83" s="37">
        <v>0.0</v>
      </c>
      <c r="K83" s="21" t="s">
        <v>76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0" t="s">
        <v>333</v>
      </c>
      <c r="B84" s="15" t="s">
        <v>155</v>
      </c>
      <c r="C84" s="27">
        <v>0.0</v>
      </c>
      <c r="D84" s="27">
        <f t="shared" ref="D84:J84" si="22">IF(D79=0,0,D79*D80*D32*$C$6/1000000000)</f>
        <v>29.20985</v>
      </c>
      <c r="E84" s="27">
        <f t="shared" si="22"/>
        <v>25.12</v>
      </c>
      <c r="F84" s="27">
        <f t="shared" si="22"/>
        <v>70.65</v>
      </c>
      <c r="G84" s="27">
        <f t="shared" si="22"/>
        <v>113.04</v>
      </c>
      <c r="H84" s="27">
        <f t="shared" si="22"/>
        <v>113.04</v>
      </c>
      <c r="I84" s="27">
        <f t="shared" si="22"/>
        <v>167.79375</v>
      </c>
      <c r="J84" s="27">
        <f t="shared" si="22"/>
        <v>167.79375</v>
      </c>
      <c r="K84" s="21" t="s">
        <v>334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0" t="s">
        <v>335</v>
      </c>
      <c r="B85" s="15" t="s">
        <v>224</v>
      </c>
      <c r="C85" s="19">
        <v>0.0</v>
      </c>
      <c r="D85" s="18">
        <v>27.0</v>
      </c>
      <c r="E85" s="18">
        <v>12.0</v>
      </c>
      <c r="F85" s="18">
        <v>15.0</v>
      </c>
      <c r="G85" s="18">
        <v>9.0</v>
      </c>
      <c r="H85" s="18">
        <v>6.0</v>
      </c>
      <c r="I85" s="18">
        <v>3.0</v>
      </c>
      <c r="J85" s="18">
        <v>3.0</v>
      </c>
      <c r="K85" s="21" t="s">
        <v>336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0" t="s">
        <v>337</v>
      </c>
      <c r="B86" s="15" t="s">
        <v>224</v>
      </c>
      <c r="C86" s="19">
        <v>0.0</v>
      </c>
      <c r="D86" s="18">
        <v>0.0</v>
      </c>
      <c r="E86" s="18">
        <v>0.0</v>
      </c>
      <c r="F86" s="18">
        <v>0.0</v>
      </c>
      <c r="G86" s="18">
        <v>0.0</v>
      </c>
      <c r="H86" s="18">
        <v>0.0</v>
      </c>
      <c r="I86" s="18">
        <v>1.0</v>
      </c>
      <c r="J86" s="18">
        <v>0.0</v>
      </c>
      <c r="K86" s="21" t="s">
        <v>338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0" t="s">
        <v>339</v>
      </c>
      <c r="B87" s="15" t="s">
        <v>340</v>
      </c>
      <c r="C87" s="40">
        <v>0.0</v>
      </c>
      <c r="D87" s="40">
        <f t="shared" ref="D87:H87" si="23">IF(D85=0,0,1/D85)</f>
        <v>0.03703703704</v>
      </c>
      <c r="E87" s="40">
        <f t="shared" si="23"/>
        <v>0.08333333333</v>
      </c>
      <c r="F87" s="40">
        <f t="shared" si="23"/>
        <v>0.06666666667</v>
      </c>
      <c r="G87" s="40">
        <f t="shared" si="23"/>
        <v>0.1111111111</v>
      </c>
      <c r="H87" s="40">
        <f t="shared" si="23"/>
        <v>0.1666666667</v>
      </c>
      <c r="I87" s="40">
        <f>IF(I85=0,0,1/I85-I86/(I85*J85))</f>
        <v>0.2222222222</v>
      </c>
      <c r="J87" s="40">
        <f>IF(J85=0,0,1/J85)</f>
        <v>0.3333333333</v>
      </c>
      <c r="K87" s="21" t="s">
        <v>341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0" t="s">
        <v>342</v>
      </c>
      <c r="B88" s="15" t="s">
        <v>172</v>
      </c>
      <c r="C88" s="42">
        <v>0.0</v>
      </c>
      <c r="D88" s="42">
        <f t="shared" ref="D88:H88" si="24">IF(D84=0,0,D85*D36/D84)</f>
        <v>0.9423175054</v>
      </c>
      <c r="E88" s="42">
        <f t="shared" si="24"/>
        <v>0.93951</v>
      </c>
      <c r="F88" s="42">
        <f t="shared" si="24"/>
        <v>0.92895</v>
      </c>
      <c r="G88" s="42">
        <f t="shared" si="24"/>
        <v>0.84084</v>
      </c>
      <c r="H88" s="42">
        <f t="shared" si="24"/>
        <v>0.8482133333</v>
      </c>
      <c r="I88" s="42">
        <f>IF(I84=0,0,(I85*I36+I86*J36)/I84)</f>
        <v>0.79184</v>
      </c>
      <c r="J88" s="42">
        <f>IF(J84=0,0,J85*J36/J84)</f>
        <v>0.7272</v>
      </c>
      <c r="K88" s="21" t="s">
        <v>343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0" t="s">
        <v>344</v>
      </c>
      <c r="B89" s="15" t="s">
        <v>155</v>
      </c>
      <c r="C89" s="35">
        <v>0.0</v>
      </c>
      <c r="D89" s="35">
        <f t="shared" ref="D89:J89" si="25">D87*D84</f>
        <v>1.081846296</v>
      </c>
      <c r="E89" s="35">
        <f t="shared" si="25"/>
        <v>2.093333333</v>
      </c>
      <c r="F89" s="35">
        <f t="shared" si="25"/>
        <v>4.71</v>
      </c>
      <c r="G89" s="35">
        <f t="shared" si="25"/>
        <v>12.56</v>
      </c>
      <c r="H89" s="35">
        <f t="shared" si="25"/>
        <v>18.84</v>
      </c>
      <c r="I89" s="35">
        <f t="shared" si="25"/>
        <v>37.2875</v>
      </c>
      <c r="J89" s="35">
        <f t="shared" si="25"/>
        <v>55.93125</v>
      </c>
      <c r="K89" s="21" t="s">
        <v>345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0" t="s">
        <v>346</v>
      </c>
      <c r="B90" s="15" t="s">
        <v>155</v>
      </c>
      <c r="C90" s="35">
        <v>0.0</v>
      </c>
      <c r="D90" s="35">
        <f t="shared" ref="D90:J90" si="26">IF(D89=0,0,D89-D36)</f>
        <v>0.06240359317</v>
      </c>
      <c r="E90" s="35">
        <f t="shared" si="26"/>
        <v>0.1266257333</v>
      </c>
      <c r="F90" s="35">
        <f t="shared" si="26"/>
        <v>0.3346455</v>
      </c>
      <c r="G90" s="35">
        <f t="shared" si="26"/>
        <v>1.9990496</v>
      </c>
      <c r="H90" s="35">
        <f t="shared" si="26"/>
        <v>2.8596608</v>
      </c>
      <c r="I90" s="35">
        <f t="shared" si="26"/>
        <v>6.556634</v>
      </c>
      <c r="J90" s="35">
        <f t="shared" si="26"/>
        <v>15.258045</v>
      </c>
      <c r="K90" s="21" t="s">
        <v>347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0" t="s">
        <v>348</v>
      </c>
      <c r="B91" s="15" t="s">
        <v>112</v>
      </c>
      <c r="C91" s="27">
        <v>0.0</v>
      </c>
      <c r="D91" s="34">
        <v>385.5</v>
      </c>
      <c r="E91" s="34">
        <v>330.0</v>
      </c>
      <c r="F91" s="34">
        <v>495.0</v>
      </c>
      <c r="G91" s="34">
        <v>490.0</v>
      </c>
      <c r="H91" s="34">
        <v>640.0</v>
      </c>
      <c r="I91" s="34">
        <v>1212.0</v>
      </c>
      <c r="J91" s="34">
        <v>1212.0</v>
      </c>
      <c r="K91" s="21" t="s">
        <v>349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0" t="s">
        <v>350</v>
      </c>
      <c r="B92" s="15" t="s">
        <v>224</v>
      </c>
      <c r="C92" s="19">
        <v>0.0</v>
      </c>
      <c r="D92" s="18">
        <v>3.0</v>
      </c>
      <c r="E92" s="18">
        <v>3.0</v>
      </c>
      <c r="F92" s="18">
        <v>3.0</v>
      </c>
      <c r="G92" s="18">
        <v>3.0</v>
      </c>
      <c r="H92" s="18">
        <v>2.0</v>
      </c>
      <c r="I92" s="18">
        <v>1.0</v>
      </c>
      <c r="J92" s="18">
        <v>1.0</v>
      </c>
      <c r="K92" s="21" t="s">
        <v>327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0" t="s">
        <v>351</v>
      </c>
      <c r="B93" s="15" t="s">
        <v>112</v>
      </c>
      <c r="C93" s="27">
        <v>0.0</v>
      </c>
      <c r="D93" s="34">
        <v>269.5</v>
      </c>
      <c r="E93" s="34">
        <v>474.5</v>
      </c>
      <c r="F93" s="34">
        <v>563.0</v>
      </c>
      <c r="G93" s="34">
        <v>858.0</v>
      </c>
      <c r="H93" s="34">
        <v>994.0</v>
      </c>
      <c r="I93" s="34">
        <v>680.0</v>
      </c>
      <c r="J93" s="34">
        <v>900.0</v>
      </c>
      <c r="K93" s="21" t="s">
        <v>327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0" t="s">
        <v>352</v>
      </c>
      <c r="B94" s="15" t="s">
        <v>224</v>
      </c>
      <c r="C94" s="19">
        <v>0.0</v>
      </c>
      <c r="D94" s="18">
        <v>30.0</v>
      </c>
      <c r="E94" s="18">
        <v>15.0</v>
      </c>
      <c r="F94" s="18">
        <v>18.0</v>
      </c>
      <c r="G94" s="18">
        <v>12.0</v>
      </c>
      <c r="H94" s="18">
        <v>8.0</v>
      </c>
      <c r="I94" s="18">
        <v>5.0</v>
      </c>
      <c r="J94" s="18">
        <v>4.0</v>
      </c>
      <c r="K94" s="21" t="s">
        <v>353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0" t="s">
        <v>354</v>
      </c>
      <c r="B95" s="15" t="s">
        <v>155</v>
      </c>
      <c r="C95" s="27">
        <v>0.0</v>
      </c>
      <c r="D95" s="27">
        <f t="shared" ref="D95:J95" si="27">IF(D91=0,0,D91*D80*D32*$C$6/1000000000)</f>
        <v>9.22983375</v>
      </c>
      <c r="E95" s="27">
        <f t="shared" si="27"/>
        <v>8.2896</v>
      </c>
      <c r="F95" s="27">
        <f t="shared" si="27"/>
        <v>23.3145</v>
      </c>
      <c r="G95" s="27">
        <f t="shared" si="27"/>
        <v>36.9264</v>
      </c>
      <c r="H95" s="27">
        <f t="shared" si="27"/>
        <v>48.2304</v>
      </c>
      <c r="I95" s="27">
        <f t="shared" si="27"/>
        <v>135.57735</v>
      </c>
      <c r="J95" s="27">
        <f t="shared" si="27"/>
        <v>135.57735</v>
      </c>
      <c r="K95" s="21" t="s">
        <v>355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0" t="s">
        <v>356</v>
      </c>
      <c r="B96" s="15" t="s">
        <v>112</v>
      </c>
      <c r="C96" s="19">
        <v>0.0</v>
      </c>
      <c r="D96" s="19">
        <f t="shared" ref="D96:H96" si="28">IF(D79=0,0,MAX(IF(D91&gt;$C$27,D79-D91,D91),D93))</f>
        <v>385.5</v>
      </c>
      <c r="E96" s="19">
        <f t="shared" si="28"/>
        <v>474.5</v>
      </c>
      <c r="F96" s="19">
        <f t="shared" si="28"/>
        <v>563</v>
      </c>
      <c r="G96" s="19">
        <f t="shared" si="28"/>
        <v>858</v>
      </c>
      <c r="H96" s="19">
        <f t="shared" si="28"/>
        <v>994</v>
      </c>
      <c r="I96" s="19">
        <f>IF(I79=0,0,MAX(IF(I91&gt;$C$27,I79-I91,I91),I93,J93))</f>
        <v>900</v>
      </c>
      <c r="J96" s="19">
        <f>IF(J79=0,0,MAX(IF(J91&gt;$C$27,J79-J91,J91),J93))</f>
        <v>900</v>
      </c>
      <c r="K96" s="21" t="s">
        <v>357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0" t="s">
        <v>358</v>
      </c>
      <c r="B97" s="15" t="s">
        <v>177</v>
      </c>
      <c r="C97" s="15" t="s">
        <v>359</v>
      </c>
      <c r="D97" s="15" t="str">
        <f t="shared" ref="D97:J97" si="29">IF(D79=0,"—",IF(D96&lt;=$C$27,"SÍ","NO"))</f>
        <v>SÍ</v>
      </c>
      <c r="E97" s="15" t="str">
        <f t="shared" si="29"/>
        <v>SÍ</v>
      </c>
      <c r="F97" s="15" t="str">
        <f t="shared" si="29"/>
        <v>SÍ</v>
      </c>
      <c r="G97" s="15" t="str">
        <f t="shared" si="29"/>
        <v>SÍ</v>
      </c>
      <c r="H97" s="15" t="str">
        <f t="shared" si="29"/>
        <v>SÍ</v>
      </c>
      <c r="I97" s="15" t="str">
        <f t="shared" si="29"/>
        <v>SÍ</v>
      </c>
      <c r="J97" s="15" t="str">
        <f t="shared" si="29"/>
        <v>SÍ</v>
      </c>
      <c r="K97" s="21" t="s">
        <v>360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6">
    <mergeCell ref="A1:K1"/>
    <mergeCell ref="A2:K2"/>
    <mergeCell ref="A4:K4"/>
    <mergeCell ref="D5:K5"/>
    <mergeCell ref="D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23:K23"/>
    <mergeCell ref="D24:K24"/>
    <mergeCell ref="D25:K25"/>
    <mergeCell ref="D26:K26"/>
    <mergeCell ref="A29:K29"/>
    <mergeCell ref="D16:K16"/>
    <mergeCell ref="D17:K17"/>
    <mergeCell ref="D18:K18"/>
    <mergeCell ref="D19:K19"/>
    <mergeCell ref="D20:K20"/>
    <mergeCell ref="D21:K21"/>
    <mergeCell ref="D22:K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3.0" topLeftCell="D24" activePane="bottomRight" state="frozen"/>
      <selection activeCell="D1" sqref="D1" pane="topRight"/>
      <selection activeCell="A24" sqref="A24" pane="bottomLeft"/>
      <selection activeCell="D24" sqref="D24" pane="bottomRight"/>
    </sheetView>
  </sheetViews>
  <sheetFormatPr customHeight="1" defaultColWidth="12.63" defaultRowHeight="15.0"/>
  <cols>
    <col customWidth="1" min="1" max="1" width="52.0"/>
    <col customWidth="1" min="2" max="2" width="44.0"/>
    <col customWidth="1" min="3" max="3" width="7.0"/>
    <col customWidth="1" min="4" max="27" width="9.0"/>
    <col customWidth="1" min="28" max="28" width="48.0"/>
    <col customWidth="1" min="29" max="29" width="14.0"/>
  </cols>
  <sheetData>
    <row r="1" ht="19.5" customHeight="1">
      <c r="A1" s="3" t="s">
        <v>361</v>
      </c>
      <c r="B1" s="5"/>
      <c r="C1" s="5"/>
      <c r="D1" s="5"/>
      <c r="E1" s="5"/>
      <c r="F1" s="5"/>
      <c r="G1" s="5"/>
      <c r="H1" s="5"/>
      <c r="I1" s="5"/>
      <c r="J1" s="5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7" t="s">
        <v>362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8.0" customHeight="1">
      <c r="A4" s="9" t="s">
        <v>363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27.75" customHeight="1">
      <c r="A5" s="4" t="s">
        <v>14</v>
      </c>
      <c r="B5" s="4" t="s">
        <v>17</v>
      </c>
      <c r="C5" s="4" t="s">
        <v>18</v>
      </c>
      <c r="D5" s="14" t="s">
        <v>19</v>
      </c>
      <c r="E5" s="11"/>
      <c r="F5" s="11"/>
      <c r="G5" s="11"/>
      <c r="H5" s="11"/>
      <c r="I5" s="11"/>
      <c r="J5" s="11"/>
      <c r="K5" s="11"/>
      <c r="L5" s="11"/>
      <c r="M5" s="11"/>
      <c r="N5" s="1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2.75" customHeight="1">
      <c r="A6" s="10" t="s">
        <v>364</v>
      </c>
      <c r="B6" s="15" t="s">
        <v>365</v>
      </c>
      <c r="C6" s="16">
        <v>0.95</v>
      </c>
      <c r="D6" s="22" t="s">
        <v>366</v>
      </c>
      <c r="E6" s="11"/>
      <c r="F6" s="11"/>
      <c r="G6" s="11"/>
      <c r="H6" s="11"/>
      <c r="I6" s="11"/>
      <c r="J6" s="11"/>
      <c r="K6" s="11"/>
      <c r="L6" s="11"/>
      <c r="M6" s="11"/>
      <c r="N6" s="1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2.75" customHeight="1">
      <c r="A7" s="10" t="s">
        <v>367</v>
      </c>
      <c r="B7" s="15" t="s">
        <v>172</v>
      </c>
      <c r="C7" s="32">
        <v>0.25</v>
      </c>
      <c r="D7" s="22" t="s">
        <v>104</v>
      </c>
      <c r="E7" s="11"/>
      <c r="F7" s="11"/>
      <c r="G7" s="11"/>
      <c r="H7" s="11"/>
      <c r="I7" s="11"/>
      <c r="J7" s="11"/>
      <c r="K7" s="11"/>
      <c r="L7" s="11"/>
      <c r="M7" s="11"/>
      <c r="N7" s="1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2.75" customHeight="1">
      <c r="A8" s="10" t="s">
        <v>368</v>
      </c>
      <c r="B8" s="15" t="s">
        <v>369</v>
      </c>
      <c r="C8" s="16">
        <v>15.0</v>
      </c>
      <c r="D8" s="22" t="s">
        <v>370</v>
      </c>
      <c r="E8" s="11"/>
      <c r="F8" s="11"/>
      <c r="G8" s="11"/>
      <c r="H8" s="11"/>
      <c r="I8" s="11"/>
      <c r="J8" s="11"/>
      <c r="K8" s="11"/>
      <c r="L8" s="11"/>
      <c r="M8" s="11"/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1">
      <c r="A9" s="10" t="s">
        <v>371</v>
      </c>
      <c r="B9" s="15" t="s">
        <v>177</v>
      </c>
      <c r="C9" s="16">
        <v>1.3</v>
      </c>
      <c r="D9" s="22" t="s">
        <v>104</v>
      </c>
      <c r="E9" s="11"/>
      <c r="F9" s="11"/>
      <c r="G9" s="11"/>
      <c r="H9" s="11"/>
      <c r="I9" s="11"/>
      <c r="J9" s="11"/>
      <c r="K9" s="11"/>
      <c r="L9" s="11"/>
      <c r="M9" s="11"/>
      <c r="N9" s="1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10" t="s">
        <v>372</v>
      </c>
      <c r="B10" s="15" t="s">
        <v>172</v>
      </c>
      <c r="C10" s="32">
        <v>0.01</v>
      </c>
      <c r="D10" s="22" t="s">
        <v>104</v>
      </c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75" customHeight="1">
      <c r="A11" s="10" t="s">
        <v>373</v>
      </c>
      <c r="B11" s="15" t="s">
        <v>224</v>
      </c>
      <c r="C11" s="16">
        <v>6.0</v>
      </c>
      <c r="D11" s="22" t="s">
        <v>374</v>
      </c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75" customHeight="1">
      <c r="A12" s="10" t="s">
        <v>375</v>
      </c>
      <c r="B12" s="15" t="s">
        <v>376</v>
      </c>
      <c r="C12" s="16">
        <v>50.0</v>
      </c>
      <c r="D12" s="22" t="s">
        <v>104</v>
      </c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2.75" customHeight="1">
      <c r="A13" s="10" t="s">
        <v>377</v>
      </c>
      <c r="B13" s="15" t="s">
        <v>155</v>
      </c>
      <c r="C13" s="16">
        <v>4.0</v>
      </c>
      <c r="D13" s="22" t="s">
        <v>104</v>
      </c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10" t="s">
        <v>378</v>
      </c>
      <c r="B14" s="15" t="s">
        <v>224</v>
      </c>
      <c r="C14" s="16">
        <v>150.0</v>
      </c>
      <c r="D14" s="22" t="s">
        <v>104</v>
      </c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1">
      <c r="A15" s="10" t="s">
        <v>379</v>
      </c>
      <c r="B15" s="15" t="s">
        <v>155</v>
      </c>
      <c r="C15" s="16">
        <v>0.35</v>
      </c>
      <c r="D15" s="22" t="s">
        <v>380</v>
      </c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1">
      <c r="A16" s="10" t="s">
        <v>381</v>
      </c>
      <c r="B16" s="15" t="s">
        <v>224</v>
      </c>
      <c r="C16" s="16">
        <v>4.0</v>
      </c>
      <c r="D16" s="22" t="s">
        <v>104</v>
      </c>
      <c r="E16" s="11"/>
      <c r="F16" s="11"/>
      <c r="G16" s="11"/>
      <c r="H16" s="11"/>
      <c r="I16" s="11"/>
      <c r="J16" s="11"/>
      <c r="K16" s="11"/>
      <c r="L16" s="11"/>
      <c r="M16" s="11"/>
      <c r="N16" s="1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1">
      <c r="A17" s="10" t="s">
        <v>382</v>
      </c>
      <c r="B17" s="15" t="s">
        <v>155</v>
      </c>
      <c r="C17" s="16">
        <v>0.2</v>
      </c>
      <c r="D17" s="22" t="s">
        <v>104</v>
      </c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10" t="s">
        <v>383</v>
      </c>
      <c r="B18" s="15" t="s">
        <v>155</v>
      </c>
      <c r="C18" s="16">
        <v>0.35</v>
      </c>
      <c r="D18" s="22" t="s">
        <v>104</v>
      </c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1">
      <c r="A20" s="17" t="s">
        <v>384</v>
      </c>
      <c r="B20" s="15" t="s">
        <v>155</v>
      </c>
      <c r="C20" s="2"/>
      <c r="D20" s="2"/>
      <c r="E20" s="2"/>
      <c r="F20" s="2"/>
      <c r="G20" s="2"/>
      <c r="H20" s="2"/>
      <c r="I20" s="2"/>
      <c r="J20" s="2"/>
      <c r="K20" s="2"/>
      <c r="L20" s="34">
        <v>1.0</v>
      </c>
      <c r="M20" s="34">
        <v>2.5</v>
      </c>
      <c r="N20" s="34">
        <v>5.0</v>
      </c>
      <c r="O20" s="34">
        <v>10.0</v>
      </c>
      <c r="P20" s="34">
        <v>25.0</v>
      </c>
      <c r="Q20" s="34">
        <v>50.0</v>
      </c>
      <c r="R20" s="34">
        <v>70.0</v>
      </c>
      <c r="S20" s="34">
        <v>100.0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2"/>
      <c r="B22" s="2"/>
      <c r="C22" s="2"/>
      <c r="D22" s="43" t="s">
        <v>385</v>
      </c>
      <c r="E22" s="11"/>
      <c r="F22" s="11"/>
      <c r="G22" s="11"/>
      <c r="H22" s="11"/>
      <c r="I22" s="11"/>
      <c r="J22" s="11"/>
      <c r="K22" s="12"/>
      <c r="L22" s="43" t="s">
        <v>386</v>
      </c>
      <c r="M22" s="11"/>
      <c r="N22" s="11"/>
      <c r="O22" s="11"/>
      <c r="P22" s="11"/>
      <c r="Q22" s="11"/>
      <c r="R22" s="11"/>
      <c r="S22" s="12"/>
      <c r="T22" s="43" t="s">
        <v>387</v>
      </c>
      <c r="U22" s="11"/>
      <c r="V22" s="11"/>
      <c r="W22" s="11"/>
      <c r="X22" s="11"/>
      <c r="Y22" s="11"/>
      <c r="Z22" s="11"/>
      <c r="AA22" s="12"/>
      <c r="AB22" s="2"/>
      <c r="AC22" s="2"/>
    </row>
    <row r="23" ht="30.0" customHeight="1">
      <c r="A23" s="4" t="s">
        <v>388</v>
      </c>
      <c r="B23" s="4" t="s">
        <v>389</v>
      </c>
      <c r="C23" s="4" t="s">
        <v>17</v>
      </c>
      <c r="D23" s="4" t="s">
        <v>24</v>
      </c>
      <c r="E23" s="4" t="s">
        <v>25</v>
      </c>
      <c r="F23" s="4" t="s">
        <v>26</v>
      </c>
      <c r="G23" s="4" t="s">
        <v>27</v>
      </c>
      <c r="H23" s="4" t="s">
        <v>28</v>
      </c>
      <c r="I23" s="4" t="s">
        <v>29</v>
      </c>
      <c r="J23" s="4" t="s">
        <v>30</v>
      </c>
      <c r="K23" s="4" t="s">
        <v>33</v>
      </c>
      <c r="L23" s="4" t="s">
        <v>24</v>
      </c>
      <c r="M23" s="4" t="s">
        <v>25</v>
      </c>
      <c r="N23" s="4" t="s">
        <v>26</v>
      </c>
      <c r="O23" s="4" t="s">
        <v>27</v>
      </c>
      <c r="P23" s="4" t="s">
        <v>28</v>
      </c>
      <c r="Q23" s="4" t="s">
        <v>29</v>
      </c>
      <c r="R23" s="4" t="s">
        <v>30</v>
      </c>
      <c r="S23" s="4" t="s">
        <v>33</v>
      </c>
      <c r="T23" s="4" t="s">
        <v>24</v>
      </c>
      <c r="U23" s="4" t="s">
        <v>25</v>
      </c>
      <c r="V23" s="4" t="s">
        <v>26</v>
      </c>
      <c r="W23" s="4" t="s">
        <v>27</v>
      </c>
      <c r="X23" s="4" t="s">
        <v>28</v>
      </c>
      <c r="Y23" s="4" t="s">
        <v>29</v>
      </c>
      <c r="Z23" s="4" t="s">
        <v>30</v>
      </c>
      <c r="AA23" s="4" t="s">
        <v>33</v>
      </c>
      <c r="AB23" s="4" t="s">
        <v>390</v>
      </c>
      <c r="AC23" s="4" t="s">
        <v>391</v>
      </c>
    </row>
    <row r="24" ht="12.75" customHeight="1">
      <c r="A24" s="17" t="s">
        <v>392</v>
      </c>
      <c r="B24" s="44" t="s">
        <v>393</v>
      </c>
      <c r="C24" s="15" t="s">
        <v>331</v>
      </c>
      <c r="D24" s="40">
        <f>'Geometria Acero'!$C$82</f>
        <v>0.04347826087</v>
      </c>
      <c r="E24" s="41">
        <v>0.0</v>
      </c>
      <c r="F24" s="41">
        <v>0.0</v>
      </c>
      <c r="G24" s="41">
        <v>0.0</v>
      </c>
      <c r="H24" s="41">
        <v>0.0</v>
      </c>
      <c r="I24" s="41">
        <v>0.0</v>
      </c>
      <c r="J24" s="41">
        <v>0.0</v>
      </c>
      <c r="K24" s="41">
        <v>0.0</v>
      </c>
      <c r="L24" s="41">
        <v>0.0</v>
      </c>
      <c r="M24" s="41">
        <v>0.0</v>
      </c>
      <c r="N24" s="41">
        <v>0.0</v>
      </c>
      <c r="O24" s="41">
        <v>0.0</v>
      </c>
      <c r="P24" s="41">
        <v>0.0</v>
      </c>
      <c r="Q24" s="41">
        <v>0.0</v>
      </c>
      <c r="R24" s="41">
        <v>0.0</v>
      </c>
      <c r="S24" s="41">
        <v>0.0</v>
      </c>
      <c r="T24" s="41">
        <v>0.0</v>
      </c>
      <c r="U24" s="41">
        <v>0.0</v>
      </c>
      <c r="V24" s="41">
        <v>0.0</v>
      </c>
      <c r="W24" s="41">
        <v>0.0</v>
      </c>
      <c r="X24" s="41">
        <v>0.0</v>
      </c>
      <c r="Y24" s="41">
        <v>0.0</v>
      </c>
      <c r="Z24" s="41">
        <v>0.0</v>
      </c>
      <c r="AA24" s="41">
        <v>0.0</v>
      </c>
      <c r="AB24" s="21" t="s">
        <v>394</v>
      </c>
      <c r="AC24" s="45" t="s">
        <v>395</v>
      </c>
    </row>
    <row r="25" ht="12.75" customHeight="1">
      <c r="A25" s="17" t="s">
        <v>396</v>
      </c>
      <c r="B25" s="44" t="s">
        <v>397</v>
      </c>
      <c r="C25" s="15" t="s">
        <v>340</v>
      </c>
      <c r="D25" s="41">
        <v>0.0</v>
      </c>
      <c r="E25" s="40">
        <f>'Geometria Acero'!$D$87</f>
        <v>0.03703703704</v>
      </c>
      <c r="F25" s="41">
        <v>0.0</v>
      </c>
      <c r="G25" s="41">
        <v>0.0</v>
      </c>
      <c r="H25" s="41">
        <v>0.0</v>
      </c>
      <c r="I25" s="41">
        <v>0.0</v>
      </c>
      <c r="J25" s="41">
        <v>0.0</v>
      </c>
      <c r="K25" s="41">
        <v>0.0</v>
      </c>
      <c r="L25" s="41">
        <v>0.0</v>
      </c>
      <c r="M25" s="41">
        <v>0.0</v>
      </c>
      <c r="N25" s="41">
        <v>0.0</v>
      </c>
      <c r="O25" s="41">
        <v>0.0</v>
      </c>
      <c r="P25" s="41">
        <v>0.0</v>
      </c>
      <c r="Q25" s="41">
        <v>0.0</v>
      </c>
      <c r="R25" s="41">
        <v>0.0</v>
      </c>
      <c r="S25" s="41">
        <v>0.0</v>
      </c>
      <c r="T25" s="41">
        <v>0.0</v>
      </c>
      <c r="U25" s="41">
        <v>0.0</v>
      </c>
      <c r="V25" s="41">
        <v>0.0</v>
      </c>
      <c r="W25" s="41">
        <v>0.0</v>
      </c>
      <c r="X25" s="41">
        <v>0.0</v>
      </c>
      <c r="Y25" s="41">
        <v>0.0</v>
      </c>
      <c r="Z25" s="41">
        <v>0.0</v>
      </c>
      <c r="AA25" s="41">
        <v>0.0</v>
      </c>
      <c r="AB25" s="21" t="s">
        <v>398</v>
      </c>
      <c r="AC25" s="45" t="s">
        <v>399</v>
      </c>
    </row>
    <row r="26" ht="12.75" customHeight="1">
      <c r="A26" s="17" t="s">
        <v>400</v>
      </c>
      <c r="B26" s="44" t="s">
        <v>401</v>
      </c>
      <c r="C26" s="15" t="s">
        <v>340</v>
      </c>
      <c r="D26" s="41">
        <v>0.0</v>
      </c>
      <c r="E26" s="41">
        <v>0.0</v>
      </c>
      <c r="F26" s="40">
        <f>'Geometria Acero'!$E$87</f>
        <v>0.08333333333</v>
      </c>
      <c r="G26" s="41">
        <v>0.0</v>
      </c>
      <c r="H26" s="41">
        <v>0.0</v>
      </c>
      <c r="I26" s="41">
        <v>0.0</v>
      </c>
      <c r="J26" s="41">
        <v>0.0</v>
      </c>
      <c r="K26" s="41">
        <v>0.0</v>
      </c>
      <c r="L26" s="41">
        <v>0.0</v>
      </c>
      <c r="M26" s="41">
        <v>0.0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0.0</v>
      </c>
      <c r="U26" s="41">
        <v>0.0</v>
      </c>
      <c r="V26" s="41">
        <v>0.0</v>
      </c>
      <c r="W26" s="41">
        <v>0.0</v>
      </c>
      <c r="X26" s="41">
        <v>0.0</v>
      </c>
      <c r="Y26" s="41">
        <v>0.0</v>
      </c>
      <c r="Z26" s="41">
        <v>0.0</v>
      </c>
      <c r="AA26" s="41">
        <v>0.0</v>
      </c>
      <c r="AB26" s="21" t="s">
        <v>398</v>
      </c>
      <c r="AC26" s="45" t="s">
        <v>399</v>
      </c>
    </row>
    <row r="27" ht="12.75" customHeight="1">
      <c r="A27" s="17" t="s">
        <v>402</v>
      </c>
      <c r="B27" s="44" t="s">
        <v>403</v>
      </c>
      <c r="C27" s="15" t="s">
        <v>340</v>
      </c>
      <c r="D27" s="41">
        <v>0.0</v>
      </c>
      <c r="E27" s="41">
        <v>0.0</v>
      </c>
      <c r="F27" s="41">
        <v>0.0</v>
      </c>
      <c r="G27" s="40">
        <f>'Geometria Acero'!$F$87</f>
        <v>0.06666666667</v>
      </c>
      <c r="H27" s="41">
        <v>0.0</v>
      </c>
      <c r="I27" s="41">
        <v>0.0</v>
      </c>
      <c r="J27" s="41">
        <v>0.0</v>
      </c>
      <c r="K27" s="41">
        <v>0.0</v>
      </c>
      <c r="L27" s="41">
        <v>0.0</v>
      </c>
      <c r="M27" s="41">
        <v>0.0</v>
      </c>
      <c r="N27" s="41">
        <v>0.0</v>
      </c>
      <c r="O27" s="41">
        <v>0.0</v>
      </c>
      <c r="P27" s="41">
        <v>0.0</v>
      </c>
      <c r="Q27" s="41">
        <v>0.0</v>
      </c>
      <c r="R27" s="41">
        <v>0.0</v>
      </c>
      <c r="S27" s="41">
        <v>0.0</v>
      </c>
      <c r="T27" s="41">
        <v>0.0</v>
      </c>
      <c r="U27" s="41">
        <v>0.0</v>
      </c>
      <c r="V27" s="41">
        <v>0.0</v>
      </c>
      <c r="W27" s="41">
        <v>0.0</v>
      </c>
      <c r="X27" s="41">
        <v>0.0</v>
      </c>
      <c r="Y27" s="41">
        <v>0.0</v>
      </c>
      <c r="Z27" s="41">
        <v>0.0</v>
      </c>
      <c r="AA27" s="41">
        <v>0.0</v>
      </c>
      <c r="AB27" s="21" t="s">
        <v>398</v>
      </c>
      <c r="AC27" s="45" t="s">
        <v>399</v>
      </c>
    </row>
    <row r="28" ht="12.75" customHeight="1">
      <c r="A28" s="17" t="s">
        <v>404</v>
      </c>
      <c r="B28" s="44" t="s">
        <v>405</v>
      </c>
      <c r="C28" s="15" t="s">
        <v>155</v>
      </c>
      <c r="D28" s="40">
        <f>'Geometria Acero'!$C$41</f>
        <v>0.08940051</v>
      </c>
      <c r="E28" s="41">
        <v>0.0</v>
      </c>
      <c r="F28" s="41">
        <v>0.0</v>
      </c>
      <c r="G28" s="41">
        <v>0.0</v>
      </c>
      <c r="H28" s="41">
        <v>0.0</v>
      </c>
      <c r="I28" s="41">
        <v>0.0</v>
      </c>
      <c r="J28" s="41">
        <v>0.0</v>
      </c>
      <c r="K28" s="41">
        <v>0.0</v>
      </c>
      <c r="L28" s="41">
        <v>0.0</v>
      </c>
      <c r="M28" s="41">
        <v>0.0</v>
      </c>
      <c r="N28" s="41">
        <v>0.0</v>
      </c>
      <c r="O28" s="41">
        <v>0.0</v>
      </c>
      <c r="P28" s="41">
        <v>0.0</v>
      </c>
      <c r="Q28" s="41">
        <v>0.0</v>
      </c>
      <c r="R28" s="41">
        <v>0.0</v>
      </c>
      <c r="S28" s="41">
        <v>0.0</v>
      </c>
      <c r="T28" s="41">
        <v>0.0</v>
      </c>
      <c r="U28" s="41">
        <v>0.0</v>
      </c>
      <c r="V28" s="41">
        <v>0.0</v>
      </c>
      <c r="W28" s="41">
        <v>0.0</v>
      </c>
      <c r="X28" s="41">
        <v>0.0</v>
      </c>
      <c r="Y28" s="41">
        <v>0.0</v>
      </c>
      <c r="Z28" s="41">
        <v>0.0</v>
      </c>
      <c r="AA28" s="41">
        <v>0.0</v>
      </c>
      <c r="AB28" s="21" t="s">
        <v>406</v>
      </c>
      <c r="AC28" s="45" t="s">
        <v>395</v>
      </c>
    </row>
    <row r="29" ht="12.75" customHeight="1">
      <c r="A29" s="17" t="s">
        <v>407</v>
      </c>
      <c r="B29" s="44" t="s">
        <v>408</v>
      </c>
      <c r="C29" s="15" t="s">
        <v>155</v>
      </c>
      <c r="D29" s="41">
        <v>0.0</v>
      </c>
      <c r="E29" s="40">
        <f>'Geometria Acero'!$D$41+'Geometria Acero'!$D$47</f>
        <v>0.6535125</v>
      </c>
      <c r="F29" s="41">
        <v>0.0</v>
      </c>
      <c r="G29" s="41">
        <v>0.0</v>
      </c>
      <c r="H29" s="41">
        <v>0.0</v>
      </c>
      <c r="I29" s="41">
        <v>0.0</v>
      </c>
      <c r="J29" s="41">
        <v>0.0</v>
      </c>
      <c r="K29" s="41">
        <v>0.0</v>
      </c>
      <c r="L29" s="41">
        <v>0.0</v>
      </c>
      <c r="M29" s="41">
        <v>0.0</v>
      </c>
      <c r="N29" s="41">
        <v>0.0</v>
      </c>
      <c r="O29" s="41">
        <v>0.0</v>
      </c>
      <c r="P29" s="41">
        <v>0.0</v>
      </c>
      <c r="Q29" s="41">
        <v>0.0</v>
      </c>
      <c r="R29" s="41">
        <v>0.0</v>
      </c>
      <c r="S29" s="41">
        <v>0.0</v>
      </c>
      <c r="T29" s="41">
        <v>0.0</v>
      </c>
      <c r="U29" s="41">
        <v>0.0</v>
      </c>
      <c r="V29" s="41">
        <v>0.0</v>
      </c>
      <c r="W29" s="41">
        <v>0.0</v>
      </c>
      <c r="X29" s="41">
        <v>0.0</v>
      </c>
      <c r="Y29" s="41">
        <v>0.0</v>
      </c>
      <c r="Z29" s="41">
        <v>0.0</v>
      </c>
      <c r="AA29" s="41">
        <v>0.0</v>
      </c>
      <c r="AB29" s="21" t="s">
        <v>409</v>
      </c>
      <c r="AC29" s="45" t="s">
        <v>96</v>
      </c>
    </row>
    <row r="30" ht="12.75" customHeight="1">
      <c r="A30" s="17" t="s">
        <v>410</v>
      </c>
      <c r="B30" s="44" t="s">
        <v>411</v>
      </c>
      <c r="C30" s="15" t="s">
        <v>155</v>
      </c>
      <c r="D30" s="41">
        <v>0.0</v>
      </c>
      <c r="E30" s="41">
        <v>0.0</v>
      </c>
      <c r="F30" s="40">
        <f>'Geometria Acero'!$E$41</f>
        <v>0.70336</v>
      </c>
      <c r="G30" s="41">
        <v>0.0</v>
      </c>
      <c r="H30" s="41">
        <v>0.0</v>
      </c>
      <c r="I30" s="41">
        <v>0.0</v>
      </c>
      <c r="J30" s="41">
        <v>0.0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0.0</v>
      </c>
      <c r="S30" s="41">
        <v>0.0</v>
      </c>
      <c r="T30" s="41">
        <v>0.0</v>
      </c>
      <c r="U30" s="41">
        <v>0.0</v>
      </c>
      <c r="V30" s="41">
        <v>0.0</v>
      </c>
      <c r="W30" s="41">
        <v>0.0</v>
      </c>
      <c r="X30" s="41">
        <v>0.0</v>
      </c>
      <c r="Y30" s="41">
        <v>0.0</v>
      </c>
      <c r="Z30" s="41">
        <v>0.0</v>
      </c>
      <c r="AA30" s="41">
        <v>0.0</v>
      </c>
      <c r="AB30" s="21" t="s">
        <v>226</v>
      </c>
      <c r="AC30" s="45" t="s">
        <v>96</v>
      </c>
    </row>
    <row r="31" ht="12.75" customHeight="1">
      <c r="A31" s="17" t="s">
        <v>412</v>
      </c>
      <c r="B31" s="44" t="s">
        <v>413</v>
      </c>
      <c r="C31" s="15" t="s">
        <v>155</v>
      </c>
      <c r="D31" s="41">
        <v>0.0</v>
      </c>
      <c r="E31" s="41">
        <v>0.0</v>
      </c>
      <c r="F31" s="40">
        <f>'Geometria Acero'!$E$47</f>
        <v>0.45216</v>
      </c>
      <c r="G31" s="41">
        <v>0.0</v>
      </c>
      <c r="H31" s="41">
        <v>0.0</v>
      </c>
      <c r="I31" s="41">
        <v>0.0</v>
      </c>
      <c r="J31" s="41">
        <v>0.0</v>
      </c>
      <c r="K31" s="41">
        <v>0.0</v>
      </c>
      <c r="L31" s="41">
        <v>0.0</v>
      </c>
      <c r="M31" s="41">
        <v>0.0</v>
      </c>
      <c r="N31" s="41">
        <v>0.0</v>
      </c>
      <c r="O31" s="41">
        <v>0.0</v>
      </c>
      <c r="P31" s="41">
        <v>0.0</v>
      </c>
      <c r="Q31" s="41">
        <v>0.0</v>
      </c>
      <c r="R31" s="41">
        <v>0.0</v>
      </c>
      <c r="S31" s="41">
        <v>0.0</v>
      </c>
      <c r="T31" s="41">
        <v>0.0</v>
      </c>
      <c r="U31" s="41">
        <v>0.0</v>
      </c>
      <c r="V31" s="41">
        <v>0.0</v>
      </c>
      <c r="W31" s="41">
        <v>0.0</v>
      </c>
      <c r="X31" s="41">
        <v>0.0</v>
      </c>
      <c r="Y31" s="41">
        <v>0.0</v>
      </c>
      <c r="Z31" s="41">
        <v>0.0</v>
      </c>
      <c r="AA31" s="41">
        <v>0.0</v>
      </c>
      <c r="AB31" s="21" t="s">
        <v>256</v>
      </c>
      <c r="AC31" s="45" t="s">
        <v>96</v>
      </c>
    </row>
    <row r="32" ht="12.75" customHeight="1">
      <c r="A32" s="17" t="s">
        <v>414</v>
      </c>
      <c r="B32" s="44" t="s">
        <v>415</v>
      </c>
      <c r="C32" s="15" t="s">
        <v>155</v>
      </c>
      <c r="D32" s="41">
        <v>0.0</v>
      </c>
      <c r="E32" s="41">
        <v>0.0</v>
      </c>
      <c r="F32" s="41">
        <v>0.0</v>
      </c>
      <c r="G32" s="40">
        <f>'Geometria Acero'!$F$41</f>
        <v>1.22931</v>
      </c>
      <c r="H32" s="41">
        <v>0.0</v>
      </c>
      <c r="I32" s="41">
        <v>0.0</v>
      </c>
      <c r="J32" s="41">
        <v>0.0</v>
      </c>
      <c r="K32" s="41">
        <v>0.0</v>
      </c>
      <c r="L32" s="41">
        <v>0.0</v>
      </c>
      <c r="M32" s="41">
        <v>0.0</v>
      </c>
      <c r="N32" s="41">
        <v>0.0</v>
      </c>
      <c r="O32" s="41">
        <v>0.0</v>
      </c>
      <c r="P32" s="41">
        <v>0.0</v>
      </c>
      <c r="Q32" s="41">
        <v>0.0</v>
      </c>
      <c r="R32" s="41">
        <v>0.0</v>
      </c>
      <c r="S32" s="41">
        <v>0.0</v>
      </c>
      <c r="T32" s="41">
        <v>0.0</v>
      </c>
      <c r="U32" s="41">
        <v>0.0</v>
      </c>
      <c r="V32" s="41">
        <v>0.0</v>
      </c>
      <c r="W32" s="41">
        <v>0.0</v>
      </c>
      <c r="X32" s="41">
        <v>0.0</v>
      </c>
      <c r="Y32" s="41">
        <v>0.0</v>
      </c>
      <c r="Z32" s="41">
        <v>0.0</v>
      </c>
      <c r="AA32" s="41">
        <v>0.0</v>
      </c>
      <c r="AB32" s="21" t="s">
        <v>226</v>
      </c>
      <c r="AC32" s="45" t="s">
        <v>96</v>
      </c>
    </row>
    <row r="33" ht="12.75" customHeight="1">
      <c r="A33" s="17" t="s">
        <v>416</v>
      </c>
      <c r="B33" s="44" t="s">
        <v>417</v>
      </c>
      <c r="C33" s="15" t="s">
        <v>155</v>
      </c>
      <c r="D33" s="41">
        <v>0.0</v>
      </c>
      <c r="E33" s="41">
        <v>0.0</v>
      </c>
      <c r="F33" s="41">
        <v>0.0</v>
      </c>
      <c r="G33" s="40">
        <f>'Geometria Acero'!$F$47</f>
        <v>0.8131344</v>
      </c>
      <c r="H33" s="41">
        <v>0.0</v>
      </c>
      <c r="I33" s="41">
        <v>0.0</v>
      </c>
      <c r="J33" s="41">
        <v>0.0</v>
      </c>
      <c r="K33" s="41">
        <v>0.0</v>
      </c>
      <c r="L33" s="41">
        <v>0.0</v>
      </c>
      <c r="M33" s="41">
        <v>0.0</v>
      </c>
      <c r="N33" s="41">
        <v>0.0</v>
      </c>
      <c r="O33" s="41">
        <v>0.0</v>
      </c>
      <c r="P33" s="41">
        <v>0.0</v>
      </c>
      <c r="Q33" s="41">
        <v>0.0</v>
      </c>
      <c r="R33" s="41">
        <v>0.0</v>
      </c>
      <c r="S33" s="41">
        <v>0.0</v>
      </c>
      <c r="T33" s="41">
        <v>0.0</v>
      </c>
      <c r="U33" s="41">
        <v>0.0</v>
      </c>
      <c r="V33" s="41">
        <v>0.0</v>
      </c>
      <c r="W33" s="41">
        <v>0.0</v>
      </c>
      <c r="X33" s="41">
        <v>0.0</v>
      </c>
      <c r="Y33" s="41">
        <v>0.0</v>
      </c>
      <c r="Z33" s="41">
        <v>0.0</v>
      </c>
      <c r="AA33" s="41">
        <v>0.0</v>
      </c>
      <c r="AB33" s="21" t="s">
        <v>256</v>
      </c>
      <c r="AC33" s="45" t="s">
        <v>96</v>
      </c>
    </row>
    <row r="34" ht="12.75" customHeight="1">
      <c r="A34" s="17" t="s">
        <v>418</v>
      </c>
      <c r="B34" s="44" t="s">
        <v>419</v>
      </c>
      <c r="C34" s="15" t="s">
        <v>340</v>
      </c>
      <c r="D34" s="41">
        <v>0.0</v>
      </c>
      <c r="E34" s="41">
        <v>0.0</v>
      </c>
      <c r="F34" s="41">
        <v>0.0</v>
      </c>
      <c r="G34" s="41">
        <v>0.0</v>
      </c>
      <c r="H34" s="40">
        <f>'Geometria Acero'!$G$87</f>
        <v>0.1111111111</v>
      </c>
      <c r="I34" s="40">
        <f>'Geometria Acero'!$H$87</f>
        <v>0.1666666667</v>
      </c>
      <c r="J34" s="41">
        <v>0.0</v>
      </c>
      <c r="K34" s="41">
        <v>0.0</v>
      </c>
      <c r="L34" s="41">
        <v>0.0</v>
      </c>
      <c r="M34" s="41">
        <v>0.0</v>
      </c>
      <c r="N34" s="41">
        <v>0.0</v>
      </c>
      <c r="O34" s="41">
        <v>0.0</v>
      </c>
      <c r="P34" s="41">
        <v>0.0</v>
      </c>
      <c r="Q34" s="41">
        <v>0.0</v>
      </c>
      <c r="R34" s="41">
        <v>0.0</v>
      </c>
      <c r="S34" s="41">
        <v>0.0</v>
      </c>
      <c r="T34" s="41">
        <v>0.0</v>
      </c>
      <c r="U34" s="41">
        <v>0.0</v>
      </c>
      <c r="V34" s="41">
        <v>0.0</v>
      </c>
      <c r="W34" s="41">
        <v>0.0</v>
      </c>
      <c r="X34" s="41">
        <v>0.0</v>
      </c>
      <c r="Y34" s="41">
        <v>0.0</v>
      </c>
      <c r="Z34" s="41">
        <v>0.0</v>
      </c>
      <c r="AA34" s="41">
        <v>0.0</v>
      </c>
      <c r="AB34" s="21" t="s">
        <v>398</v>
      </c>
      <c r="AC34" s="45" t="s">
        <v>399</v>
      </c>
    </row>
    <row r="35" ht="12.75" customHeight="1">
      <c r="A35" s="17" t="s">
        <v>420</v>
      </c>
      <c r="B35" s="44" t="s">
        <v>421</v>
      </c>
      <c r="C35" s="15" t="s">
        <v>340</v>
      </c>
      <c r="D35" s="41">
        <v>0.0</v>
      </c>
      <c r="E35" s="41">
        <v>0.0</v>
      </c>
      <c r="F35" s="41">
        <v>0.0</v>
      </c>
      <c r="G35" s="41">
        <v>0.0</v>
      </c>
      <c r="H35" s="41">
        <v>0.0</v>
      </c>
      <c r="I35" s="41">
        <v>0.0</v>
      </c>
      <c r="J35" s="40">
        <f>'Geometria Acero'!$I$87</f>
        <v>0.2222222222</v>
      </c>
      <c r="K35" s="40">
        <f>'Geometria Acero'!$J$87</f>
        <v>0.3333333333</v>
      </c>
      <c r="L35" s="41">
        <v>0.0</v>
      </c>
      <c r="M35" s="41">
        <v>0.0</v>
      </c>
      <c r="N35" s="41">
        <v>0.0</v>
      </c>
      <c r="O35" s="41">
        <v>0.0</v>
      </c>
      <c r="P35" s="41">
        <v>0.0</v>
      </c>
      <c r="Q35" s="41">
        <v>0.0</v>
      </c>
      <c r="R35" s="41">
        <v>0.0</v>
      </c>
      <c r="S35" s="41">
        <v>0.0</v>
      </c>
      <c r="T35" s="41">
        <v>0.0</v>
      </c>
      <c r="U35" s="41">
        <v>0.0</v>
      </c>
      <c r="V35" s="41">
        <v>0.0</v>
      </c>
      <c r="W35" s="41">
        <v>0.0</v>
      </c>
      <c r="X35" s="41">
        <v>0.0</v>
      </c>
      <c r="Y35" s="41">
        <v>0.0</v>
      </c>
      <c r="Z35" s="41">
        <v>0.0</v>
      </c>
      <c r="AA35" s="41">
        <v>0.0</v>
      </c>
      <c r="AB35" s="21" t="s">
        <v>422</v>
      </c>
      <c r="AC35" s="45" t="s">
        <v>399</v>
      </c>
    </row>
    <row r="36" ht="12.75" customHeight="1">
      <c r="A36" s="17" t="s">
        <v>423</v>
      </c>
      <c r="B36" s="44" t="s">
        <v>424</v>
      </c>
      <c r="C36" s="15" t="s">
        <v>155</v>
      </c>
      <c r="D36" s="40">
        <f>'Geometria Acero'!$C$47</f>
        <v>0.07713567</v>
      </c>
      <c r="E36" s="41">
        <v>0.0</v>
      </c>
      <c r="F36" s="41">
        <v>0.0</v>
      </c>
      <c r="G36" s="41">
        <v>0.0</v>
      </c>
      <c r="H36" s="41">
        <v>0.0</v>
      </c>
      <c r="I36" s="41">
        <v>0.0</v>
      </c>
      <c r="J36" s="41">
        <v>0.0</v>
      </c>
      <c r="K36" s="41">
        <v>0.0</v>
      </c>
      <c r="L36" s="41">
        <v>0.0</v>
      </c>
      <c r="M36" s="41">
        <v>0.0</v>
      </c>
      <c r="N36" s="41">
        <v>0.0</v>
      </c>
      <c r="O36" s="41">
        <v>0.0</v>
      </c>
      <c r="P36" s="41">
        <v>0.0</v>
      </c>
      <c r="Q36" s="41">
        <v>0.0</v>
      </c>
      <c r="R36" s="41">
        <v>0.0</v>
      </c>
      <c r="S36" s="41">
        <v>0.0</v>
      </c>
      <c r="T36" s="41">
        <v>0.0</v>
      </c>
      <c r="U36" s="41">
        <v>0.0</v>
      </c>
      <c r="V36" s="41">
        <v>0.0</v>
      </c>
      <c r="W36" s="41">
        <v>0.0</v>
      </c>
      <c r="X36" s="41">
        <v>0.0</v>
      </c>
      <c r="Y36" s="41">
        <v>0.0</v>
      </c>
      <c r="Z36" s="41">
        <v>0.0</v>
      </c>
      <c r="AA36" s="41">
        <v>0.0</v>
      </c>
      <c r="AB36" s="21" t="s">
        <v>426</v>
      </c>
      <c r="AC36" s="45" t="s">
        <v>395</v>
      </c>
    </row>
    <row r="37" ht="12.75" customHeight="1">
      <c r="A37" s="17" t="s">
        <v>427</v>
      </c>
      <c r="B37" s="44" t="s">
        <v>428</v>
      </c>
      <c r="C37" s="15" t="s">
        <v>224</v>
      </c>
      <c r="D37" s="41">
        <v>0.0</v>
      </c>
      <c r="E37" s="41">
        <v>0.0</v>
      </c>
      <c r="F37" s="41">
        <v>0.0</v>
      </c>
      <c r="G37" s="41">
        <v>0.0</v>
      </c>
      <c r="H37" s="41">
        <v>2.0</v>
      </c>
      <c r="I37" s="41">
        <v>0.0</v>
      </c>
      <c r="J37" s="41">
        <v>0.0</v>
      </c>
      <c r="K37" s="41">
        <v>0.0</v>
      </c>
      <c r="L37" s="41">
        <v>0.0</v>
      </c>
      <c r="M37" s="41">
        <v>0.0</v>
      </c>
      <c r="N37" s="41">
        <v>0.0</v>
      </c>
      <c r="O37" s="41">
        <v>0.0</v>
      </c>
      <c r="P37" s="41">
        <v>0.0</v>
      </c>
      <c r="Q37" s="41">
        <v>0.0</v>
      </c>
      <c r="R37" s="41">
        <v>0.0</v>
      </c>
      <c r="S37" s="41">
        <v>0.0</v>
      </c>
      <c r="T37" s="41">
        <v>0.0</v>
      </c>
      <c r="U37" s="41">
        <v>0.0</v>
      </c>
      <c r="V37" s="41">
        <v>0.0</v>
      </c>
      <c r="W37" s="41">
        <v>0.0</v>
      </c>
      <c r="X37" s="41">
        <v>0.0</v>
      </c>
      <c r="Y37" s="41">
        <v>0.0</v>
      </c>
      <c r="Z37" s="41">
        <v>0.0</v>
      </c>
      <c r="AA37" s="41">
        <v>0.0</v>
      </c>
      <c r="AB37" s="21" t="s">
        <v>429</v>
      </c>
      <c r="AC37" s="45" t="s">
        <v>430</v>
      </c>
    </row>
    <row r="38" ht="12.75" customHeight="1">
      <c r="A38" s="17" t="s">
        <v>431</v>
      </c>
      <c r="B38" s="44" t="s">
        <v>432</v>
      </c>
      <c r="C38" s="15" t="s">
        <v>224</v>
      </c>
      <c r="D38" s="41">
        <v>0.0</v>
      </c>
      <c r="E38" s="41">
        <v>0.0</v>
      </c>
      <c r="F38" s="41">
        <v>0.0</v>
      </c>
      <c r="G38" s="41">
        <v>0.0</v>
      </c>
      <c r="H38" s="41">
        <v>0.0</v>
      </c>
      <c r="I38" s="41">
        <v>2.0</v>
      </c>
      <c r="J38" s="41">
        <v>0.0</v>
      </c>
      <c r="K38" s="41">
        <v>0.0</v>
      </c>
      <c r="L38" s="41">
        <v>0.0</v>
      </c>
      <c r="M38" s="41">
        <v>0.0</v>
      </c>
      <c r="N38" s="41">
        <v>0.0</v>
      </c>
      <c r="O38" s="41">
        <v>0.0</v>
      </c>
      <c r="P38" s="41">
        <v>0.0</v>
      </c>
      <c r="Q38" s="41">
        <v>0.0</v>
      </c>
      <c r="R38" s="41">
        <v>0.0</v>
      </c>
      <c r="S38" s="41">
        <v>0.0</v>
      </c>
      <c r="T38" s="41">
        <v>0.0</v>
      </c>
      <c r="U38" s="41">
        <v>0.0</v>
      </c>
      <c r="V38" s="41">
        <v>0.0</v>
      </c>
      <c r="W38" s="41">
        <v>0.0</v>
      </c>
      <c r="X38" s="41">
        <v>0.0</v>
      </c>
      <c r="Y38" s="41">
        <v>0.0</v>
      </c>
      <c r="Z38" s="41">
        <v>0.0</v>
      </c>
      <c r="AA38" s="41">
        <v>0.0</v>
      </c>
      <c r="AB38" s="21" t="s">
        <v>433</v>
      </c>
      <c r="AC38" s="45" t="s">
        <v>430</v>
      </c>
    </row>
    <row r="39" ht="12.75" customHeight="1">
      <c r="A39" s="17" t="s">
        <v>434</v>
      </c>
      <c r="B39" s="44" t="s">
        <v>435</v>
      </c>
      <c r="C39" s="15" t="s">
        <v>224</v>
      </c>
      <c r="D39" s="41">
        <v>0.0</v>
      </c>
      <c r="E39" s="41">
        <v>0.0</v>
      </c>
      <c r="F39" s="41">
        <v>0.0</v>
      </c>
      <c r="G39" s="41">
        <v>0.0</v>
      </c>
      <c r="H39" s="41">
        <v>0.0</v>
      </c>
      <c r="I39" s="41">
        <v>0.0</v>
      </c>
      <c r="J39" s="41">
        <v>2.0</v>
      </c>
      <c r="K39" s="41">
        <v>2.0</v>
      </c>
      <c r="L39" s="41">
        <v>0.0</v>
      </c>
      <c r="M39" s="41">
        <v>0.0</v>
      </c>
      <c r="N39" s="41">
        <v>0.0</v>
      </c>
      <c r="O39" s="41">
        <v>0.0</v>
      </c>
      <c r="P39" s="41">
        <v>0.0</v>
      </c>
      <c r="Q39" s="41">
        <v>0.0</v>
      </c>
      <c r="R39" s="41">
        <v>0.0</v>
      </c>
      <c r="S39" s="41">
        <v>0.0</v>
      </c>
      <c r="T39" s="41">
        <v>0.0</v>
      </c>
      <c r="U39" s="41">
        <v>0.0</v>
      </c>
      <c r="V39" s="41">
        <v>0.0</v>
      </c>
      <c r="W39" s="41">
        <v>0.0</v>
      </c>
      <c r="X39" s="41">
        <v>0.0</v>
      </c>
      <c r="Y39" s="41">
        <v>0.0</v>
      </c>
      <c r="Z39" s="41">
        <v>0.0</v>
      </c>
      <c r="AA39" s="41">
        <v>0.0</v>
      </c>
      <c r="AB39" s="21" t="s">
        <v>433</v>
      </c>
      <c r="AC39" s="45" t="s">
        <v>430</v>
      </c>
    </row>
    <row r="40" ht="12.75" customHeight="1">
      <c r="A40" s="17" t="s">
        <v>437</v>
      </c>
      <c r="B40" s="44" t="s">
        <v>438</v>
      </c>
      <c r="C40" s="15" t="s">
        <v>224</v>
      </c>
      <c r="D40" s="41">
        <v>1.0</v>
      </c>
      <c r="E40" s="41">
        <v>0.0</v>
      </c>
      <c r="F40" s="41">
        <v>0.0</v>
      </c>
      <c r="G40" s="41">
        <v>0.0</v>
      </c>
      <c r="H40" s="41">
        <v>0.0</v>
      </c>
      <c r="I40" s="41">
        <v>0.0</v>
      </c>
      <c r="J40" s="41">
        <v>0.0</v>
      </c>
      <c r="K40" s="41">
        <v>0.0</v>
      </c>
      <c r="L40" s="41">
        <v>0.0</v>
      </c>
      <c r="M40" s="41">
        <v>0.0</v>
      </c>
      <c r="N40" s="41">
        <v>0.0</v>
      </c>
      <c r="O40" s="41">
        <v>0.0</v>
      </c>
      <c r="P40" s="41">
        <v>0.0</v>
      </c>
      <c r="Q40" s="41">
        <v>0.0</v>
      </c>
      <c r="R40" s="41">
        <v>0.0</v>
      </c>
      <c r="S40" s="41">
        <v>0.0</v>
      </c>
      <c r="T40" s="41">
        <v>0.0</v>
      </c>
      <c r="U40" s="41">
        <v>0.0</v>
      </c>
      <c r="V40" s="41">
        <v>0.0</v>
      </c>
      <c r="W40" s="41">
        <v>0.0</v>
      </c>
      <c r="X40" s="41">
        <v>0.0</v>
      </c>
      <c r="Y40" s="41">
        <v>0.0</v>
      </c>
      <c r="Z40" s="41">
        <v>0.0</v>
      </c>
      <c r="AA40" s="41">
        <v>0.0</v>
      </c>
      <c r="AB40" s="21" t="s">
        <v>439</v>
      </c>
      <c r="AC40" s="45" t="s">
        <v>104</v>
      </c>
    </row>
    <row r="41" ht="12.75" customHeight="1">
      <c r="A41" s="17" t="s">
        <v>440</v>
      </c>
      <c r="B41" s="44" t="s">
        <v>441</v>
      </c>
      <c r="C41" s="15" t="s">
        <v>224</v>
      </c>
      <c r="D41" s="41">
        <v>0.0</v>
      </c>
      <c r="E41" s="41">
        <v>1.0</v>
      </c>
      <c r="F41" s="41">
        <v>1.0</v>
      </c>
      <c r="G41" s="41">
        <v>1.0</v>
      </c>
      <c r="H41" s="41">
        <v>0.0</v>
      </c>
      <c r="I41" s="41">
        <v>0.0</v>
      </c>
      <c r="J41" s="41">
        <v>0.0</v>
      </c>
      <c r="K41" s="41">
        <v>0.0</v>
      </c>
      <c r="L41" s="41">
        <v>0.0</v>
      </c>
      <c r="M41" s="41">
        <v>0.0</v>
      </c>
      <c r="N41" s="41">
        <v>0.0</v>
      </c>
      <c r="O41" s="41">
        <v>0.0</v>
      </c>
      <c r="P41" s="41">
        <v>0.0</v>
      </c>
      <c r="Q41" s="41">
        <v>0.0</v>
      </c>
      <c r="R41" s="41">
        <v>0.0</v>
      </c>
      <c r="S41" s="41">
        <v>0.0</v>
      </c>
      <c r="T41" s="41">
        <v>0.0</v>
      </c>
      <c r="U41" s="41">
        <v>0.0</v>
      </c>
      <c r="V41" s="41">
        <v>0.0</v>
      </c>
      <c r="W41" s="41">
        <v>0.0</v>
      </c>
      <c r="X41" s="41">
        <v>0.0</v>
      </c>
      <c r="Y41" s="41">
        <v>0.0</v>
      </c>
      <c r="Z41" s="41">
        <v>0.0</v>
      </c>
      <c r="AA41" s="41">
        <v>0.0</v>
      </c>
      <c r="AB41" s="21" t="s">
        <v>439</v>
      </c>
      <c r="AC41" s="45" t="s">
        <v>104</v>
      </c>
    </row>
    <row r="42" ht="12.75" customHeight="1">
      <c r="A42" s="17" t="s">
        <v>442</v>
      </c>
      <c r="B42" s="44" t="s">
        <v>443</v>
      </c>
      <c r="C42" s="15" t="s">
        <v>224</v>
      </c>
      <c r="D42" s="41">
        <v>0.0</v>
      </c>
      <c r="E42" s="41">
        <v>0.0</v>
      </c>
      <c r="F42" s="41">
        <v>0.0</v>
      </c>
      <c r="G42" s="41">
        <v>0.0</v>
      </c>
      <c r="H42" s="41">
        <v>1.0</v>
      </c>
      <c r="I42" s="41">
        <v>1.0</v>
      </c>
      <c r="J42" s="41">
        <v>0.0</v>
      </c>
      <c r="K42" s="41">
        <v>0.0</v>
      </c>
      <c r="L42" s="41">
        <v>0.0</v>
      </c>
      <c r="M42" s="41">
        <v>0.0</v>
      </c>
      <c r="N42" s="41">
        <v>0.0</v>
      </c>
      <c r="O42" s="41">
        <v>0.0</v>
      </c>
      <c r="P42" s="41">
        <v>0.0</v>
      </c>
      <c r="Q42" s="41">
        <v>0.0</v>
      </c>
      <c r="R42" s="41">
        <v>0.0</v>
      </c>
      <c r="S42" s="41">
        <v>0.0</v>
      </c>
      <c r="T42" s="41">
        <v>0.0</v>
      </c>
      <c r="U42" s="41">
        <v>0.0</v>
      </c>
      <c r="V42" s="41">
        <v>0.0</v>
      </c>
      <c r="W42" s="41">
        <v>0.0</v>
      </c>
      <c r="X42" s="41">
        <v>0.0</v>
      </c>
      <c r="Y42" s="41">
        <v>0.0</v>
      </c>
      <c r="Z42" s="41">
        <v>0.0</v>
      </c>
      <c r="AA42" s="41">
        <v>0.0</v>
      </c>
      <c r="AB42" s="21" t="s">
        <v>439</v>
      </c>
      <c r="AC42" s="45" t="s">
        <v>96</v>
      </c>
    </row>
    <row r="43" ht="12.75" customHeight="1">
      <c r="A43" s="17" t="s">
        <v>444</v>
      </c>
      <c r="B43" s="44" t="s">
        <v>445</v>
      </c>
      <c r="C43" s="15" t="s">
        <v>224</v>
      </c>
      <c r="D43" s="41">
        <v>0.0</v>
      </c>
      <c r="E43" s="41">
        <v>0.0</v>
      </c>
      <c r="F43" s="41">
        <v>0.0</v>
      </c>
      <c r="G43" s="41">
        <v>0.0</v>
      </c>
      <c r="H43" s="41">
        <v>0.0</v>
      </c>
      <c r="I43" s="41">
        <v>0.0</v>
      </c>
      <c r="J43" s="41">
        <v>1.0</v>
      </c>
      <c r="K43" s="41">
        <v>1.0</v>
      </c>
      <c r="L43" s="41">
        <v>0.0</v>
      </c>
      <c r="M43" s="41">
        <v>0.0</v>
      </c>
      <c r="N43" s="41">
        <v>0.0</v>
      </c>
      <c r="O43" s="41">
        <v>0.0</v>
      </c>
      <c r="P43" s="41">
        <v>0.0</v>
      </c>
      <c r="Q43" s="41">
        <v>0.0</v>
      </c>
      <c r="R43" s="41">
        <v>0.0</v>
      </c>
      <c r="S43" s="41">
        <v>0.0</v>
      </c>
      <c r="T43" s="41">
        <v>0.0</v>
      </c>
      <c r="U43" s="41">
        <v>0.0</v>
      </c>
      <c r="V43" s="41">
        <v>0.0</v>
      </c>
      <c r="W43" s="41">
        <v>0.0</v>
      </c>
      <c r="X43" s="41">
        <v>0.0</v>
      </c>
      <c r="Y43" s="41">
        <v>0.0</v>
      </c>
      <c r="Z43" s="41">
        <v>0.0</v>
      </c>
      <c r="AA43" s="41">
        <v>0.0</v>
      </c>
      <c r="AB43" s="21" t="s">
        <v>439</v>
      </c>
      <c r="AC43" s="45" t="s">
        <v>96</v>
      </c>
    </row>
    <row r="44" ht="12.75" customHeight="1">
      <c r="A44" s="17" t="s">
        <v>446</v>
      </c>
      <c r="B44" s="44" t="s">
        <v>447</v>
      </c>
      <c r="C44" s="15" t="s">
        <v>155</v>
      </c>
      <c r="D44" s="41">
        <v>0.0</v>
      </c>
      <c r="E44" s="41">
        <v>0.0</v>
      </c>
      <c r="F44" s="41">
        <v>0.0</v>
      </c>
      <c r="G44" s="41">
        <v>0.0</v>
      </c>
      <c r="H44" s="41">
        <v>0.0</v>
      </c>
      <c r="I44" s="41">
        <v>0.0</v>
      </c>
      <c r="J44" s="40">
        <f>'Geometria Acero'!$I$55</f>
        <v>1.5</v>
      </c>
      <c r="K44" s="40">
        <f>'Geometria Acero'!$J$55</f>
        <v>1.5</v>
      </c>
      <c r="L44" s="41">
        <v>0.0</v>
      </c>
      <c r="M44" s="41">
        <v>0.0</v>
      </c>
      <c r="N44" s="41">
        <v>0.0</v>
      </c>
      <c r="O44" s="41">
        <v>0.0</v>
      </c>
      <c r="P44" s="41">
        <v>0.0</v>
      </c>
      <c r="Q44" s="41">
        <v>0.0</v>
      </c>
      <c r="R44" s="41">
        <v>0.0</v>
      </c>
      <c r="S44" s="41">
        <v>0.0</v>
      </c>
      <c r="T44" s="41">
        <v>0.0</v>
      </c>
      <c r="U44" s="41">
        <v>0.0</v>
      </c>
      <c r="V44" s="41">
        <v>0.0</v>
      </c>
      <c r="W44" s="41">
        <v>0.0</v>
      </c>
      <c r="X44" s="41">
        <v>0.0</v>
      </c>
      <c r="Y44" s="41">
        <v>0.0</v>
      </c>
      <c r="Z44" s="41">
        <v>0.0</v>
      </c>
      <c r="AA44" s="41">
        <v>0.0</v>
      </c>
      <c r="AB44" s="21" t="s">
        <v>449</v>
      </c>
      <c r="AC44" s="45" t="s">
        <v>395</v>
      </c>
    </row>
    <row r="45" ht="12.75" customHeight="1">
      <c r="A45" s="17" t="s">
        <v>450</v>
      </c>
      <c r="B45" s="44" t="s">
        <v>451</v>
      </c>
      <c r="C45" s="15" t="s">
        <v>155</v>
      </c>
      <c r="D45" s="40">
        <f>'Geometria Acero'!$C$67</f>
        <v>0.01499419342</v>
      </c>
      <c r="E45" s="40">
        <f>'Geometria Acero'!$D$67</f>
        <v>0.03039813887</v>
      </c>
      <c r="F45" s="40">
        <f>'Geometria Acero'!$E$67</f>
        <v>0.03674911266</v>
      </c>
      <c r="G45" s="40">
        <f>'Geometria Acero'!$F$67</f>
        <v>0.0457522981</v>
      </c>
      <c r="H45" s="41">
        <v>0.0</v>
      </c>
      <c r="I45" s="41">
        <v>0.0</v>
      </c>
      <c r="J45" s="41">
        <v>0.0</v>
      </c>
      <c r="K45" s="41">
        <v>0.0</v>
      </c>
      <c r="L45" s="41">
        <v>0.0</v>
      </c>
      <c r="M45" s="41">
        <v>0.0</v>
      </c>
      <c r="N45" s="41">
        <v>0.0</v>
      </c>
      <c r="O45" s="41">
        <v>0.0</v>
      </c>
      <c r="P45" s="41">
        <v>0.0</v>
      </c>
      <c r="Q45" s="41">
        <v>0.0</v>
      </c>
      <c r="R45" s="41">
        <v>0.0</v>
      </c>
      <c r="S45" s="41">
        <v>0.0</v>
      </c>
      <c r="T45" s="41">
        <v>0.0</v>
      </c>
      <c r="U45" s="41">
        <v>0.0</v>
      </c>
      <c r="V45" s="41">
        <v>0.0</v>
      </c>
      <c r="W45" s="41">
        <v>0.0</v>
      </c>
      <c r="X45" s="41">
        <v>0.0</v>
      </c>
      <c r="Y45" s="41">
        <v>0.0</v>
      </c>
      <c r="Z45" s="41">
        <v>0.0</v>
      </c>
      <c r="AA45" s="41">
        <v>0.0</v>
      </c>
      <c r="AB45" s="21" t="s">
        <v>449</v>
      </c>
      <c r="AC45" s="45" t="s">
        <v>456</v>
      </c>
    </row>
    <row r="46" ht="12.75" customHeight="1">
      <c r="A46" s="17" t="s">
        <v>457</v>
      </c>
      <c r="B46" s="44" t="s">
        <v>458</v>
      </c>
      <c r="C46" s="15" t="s">
        <v>155</v>
      </c>
      <c r="D46" s="41">
        <v>0.0</v>
      </c>
      <c r="E46" s="41">
        <v>0.0</v>
      </c>
      <c r="F46" s="41">
        <v>0.0</v>
      </c>
      <c r="G46" s="41">
        <v>0.0</v>
      </c>
      <c r="H46" s="40">
        <f>'Geometria Acero'!$G$67</f>
        <v>0.302597799</v>
      </c>
      <c r="I46" s="40">
        <f>'Geometria Acero'!$H$67</f>
        <v>0.3505974203</v>
      </c>
      <c r="J46" s="40">
        <f>'Geometria Acero'!$I$67</f>
        <v>0.7508968385</v>
      </c>
      <c r="K46" s="40">
        <f>'Geometria Acero'!$J$67</f>
        <v>0.793112394</v>
      </c>
      <c r="L46" s="41">
        <v>0.0</v>
      </c>
      <c r="M46" s="41">
        <v>0.0</v>
      </c>
      <c r="N46" s="41">
        <v>0.0</v>
      </c>
      <c r="O46" s="41">
        <v>0.0</v>
      </c>
      <c r="P46" s="41">
        <v>0.0</v>
      </c>
      <c r="Q46" s="41">
        <v>0.0</v>
      </c>
      <c r="R46" s="41">
        <v>0.0</v>
      </c>
      <c r="S46" s="41">
        <v>0.0</v>
      </c>
      <c r="T46" s="41">
        <v>0.0</v>
      </c>
      <c r="U46" s="41">
        <v>0.0</v>
      </c>
      <c r="V46" s="41">
        <v>0.0</v>
      </c>
      <c r="W46" s="41">
        <v>0.0</v>
      </c>
      <c r="X46" s="41">
        <v>0.0</v>
      </c>
      <c r="Y46" s="41">
        <v>0.0</v>
      </c>
      <c r="Z46" s="41">
        <v>0.0</v>
      </c>
      <c r="AA46" s="41">
        <v>0.0</v>
      </c>
      <c r="AB46" s="21" t="s">
        <v>449</v>
      </c>
      <c r="AC46" s="45" t="s">
        <v>456</v>
      </c>
    </row>
    <row r="47" ht="12.75" customHeight="1">
      <c r="A47" s="17" t="s">
        <v>461</v>
      </c>
      <c r="B47" s="44" t="s">
        <v>462</v>
      </c>
      <c r="C47" s="15" t="s">
        <v>310</v>
      </c>
      <c r="D47" s="40">
        <f>'Geometria Acero'!$C$71</f>
        <v>0.01671327292</v>
      </c>
      <c r="E47" s="40">
        <f>'Geometria Acero'!$D$71</f>
        <v>0.03388327581</v>
      </c>
      <c r="F47" s="40">
        <f>'Geometria Acero'!$E$71</f>
        <v>0.04096238672</v>
      </c>
      <c r="G47" s="40">
        <f>'Geometria Acero'!$F$71</f>
        <v>0.05099778451</v>
      </c>
      <c r="H47" s="40">
        <f>'Geometria Acero'!$G$71</f>
        <v>0.1524955661</v>
      </c>
      <c r="I47" s="40">
        <f>'Geometria Acero'!$H$71</f>
        <v>0.1766851982</v>
      </c>
      <c r="J47" s="40">
        <f>'Geometria Acero'!$I$71</f>
        <v>0.2236106062</v>
      </c>
      <c r="K47" s="40">
        <f>'Geometria Acero'!$J$71</f>
        <v>0.2361820348</v>
      </c>
      <c r="L47" s="41">
        <v>0.0</v>
      </c>
      <c r="M47" s="41">
        <v>0.0</v>
      </c>
      <c r="N47" s="41">
        <v>0.0</v>
      </c>
      <c r="O47" s="41">
        <v>0.0</v>
      </c>
      <c r="P47" s="41">
        <v>0.0</v>
      </c>
      <c r="Q47" s="41">
        <v>0.0</v>
      </c>
      <c r="R47" s="41">
        <v>0.0</v>
      </c>
      <c r="S47" s="41">
        <v>0.0</v>
      </c>
      <c r="T47" s="41">
        <v>0.0</v>
      </c>
      <c r="U47" s="41">
        <v>0.0</v>
      </c>
      <c r="V47" s="41">
        <v>0.0</v>
      </c>
      <c r="W47" s="41">
        <v>0.0</v>
      </c>
      <c r="X47" s="41">
        <v>0.0</v>
      </c>
      <c r="Y47" s="41">
        <v>0.0</v>
      </c>
      <c r="Z47" s="41">
        <v>0.0</v>
      </c>
      <c r="AA47" s="41">
        <v>0.0</v>
      </c>
      <c r="AB47" s="21" t="s">
        <v>472</v>
      </c>
      <c r="AC47" s="45" t="s">
        <v>430</v>
      </c>
    </row>
    <row r="48" ht="12.75" customHeight="1">
      <c r="A48" s="17" t="s">
        <v>473</v>
      </c>
      <c r="B48" s="44" t="s">
        <v>474</v>
      </c>
      <c r="C48" s="15" t="s">
        <v>224</v>
      </c>
      <c r="D48" s="40">
        <f>'Geometria Acero'!$C$67/'Coef Fabricacion'!$C$13</f>
        <v>0.003748548354</v>
      </c>
      <c r="E48" s="40">
        <f>'Geometria Acero'!$D$67/'Coef Fabricacion'!$C$13</f>
        <v>0.007599534718</v>
      </c>
      <c r="F48" s="40">
        <f>'Geometria Acero'!$E$67/'Coef Fabricacion'!$C$13</f>
        <v>0.009187278164</v>
      </c>
      <c r="G48" s="40">
        <f>'Geometria Acero'!$F$67/'Coef Fabricacion'!$C$13</f>
        <v>0.01143807452</v>
      </c>
      <c r="H48" s="40">
        <f>'Geometria Acero'!$G$67/'Coef Fabricacion'!$C$13</f>
        <v>0.07564944976</v>
      </c>
      <c r="I48" s="40">
        <f>'Geometria Acero'!$H$67/'Coef Fabricacion'!$C$13</f>
        <v>0.08764935507</v>
      </c>
      <c r="J48" s="40">
        <f>'Geometria Acero'!$I$67/'Coef Fabricacion'!$C$13</f>
        <v>0.1877242096</v>
      </c>
      <c r="K48" s="40">
        <f>'Geometria Acero'!$J$67/'Coef Fabricacion'!$C$13</f>
        <v>0.1982780985</v>
      </c>
      <c r="L48" s="41">
        <v>0.0</v>
      </c>
      <c r="M48" s="41">
        <v>0.0</v>
      </c>
      <c r="N48" s="41">
        <v>0.0</v>
      </c>
      <c r="O48" s="41">
        <v>0.0</v>
      </c>
      <c r="P48" s="41">
        <v>0.0</v>
      </c>
      <c r="Q48" s="41">
        <v>0.0</v>
      </c>
      <c r="R48" s="41">
        <v>0.0</v>
      </c>
      <c r="S48" s="41">
        <v>0.0</v>
      </c>
      <c r="T48" s="41">
        <v>0.0</v>
      </c>
      <c r="U48" s="41">
        <v>0.0</v>
      </c>
      <c r="V48" s="41">
        <v>0.0</v>
      </c>
      <c r="W48" s="41">
        <v>0.0</v>
      </c>
      <c r="X48" s="41">
        <v>0.0</v>
      </c>
      <c r="Y48" s="41">
        <v>0.0</v>
      </c>
      <c r="Z48" s="41">
        <v>0.0</v>
      </c>
      <c r="AA48" s="41">
        <v>0.0</v>
      </c>
      <c r="AB48" s="21" t="s">
        <v>481</v>
      </c>
      <c r="AC48" s="45" t="s">
        <v>104</v>
      </c>
    </row>
    <row r="49" ht="12.75" customHeight="1">
      <c r="A49" s="17" t="s">
        <v>483</v>
      </c>
      <c r="B49" s="44" t="s">
        <v>484</v>
      </c>
      <c r="C49" s="15" t="s">
        <v>224</v>
      </c>
      <c r="D49" s="40">
        <f>1/'Coef Fabricacion'!$C$14</f>
        <v>0.006666666667</v>
      </c>
      <c r="E49" s="40">
        <f>1/'Coef Fabricacion'!$C$14</f>
        <v>0.006666666667</v>
      </c>
      <c r="F49" s="40">
        <f>1/'Coef Fabricacion'!$C$14</f>
        <v>0.006666666667</v>
      </c>
      <c r="G49" s="40">
        <f>1/'Coef Fabricacion'!$C$14</f>
        <v>0.006666666667</v>
      </c>
      <c r="H49" s="40">
        <f>1/'Coef Fabricacion'!$C$14</f>
        <v>0.006666666667</v>
      </c>
      <c r="I49" s="40">
        <f>1/'Coef Fabricacion'!$C$14</f>
        <v>0.006666666667</v>
      </c>
      <c r="J49" s="40">
        <f>1/'Coef Fabricacion'!$C$14</f>
        <v>0.006666666667</v>
      </c>
      <c r="K49" s="40">
        <f>1/'Coef Fabricacion'!$C$14</f>
        <v>0.006666666667</v>
      </c>
      <c r="L49" s="41">
        <v>0.0</v>
      </c>
      <c r="M49" s="41">
        <v>0.0</v>
      </c>
      <c r="N49" s="41">
        <v>0.0</v>
      </c>
      <c r="O49" s="41">
        <v>0.0</v>
      </c>
      <c r="P49" s="41">
        <v>0.0</v>
      </c>
      <c r="Q49" s="41">
        <v>0.0</v>
      </c>
      <c r="R49" s="41">
        <v>0.0</v>
      </c>
      <c r="S49" s="41">
        <v>0.0</v>
      </c>
      <c r="T49" s="41">
        <v>0.0</v>
      </c>
      <c r="U49" s="41">
        <v>0.0</v>
      </c>
      <c r="V49" s="41">
        <v>0.0</v>
      </c>
      <c r="W49" s="41">
        <v>0.0</v>
      </c>
      <c r="X49" s="41">
        <v>0.0</v>
      </c>
      <c r="Y49" s="41">
        <v>0.0</v>
      </c>
      <c r="Z49" s="41">
        <v>0.0</v>
      </c>
      <c r="AA49" s="41">
        <v>0.0</v>
      </c>
      <c r="AB49" s="21" t="s">
        <v>493</v>
      </c>
      <c r="AC49" s="45" t="s">
        <v>104</v>
      </c>
    </row>
    <row r="50" ht="12.75" customHeight="1">
      <c r="A50" s="17" t="s">
        <v>494</v>
      </c>
      <c r="B50" s="44" t="s">
        <v>495</v>
      </c>
      <c r="C50" s="15" t="s">
        <v>155</v>
      </c>
      <c r="D50" s="40">
        <f>'Geometria Acero'!$C$76</f>
        <v>0</v>
      </c>
      <c r="E50" s="40">
        <f>'Geometria Acero'!$D$76</f>
        <v>0.07389162562</v>
      </c>
      <c r="F50" s="40">
        <f>'Geometria Acero'!$E$76</f>
        <v>0.07389162562</v>
      </c>
      <c r="G50" s="40">
        <f>'Geometria Acero'!$F$76</f>
        <v>0.07389162562</v>
      </c>
      <c r="H50" s="40">
        <f>'Geometria Acero'!$G$76</f>
        <v>0</v>
      </c>
      <c r="I50" s="40">
        <f>'Geometria Acero'!$H$76</f>
        <v>0</v>
      </c>
      <c r="J50" s="40">
        <f>'Geometria Acero'!$I$76</f>
        <v>0</v>
      </c>
      <c r="K50" s="40">
        <f>'Geometria Acero'!$J$76</f>
        <v>0</v>
      </c>
      <c r="L50" s="41">
        <v>0.0</v>
      </c>
      <c r="M50" s="41">
        <v>0.0</v>
      </c>
      <c r="N50" s="41">
        <v>0.0</v>
      </c>
      <c r="O50" s="41">
        <v>0.0</v>
      </c>
      <c r="P50" s="41">
        <v>0.0</v>
      </c>
      <c r="Q50" s="41">
        <v>0.0</v>
      </c>
      <c r="R50" s="41">
        <v>0.0</v>
      </c>
      <c r="S50" s="41">
        <v>0.0</v>
      </c>
      <c r="T50" s="41">
        <v>0.0</v>
      </c>
      <c r="U50" s="41">
        <v>0.0</v>
      </c>
      <c r="V50" s="41">
        <v>0.0</v>
      </c>
      <c r="W50" s="41">
        <v>0.0</v>
      </c>
      <c r="X50" s="41">
        <v>0.0</v>
      </c>
      <c r="Y50" s="41">
        <v>0.0</v>
      </c>
      <c r="Z50" s="41">
        <v>0.0</v>
      </c>
      <c r="AA50" s="41">
        <v>0.0</v>
      </c>
      <c r="AB50" s="21" t="s">
        <v>498</v>
      </c>
      <c r="AC50" s="45" t="s">
        <v>395</v>
      </c>
    </row>
    <row r="51" ht="12.75" customHeight="1">
      <c r="A51" s="17" t="s">
        <v>499</v>
      </c>
      <c r="B51" s="44" t="s">
        <v>500</v>
      </c>
      <c r="C51" s="15" t="s">
        <v>322</v>
      </c>
      <c r="D51" s="40">
        <f>'Geometria Acero'!$C$77</f>
        <v>0.0008170717948</v>
      </c>
      <c r="E51" s="40">
        <f>'Geometria Acero'!$D$77</f>
        <v>0.001574980928</v>
      </c>
      <c r="F51" s="40">
        <f>'Geometria Acero'!$E$77</f>
        <v>0.002412811488</v>
      </c>
      <c r="G51" s="40">
        <f>'Geometria Acero'!$F$77</f>
        <v>0.003913632569</v>
      </c>
      <c r="H51" s="40">
        <f>'Geometria Acero'!$G$77</f>
        <v>0</v>
      </c>
      <c r="I51" s="40">
        <f>'Geometria Acero'!$H$77</f>
        <v>0</v>
      </c>
      <c r="J51" s="40">
        <f>'Geometria Acero'!$I$77</f>
        <v>0</v>
      </c>
      <c r="K51" s="40">
        <f>'Geometria Acero'!$J$77</f>
        <v>0</v>
      </c>
      <c r="L51" s="41">
        <v>0.0</v>
      </c>
      <c r="M51" s="41">
        <v>0.0</v>
      </c>
      <c r="N51" s="41">
        <v>0.0</v>
      </c>
      <c r="O51" s="41">
        <v>0.0</v>
      </c>
      <c r="P51" s="41">
        <v>0.0</v>
      </c>
      <c r="Q51" s="41">
        <v>0.0</v>
      </c>
      <c r="R51" s="41">
        <v>0.0</v>
      </c>
      <c r="S51" s="41">
        <v>0.0</v>
      </c>
      <c r="T51" s="41">
        <v>0.0</v>
      </c>
      <c r="U51" s="41">
        <v>0.0</v>
      </c>
      <c r="V51" s="41">
        <v>0.0</v>
      </c>
      <c r="W51" s="41">
        <v>0.0</v>
      </c>
      <c r="X51" s="41">
        <v>0.0</v>
      </c>
      <c r="Y51" s="41">
        <v>0.0</v>
      </c>
      <c r="Z51" s="41">
        <v>0.0</v>
      </c>
      <c r="AA51" s="41">
        <v>0.0</v>
      </c>
      <c r="AB51" s="21" t="s">
        <v>505</v>
      </c>
      <c r="AC51" s="45" t="s">
        <v>104</v>
      </c>
    </row>
    <row r="52" ht="12.75" customHeight="1">
      <c r="A52" s="17" t="s">
        <v>506</v>
      </c>
      <c r="B52" s="44" t="s">
        <v>507</v>
      </c>
      <c r="C52" s="15" t="s">
        <v>322</v>
      </c>
      <c r="D52" s="40">
        <f>'Geometria Acero'!$C$78</f>
        <v>0.0008170717948</v>
      </c>
      <c r="E52" s="40">
        <f>'Geometria Acero'!$D$78</f>
        <v>0.001574980928</v>
      </c>
      <c r="F52" s="40">
        <f>'Geometria Acero'!$E$78</f>
        <v>0.002412811488</v>
      </c>
      <c r="G52" s="40">
        <f>'Geometria Acero'!$F$78</f>
        <v>0.003913632569</v>
      </c>
      <c r="H52" s="40">
        <f>'Geometria Acero'!$G$78</f>
        <v>0</v>
      </c>
      <c r="I52" s="40">
        <f>'Geometria Acero'!$H$78</f>
        <v>0</v>
      </c>
      <c r="J52" s="40">
        <f>'Geometria Acero'!$I$78</f>
        <v>0</v>
      </c>
      <c r="K52" s="40">
        <f>'Geometria Acero'!$J$78</f>
        <v>0</v>
      </c>
      <c r="L52" s="41">
        <v>0.0</v>
      </c>
      <c r="M52" s="41">
        <v>0.0</v>
      </c>
      <c r="N52" s="41">
        <v>0.0</v>
      </c>
      <c r="O52" s="41">
        <v>0.0</v>
      </c>
      <c r="P52" s="41">
        <v>0.0</v>
      </c>
      <c r="Q52" s="41">
        <v>0.0</v>
      </c>
      <c r="R52" s="41">
        <v>0.0</v>
      </c>
      <c r="S52" s="41">
        <v>0.0</v>
      </c>
      <c r="T52" s="41">
        <v>0.0</v>
      </c>
      <c r="U52" s="41">
        <v>0.0</v>
      </c>
      <c r="V52" s="41">
        <v>0.0</v>
      </c>
      <c r="W52" s="41">
        <v>0.0</v>
      </c>
      <c r="X52" s="41">
        <v>0.0</v>
      </c>
      <c r="Y52" s="41">
        <v>0.0</v>
      </c>
      <c r="Z52" s="41">
        <v>0.0</v>
      </c>
      <c r="AA52" s="41">
        <v>0.0</v>
      </c>
      <c r="AB52" s="21" t="s">
        <v>508</v>
      </c>
      <c r="AC52" s="45" t="s">
        <v>104</v>
      </c>
    </row>
    <row r="53" ht="12.75" customHeight="1">
      <c r="A53" s="17" t="s">
        <v>509</v>
      </c>
      <c r="B53" s="44" t="s">
        <v>510</v>
      </c>
      <c r="C53" s="15" t="s">
        <v>155</v>
      </c>
      <c r="D53" s="40">
        <f>'Geometria Acero'!$C$74</f>
        <v>0.01143900513</v>
      </c>
      <c r="E53" s="40">
        <f>'Geometria Acero'!$D$74</f>
        <v>0.02204973299</v>
      </c>
      <c r="F53" s="40">
        <f>'Geometria Acero'!$E$74</f>
        <v>0.03377936083</v>
      </c>
      <c r="G53" s="40">
        <f>'Geometria Acero'!$F$74</f>
        <v>0.05479085596</v>
      </c>
      <c r="H53" s="40">
        <f>'Geometria Acero'!$G$74</f>
        <v>0</v>
      </c>
      <c r="I53" s="40">
        <f>'Geometria Acero'!$H$74</f>
        <v>0</v>
      </c>
      <c r="J53" s="40">
        <f>'Geometria Acero'!$I$74</f>
        <v>0</v>
      </c>
      <c r="K53" s="40">
        <f>'Geometria Acero'!$J$74</f>
        <v>0</v>
      </c>
      <c r="L53" s="41">
        <v>0.0</v>
      </c>
      <c r="M53" s="41">
        <v>0.0</v>
      </c>
      <c r="N53" s="41">
        <v>0.0</v>
      </c>
      <c r="O53" s="41">
        <v>0.0</v>
      </c>
      <c r="P53" s="41">
        <v>0.0</v>
      </c>
      <c r="Q53" s="41">
        <v>0.0</v>
      </c>
      <c r="R53" s="41">
        <v>0.0</v>
      </c>
      <c r="S53" s="41">
        <v>0.0</v>
      </c>
      <c r="T53" s="41">
        <v>0.0</v>
      </c>
      <c r="U53" s="41">
        <v>0.0</v>
      </c>
      <c r="V53" s="41">
        <v>0.0</v>
      </c>
      <c r="W53" s="41">
        <v>0.0</v>
      </c>
      <c r="X53" s="41">
        <v>0.0</v>
      </c>
      <c r="Y53" s="41">
        <v>0.0</v>
      </c>
      <c r="Z53" s="41">
        <v>0.0</v>
      </c>
      <c r="AA53" s="41">
        <v>0.0</v>
      </c>
      <c r="AB53" s="21" t="s">
        <v>511</v>
      </c>
      <c r="AC53" s="45" t="s">
        <v>456</v>
      </c>
    </row>
    <row r="54" ht="12.75" customHeight="1">
      <c r="A54" s="17" t="s">
        <v>512</v>
      </c>
      <c r="B54" s="44" t="s">
        <v>513</v>
      </c>
      <c r="C54" s="15" t="s">
        <v>224</v>
      </c>
      <c r="D54" s="40">
        <f>'Geometria Acero'!$C$73/'Coef Fabricacion'!$C$12</f>
        <v>0.02</v>
      </c>
      <c r="E54" s="40">
        <f>'Geometria Acero'!$D$73/'Coef Fabricacion'!$C$12</f>
        <v>0.02</v>
      </c>
      <c r="F54" s="40">
        <f>'Geometria Acero'!$E$73/'Coef Fabricacion'!$C$12</f>
        <v>0.02</v>
      </c>
      <c r="G54" s="40">
        <f>'Geometria Acero'!$F$73/'Coef Fabricacion'!$C$12</f>
        <v>0.02</v>
      </c>
      <c r="H54" s="40">
        <f>'Geometria Acero'!$G$73/'Coef Fabricacion'!$C$12</f>
        <v>0</v>
      </c>
      <c r="I54" s="40">
        <f>'Geometria Acero'!$H$73/'Coef Fabricacion'!$C$12</f>
        <v>0</v>
      </c>
      <c r="J54" s="40">
        <f>'Geometria Acero'!$I$73/'Coef Fabricacion'!$C$12</f>
        <v>0</v>
      </c>
      <c r="K54" s="40">
        <f>'Geometria Acero'!$J$73/'Coef Fabricacion'!$C$12</f>
        <v>0</v>
      </c>
      <c r="L54" s="41">
        <v>0.0</v>
      </c>
      <c r="M54" s="41">
        <v>0.0</v>
      </c>
      <c r="N54" s="41">
        <v>0.0</v>
      </c>
      <c r="O54" s="41">
        <v>0.0</v>
      </c>
      <c r="P54" s="41">
        <v>0.0</v>
      </c>
      <c r="Q54" s="41">
        <v>0.0</v>
      </c>
      <c r="R54" s="41">
        <v>0.0</v>
      </c>
      <c r="S54" s="41">
        <v>0.0</v>
      </c>
      <c r="T54" s="41">
        <v>0.0</v>
      </c>
      <c r="U54" s="41">
        <v>0.0</v>
      </c>
      <c r="V54" s="41">
        <v>0.0</v>
      </c>
      <c r="W54" s="41">
        <v>0.0</v>
      </c>
      <c r="X54" s="41">
        <v>0.0</v>
      </c>
      <c r="Y54" s="41">
        <v>0.0</v>
      </c>
      <c r="Z54" s="41">
        <v>0.0</v>
      </c>
      <c r="AA54" s="41">
        <v>0.0</v>
      </c>
      <c r="AB54" s="21" t="s">
        <v>514</v>
      </c>
      <c r="AC54" s="45" t="s">
        <v>104</v>
      </c>
    </row>
    <row r="55" ht="12.75" customHeight="1">
      <c r="A55" s="17" t="s">
        <v>496</v>
      </c>
      <c r="B55" s="44" t="s">
        <v>497</v>
      </c>
      <c r="C55" s="15" t="s">
        <v>155</v>
      </c>
      <c r="D55" s="41">
        <v>0.0</v>
      </c>
      <c r="E55" s="41">
        <v>0.0</v>
      </c>
      <c r="F55" s="41">
        <v>0.0</v>
      </c>
      <c r="G55" s="41">
        <v>0.0</v>
      </c>
      <c r="H55" s="41">
        <v>0.0</v>
      </c>
      <c r="I55" s="41">
        <v>0.0</v>
      </c>
      <c r="J55" s="41">
        <v>0.0</v>
      </c>
      <c r="K55" s="41">
        <v>0.0</v>
      </c>
      <c r="L55" s="40">
        <f t="shared" ref="L55:S55" si="1">L$20*(1+$C$10)</f>
        <v>1.01</v>
      </c>
      <c r="M55" s="40">
        <f t="shared" si="1"/>
        <v>2.525</v>
      </c>
      <c r="N55" s="40">
        <f t="shared" si="1"/>
        <v>5.05</v>
      </c>
      <c r="O55" s="40">
        <f t="shared" si="1"/>
        <v>10.1</v>
      </c>
      <c r="P55" s="40">
        <f t="shared" si="1"/>
        <v>25.25</v>
      </c>
      <c r="Q55" s="40">
        <f t="shared" si="1"/>
        <v>50.5</v>
      </c>
      <c r="R55" s="40">
        <f t="shared" si="1"/>
        <v>70.7</v>
      </c>
      <c r="S55" s="40">
        <f t="shared" si="1"/>
        <v>101</v>
      </c>
      <c r="T55" s="41">
        <v>0.0</v>
      </c>
      <c r="U55" s="41">
        <v>0.0</v>
      </c>
      <c r="V55" s="41">
        <v>0.0</v>
      </c>
      <c r="W55" s="41">
        <v>0.0</v>
      </c>
      <c r="X55" s="41">
        <v>0.0</v>
      </c>
      <c r="Y55" s="41">
        <v>0.0</v>
      </c>
      <c r="Z55" s="41">
        <v>0.0</v>
      </c>
      <c r="AA55" s="41">
        <v>0.0</v>
      </c>
      <c r="AB55" s="21" t="s">
        <v>501</v>
      </c>
      <c r="AC55" s="45" t="s">
        <v>502</v>
      </c>
    </row>
    <row r="56" ht="12.75" customHeight="1">
      <c r="A56" s="17" t="s">
        <v>503</v>
      </c>
      <c r="B56" s="44" t="s">
        <v>504</v>
      </c>
      <c r="C56" s="15" t="s">
        <v>310</v>
      </c>
      <c r="D56" s="41">
        <v>0.0</v>
      </c>
      <c r="E56" s="41">
        <v>0.0</v>
      </c>
      <c r="F56" s="41">
        <v>0.0</v>
      </c>
      <c r="G56" s="41">
        <v>0.0</v>
      </c>
      <c r="H56" s="41">
        <v>0.0</v>
      </c>
      <c r="I56" s="41">
        <v>0.0</v>
      </c>
      <c r="J56" s="41">
        <v>0.0</v>
      </c>
      <c r="K56" s="41">
        <v>0.0</v>
      </c>
      <c r="L56" s="40">
        <f t="shared" ref="L56:S56" si="2">L$20/$C$6*$C$7/(1-$C$7)*$C$8*$C$9/1000</f>
        <v>0.006842105263</v>
      </c>
      <c r="M56" s="40">
        <f t="shared" si="2"/>
        <v>0.01710526316</v>
      </c>
      <c r="N56" s="40">
        <f t="shared" si="2"/>
        <v>0.03421052632</v>
      </c>
      <c r="O56" s="40">
        <f t="shared" si="2"/>
        <v>0.06842105263</v>
      </c>
      <c r="P56" s="40">
        <f t="shared" si="2"/>
        <v>0.1710526316</v>
      </c>
      <c r="Q56" s="40">
        <f t="shared" si="2"/>
        <v>0.3421052632</v>
      </c>
      <c r="R56" s="40">
        <f t="shared" si="2"/>
        <v>0.4789473684</v>
      </c>
      <c r="S56" s="40">
        <f t="shared" si="2"/>
        <v>0.6842105263</v>
      </c>
      <c r="T56" s="41">
        <v>0.0</v>
      </c>
      <c r="U56" s="41">
        <v>0.0</v>
      </c>
      <c r="V56" s="41">
        <v>0.0</v>
      </c>
      <c r="W56" s="41">
        <v>0.0</v>
      </c>
      <c r="X56" s="41">
        <v>0.0</v>
      </c>
      <c r="Y56" s="41">
        <v>0.0</v>
      </c>
      <c r="Z56" s="41">
        <v>0.0</v>
      </c>
      <c r="AA56" s="41">
        <v>0.0</v>
      </c>
      <c r="AB56" s="21" t="s">
        <v>515</v>
      </c>
      <c r="AC56" s="45" t="s">
        <v>430</v>
      </c>
    </row>
    <row r="57" ht="12.75" customHeight="1">
      <c r="A57" s="17" t="s">
        <v>523</v>
      </c>
      <c r="B57" s="44" t="s">
        <v>524</v>
      </c>
      <c r="C57" s="15" t="s">
        <v>224</v>
      </c>
      <c r="D57" s="41">
        <v>0.0</v>
      </c>
      <c r="E57" s="41">
        <v>0.0</v>
      </c>
      <c r="F57" s="41">
        <v>0.0</v>
      </c>
      <c r="G57" s="41">
        <v>0.0</v>
      </c>
      <c r="H57" s="41">
        <v>0.0</v>
      </c>
      <c r="I57" s="41">
        <v>0.0</v>
      </c>
      <c r="J57" s="41">
        <v>0.0</v>
      </c>
      <c r="K57" s="41">
        <v>0.0</v>
      </c>
      <c r="L57" s="41">
        <v>1.0</v>
      </c>
      <c r="M57" s="41">
        <v>0.0</v>
      </c>
      <c r="N57" s="41">
        <v>0.0</v>
      </c>
      <c r="O57" s="41">
        <v>0.0</v>
      </c>
      <c r="P57" s="41">
        <v>0.0</v>
      </c>
      <c r="Q57" s="41">
        <v>0.0</v>
      </c>
      <c r="R57" s="41">
        <v>0.0</v>
      </c>
      <c r="S57" s="41">
        <v>0.0</v>
      </c>
      <c r="T57" s="41">
        <v>0.0</v>
      </c>
      <c r="U57" s="41">
        <v>0.0</v>
      </c>
      <c r="V57" s="41">
        <v>0.0</v>
      </c>
      <c r="W57" s="41">
        <v>0.0</v>
      </c>
      <c r="X57" s="41">
        <v>0.0</v>
      </c>
      <c r="Y57" s="41">
        <v>0.0</v>
      </c>
      <c r="Z57" s="41">
        <v>0.0</v>
      </c>
      <c r="AA57" s="41">
        <v>0.0</v>
      </c>
      <c r="AB57" s="21" t="s">
        <v>525</v>
      </c>
      <c r="AC57" s="45" t="s">
        <v>96</v>
      </c>
    </row>
    <row r="58" ht="12.75" customHeight="1">
      <c r="A58" s="17" t="s">
        <v>527</v>
      </c>
      <c r="B58" s="44" t="s">
        <v>528</v>
      </c>
      <c r="C58" s="15" t="s">
        <v>224</v>
      </c>
      <c r="D58" s="41">
        <v>0.0</v>
      </c>
      <c r="E58" s="41">
        <v>0.0</v>
      </c>
      <c r="F58" s="41">
        <v>0.0</v>
      </c>
      <c r="G58" s="41">
        <v>0.0</v>
      </c>
      <c r="H58" s="41">
        <v>0.0</v>
      </c>
      <c r="I58" s="41">
        <v>0.0</v>
      </c>
      <c r="J58" s="41">
        <v>0.0</v>
      </c>
      <c r="K58" s="41">
        <v>0.0</v>
      </c>
      <c r="L58" s="41">
        <v>0.0</v>
      </c>
      <c r="M58" s="41">
        <v>1.0</v>
      </c>
      <c r="N58" s="41">
        <v>1.0</v>
      </c>
      <c r="O58" s="41">
        <v>1.0</v>
      </c>
      <c r="P58" s="41">
        <v>0.0</v>
      </c>
      <c r="Q58" s="41">
        <v>0.0</v>
      </c>
      <c r="R58" s="41">
        <v>0.0</v>
      </c>
      <c r="S58" s="41">
        <v>0.0</v>
      </c>
      <c r="T58" s="41">
        <v>0.0</v>
      </c>
      <c r="U58" s="41">
        <v>0.0</v>
      </c>
      <c r="V58" s="41">
        <v>0.0</v>
      </c>
      <c r="W58" s="41">
        <v>0.0</v>
      </c>
      <c r="X58" s="41">
        <v>0.0</v>
      </c>
      <c r="Y58" s="41">
        <v>0.0</v>
      </c>
      <c r="Z58" s="41">
        <v>0.0</v>
      </c>
      <c r="AA58" s="41">
        <v>0.0</v>
      </c>
      <c r="AB58" s="21" t="s">
        <v>531</v>
      </c>
      <c r="AC58" s="45" t="s">
        <v>96</v>
      </c>
    </row>
    <row r="59" ht="12.75" customHeight="1">
      <c r="A59" s="17" t="s">
        <v>532</v>
      </c>
      <c r="B59" s="44" t="s">
        <v>533</v>
      </c>
      <c r="C59" s="15" t="s">
        <v>224</v>
      </c>
      <c r="D59" s="41">
        <v>0.0</v>
      </c>
      <c r="E59" s="41">
        <v>0.0</v>
      </c>
      <c r="F59" s="41">
        <v>0.0</v>
      </c>
      <c r="G59" s="41">
        <v>0.0</v>
      </c>
      <c r="H59" s="41">
        <v>0.0</v>
      </c>
      <c r="I59" s="41">
        <v>0.0</v>
      </c>
      <c r="J59" s="41">
        <v>0.0</v>
      </c>
      <c r="K59" s="41">
        <v>0.0</v>
      </c>
      <c r="L59" s="41">
        <v>0.0</v>
      </c>
      <c r="M59" s="41">
        <v>0.0</v>
      </c>
      <c r="N59" s="41">
        <v>0.0</v>
      </c>
      <c r="O59" s="41">
        <v>0.0</v>
      </c>
      <c r="P59" s="41">
        <v>1.0</v>
      </c>
      <c r="Q59" s="41">
        <v>1.0</v>
      </c>
      <c r="R59" s="41">
        <v>1.0</v>
      </c>
      <c r="S59" s="41">
        <v>1.0</v>
      </c>
      <c r="T59" s="41">
        <v>0.0</v>
      </c>
      <c r="U59" s="41">
        <v>0.0</v>
      </c>
      <c r="V59" s="41">
        <v>0.0</v>
      </c>
      <c r="W59" s="41">
        <v>0.0</v>
      </c>
      <c r="X59" s="41">
        <v>0.0</v>
      </c>
      <c r="Y59" s="41">
        <v>0.0</v>
      </c>
      <c r="Z59" s="41">
        <v>0.0</v>
      </c>
      <c r="AA59" s="41">
        <v>0.0</v>
      </c>
      <c r="AB59" s="21" t="s">
        <v>537</v>
      </c>
      <c r="AC59" s="45" t="s">
        <v>96</v>
      </c>
    </row>
    <row r="60" ht="12.75" customHeight="1">
      <c r="A60" s="17" t="s">
        <v>538</v>
      </c>
      <c r="B60" s="44" t="s">
        <v>539</v>
      </c>
      <c r="C60" s="15" t="s">
        <v>224</v>
      </c>
      <c r="D60" s="41">
        <v>0.0</v>
      </c>
      <c r="E60" s="41">
        <v>0.0</v>
      </c>
      <c r="F60" s="41">
        <v>0.0</v>
      </c>
      <c r="G60" s="41">
        <v>0.0</v>
      </c>
      <c r="H60" s="41">
        <v>0.0</v>
      </c>
      <c r="I60" s="41">
        <v>0.0</v>
      </c>
      <c r="J60" s="41">
        <v>0.0</v>
      </c>
      <c r="K60" s="41">
        <v>0.0</v>
      </c>
      <c r="L60" s="41">
        <v>1.0</v>
      </c>
      <c r="M60" s="41">
        <v>1.0</v>
      </c>
      <c r="N60" s="41">
        <v>1.0</v>
      </c>
      <c r="O60" s="41">
        <v>1.0</v>
      </c>
      <c r="P60" s="41">
        <v>1.0</v>
      </c>
      <c r="Q60" s="41">
        <v>1.0</v>
      </c>
      <c r="R60" s="41">
        <v>1.0</v>
      </c>
      <c r="S60" s="41">
        <v>1.0</v>
      </c>
      <c r="T60" s="41">
        <v>0.0</v>
      </c>
      <c r="U60" s="41">
        <v>0.0</v>
      </c>
      <c r="V60" s="41">
        <v>0.0</v>
      </c>
      <c r="W60" s="41">
        <v>0.0</v>
      </c>
      <c r="X60" s="41">
        <v>0.0</v>
      </c>
      <c r="Y60" s="41">
        <v>0.0</v>
      </c>
      <c r="Z60" s="41">
        <v>0.0</v>
      </c>
      <c r="AA60" s="41">
        <v>0.0</v>
      </c>
      <c r="AB60" s="21" t="s">
        <v>543</v>
      </c>
      <c r="AC60" s="45" t="s">
        <v>104</v>
      </c>
    </row>
    <row r="61" ht="12.75" customHeight="1">
      <c r="A61" s="17" t="s">
        <v>544</v>
      </c>
      <c r="B61" s="44" t="s">
        <v>545</v>
      </c>
      <c r="C61" s="15" t="s">
        <v>224</v>
      </c>
      <c r="D61" s="41">
        <v>0.0</v>
      </c>
      <c r="E61" s="41">
        <v>0.0</v>
      </c>
      <c r="F61" s="41">
        <v>0.0</v>
      </c>
      <c r="G61" s="41">
        <v>0.0</v>
      </c>
      <c r="H61" s="41">
        <v>0.0</v>
      </c>
      <c r="I61" s="41">
        <v>0.0</v>
      </c>
      <c r="J61" s="41">
        <v>0.0</v>
      </c>
      <c r="K61" s="41">
        <v>0.0</v>
      </c>
      <c r="L61" s="41">
        <v>0.0</v>
      </c>
      <c r="M61" s="41">
        <v>1.0</v>
      </c>
      <c r="N61" s="41">
        <v>1.0</v>
      </c>
      <c r="O61" s="41">
        <v>1.0</v>
      </c>
      <c r="P61" s="41">
        <v>0.0</v>
      </c>
      <c r="Q61" s="41">
        <v>0.0</v>
      </c>
      <c r="R61" s="41">
        <v>0.0</v>
      </c>
      <c r="S61" s="41">
        <v>0.0</v>
      </c>
      <c r="T61" s="41">
        <v>0.0</v>
      </c>
      <c r="U61" s="41">
        <v>0.0</v>
      </c>
      <c r="V61" s="41">
        <v>0.0</v>
      </c>
      <c r="W61" s="41">
        <v>0.0</v>
      </c>
      <c r="X61" s="41">
        <v>0.0</v>
      </c>
      <c r="Y61" s="41">
        <v>0.0</v>
      </c>
      <c r="Z61" s="41">
        <v>0.0</v>
      </c>
      <c r="AA61" s="41">
        <v>0.0</v>
      </c>
      <c r="AB61" s="21" t="s">
        <v>546</v>
      </c>
      <c r="AC61" s="45" t="s">
        <v>104</v>
      </c>
    </row>
    <row r="62" ht="12.75" customHeight="1">
      <c r="A62" s="17" t="s">
        <v>547</v>
      </c>
      <c r="B62" s="44" t="s">
        <v>548</v>
      </c>
      <c r="C62" s="15" t="s">
        <v>224</v>
      </c>
      <c r="D62" s="41">
        <v>0.0</v>
      </c>
      <c r="E62" s="41">
        <v>0.0</v>
      </c>
      <c r="F62" s="41">
        <v>0.0</v>
      </c>
      <c r="G62" s="41">
        <v>0.0</v>
      </c>
      <c r="H62" s="41">
        <v>0.0</v>
      </c>
      <c r="I62" s="41">
        <v>0.0</v>
      </c>
      <c r="J62" s="41">
        <v>0.0</v>
      </c>
      <c r="K62" s="41">
        <v>0.0</v>
      </c>
      <c r="L62" s="41">
        <v>0.0</v>
      </c>
      <c r="M62" s="41">
        <v>0.0</v>
      </c>
      <c r="N62" s="41">
        <v>0.0</v>
      </c>
      <c r="O62" s="41">
        <v>0.0</v>
      </c>
      <c r="P62" s="41">
        <v>1.0</v>
      </c>
      <c r="Q62" s="41">
        <v>1.0</v>
      </c>
      <c r="R62" s="41">
        <v>1.0</v>
      </c>
      <c r="S62" s="41">
        <v>1.0</v>
      </c>
      <c r="T62" s="41">
        <v>0.0</v>
      </c>
      <c r="U62" s="41">
        <v>0.0</v>
      </c>
      <c r="V62" s="41">
        <v>0.0</v>
      </c>
      <c r="W62" s="41">
        <v>0.0</v>
      </c>
      <c r="X62" s="41">
        <v>0.0</v>
      </c>
      <c r="Y62" s="41">
        <v>0.0</v>
      </c>
      <c r="Z62" s="41">
        <v>0.0</v>
      </c>
      <c r="AA62" s="41">
        <v>0.0</v>
      </c>
      <c r="AB62" s="21" t="s">
        <v>553</v>
      </c>
      <c r="AC62" s="45" t="s">
        <v>104</v>
      </c>
    </row>
    <row r="63" ht="12.75" customHeight="1">
      <c r="A63" s="17" t="s">
        <v>554</v>
      </c>
      <c r="B63" s="44" t="s">
        <v>555</v>
      </c>
      <c r="C63" s="15" t="s">
        <v>224</v>
      </c>
      <c r="D63" s="41">
        <v>0.0</v>
      </c>
      <c r="E63" s="41">
        <v>0.0</v>
      </c>
      <c r="F63" s="41">
        <v>0.0</v>
      </c>
      <c r="G63" s="41">
        <v>0.0</v>
      </c>
      <c r="H63" s="41">
        <v>0.0</v>
      </c>
      <c r="I63" s="41">
        <v>0.0</v>
      </c>
      <c r="J63" s="41">
        <v>0.0</v>
      </c>
      <c r="K63" s="41">
        <v>0.0</v>
      </c>
      <c r="L63" s="41">
        <v>0.0</v>
      </c>
      <c r="M63" s="41">
        <v>1.0</v>
      </c>
      <c r="N63" s="41">
        <v>1.0</v>
      </c>
      <c r="O63" s="41">
        <v>1.0</v>
      </c>
      <c r="P63" s="41">
        <v>0.0</v>
      </c>
      <c r="Q63" s="41">
        <v>0.0</v>
      </c>
      <c r="R63" s="41">
        <v>0.0</v>
      </c>
      <c r="S63" s="41">
        <v>0.0</v>
      </c>
      <c r="T63" s="41">
        <v>0.0</v>
      </c>
      <c r="U63" s="41">
        <v>0.0</v>
      </c>
      <c r="V63" s="41">
        <v>0.0</v>
      </c>
      <c r="W63" s="41">
        <v>0.0</v>
      </c>
      <c r="X63" s="41">
        <v>0.0</v>
      </c>
      <c r="Y63" s="41">
        <v>0.0</v>
      </c>
      <c r="Z63" s="41">
        <v>0.0</v>
      </c>
      <c r="AA63" s="41">
        <v>0.0</v>
      </c>
      <c r="AB63" s="21" t="s">
        <v>556</v>
      </c>
      <c r="AC63" s="45" t="s">
        <v>104</v>
      </c>
    </row>
    <row r="64" ht="12.75" customHeight="1">
      <c r="A64" s="17" t="s">
        <v>558</v>
      </c>
      <c r="B64" s="44" t="s">
        <v>559</v>
      </c>
      <c r="C64" s="15" t="s">
        <v>224</v>
      </c>
      <c r="D64" s="41">
        <v>0.0</v>
      </c>
      <c r="E64" s="41">
        <v>0.0</v>
      </c>
      <c r="F64" s="41">
        <v>0.0</v>
      </c>
      <c r="G64" s="41">
        <v>0.0</v>
      </c>
      <c r="H64" s="41">
        <v>0.0</v>
      </c>
      <c r="I64" s="41">
        <v>0.0</v>
      </c>
      <c r="J64" s="41">
        <v>0.0</v>
      </c>
      <c r="K64" s="41">
        <v>0.0</v>
      </c>
      <c r="L64" s="41">
        <v>0.0</v>
      </c>
      <c r="M64" s="41">
        <v>0.0</v>
      </c>
      <c r="N64" s="41">
        <v>0.0</v>
      </c>
      <c r="O64" s="41">
        <v>0.0</v>
      </c>
      <c r="P64" s="41">
        <v>1.0</v>
      </c>
      <c r="Q64" s="41">
        <v>1.0</v>
      </c>
      <c r="R64" s="41">
        <v>1.0</v>
      </c>
      <c r="S64" s="41">
        <v>1.0</v>
      </c>
      <c r="T64" s="41">
        <v>0.0</v>
      </c>
      <c r="U64" s="41">
        <v>0.0</v>
      </c>
      <c r="V64" s="41">
        <v>0.0</v>
      </c>
      <c r="W64" s="41">
        <v>0.0</v>
      </c>
      <c r="X64" s="41">
        <v>0.0</v>
      </c>
      <c r="Y64" s="41">
        <v>0.0</v>
      </c>
      <c r="Z64" s="41">
        <v>0.0</v>
      </c>
      <c r="AA64" s="41">
        <v>0.0</v>
      </c>
      <c r="AB64" s="21" t="s">
        <v>553</v>
      </c>
      <c r="AC64" s="45" t="s">
        <v>104</v>
      </c>
    </row>
    <row r="65" ht="12.75" customHeight="1">
      <c r="A65" s="17" t="s">
        <v>560</v>
      </c>
      <c r="B65" s="44" t="s">
        <v>561</v>
      </c>
      <c r="C65" s="15" t="s">
        <v>224</v>
      </c>
      <c r="D65" s="41">
        <v>0.0</v>
      </c>
      <c r="E65" s="41">
        <v>0.0</v>
      </c>
      <c r="F65" s="41">
        <v>0.0</v>
      </c>
      <c r="G65" s="41">
        <v>0.0</v>
      </c>
      <c r="H65" s="41">
        <v>0.0</v>
      </c>
      <c r="I65" s="41">
        <v>0.0</v>
      </c>
      <c r="J65" s="41">
        <v>0.0</v>
      </c>
      <c r="K65" s="41">
        <v>0.0</v>
      </c>
      <c r="L65" s="41">
        <v>2.0</v>
      </c>
      <c r="M65" s="41">
        <v>2.0</v>
      </c>
      <c r="N65" s="41">
        <v>2.0</v>
      </c>
      <c r="O65" s="41">
        <v>2.0</v>
      </c>
      <c r="P65" s="41">
        <v>2.0</v>
      </c>
      <c r="Q65" s="41">
        <v>2.0</v>
      </c>
      <c r="R65" s="41">
        <v>2.0</v>
      </c>
      <c r="S65" s="41">
        <v>2.0</v>
      </c>
      <c r="T65" s="41">
        <v>0.0</v>
      </c>
      <c r="U65" s="41">
        <v>0.0</v>
      </c>
      <c r="V65" s="41">
        <v>0.0</v>
      </c>
      <c r="W65" s="41">
        <v>0.0</v>
      </c>
      <c r="X65" s="41">
        <v>0.0</v>
      </c>
      <c r="Y65" s="41">
        <v>0.0</v>
      </c>
      <c r="Z65" s="41">
        <v>0.0</v>
      </c>
      <c r="AA65" s="41">
        <v>0.0</v>
      </c>
      <c r="AB65" s="21" t="s">
        <v>562</v>
      </c>
      <c r="AC65" s="45" t="s">
        <v>104</v>
      </c>
    </row>
    <row r="66" ht="12.75" customHeight="1">
      <c r="A66" s="17" t="s">
        <v>563</v>
      </c>
      <c r="B66" s="44" t="s">
        <v>564</v>
      </c>
      <c r="C66" s="15" t="s">
        <v>224</v>
      </c>
      <c r="D66" s="41">
        <v>0.0</v>
      </c>
      <c r="E66" s="41">
        <v>0.0</v>
      </c>
      <c r="F66" s="41">
        <v>0.0</v>
      </c>
      <c r="G66" s="41">
        <v>0.0</v>
      </c>
      <c r="H66" s="41">
        <v>0.0</v>
      </c>
      <c r="I66" s="41">
        <v>0.0</v>
      </c>
      <c r="J66" s="41">
        <v>0.0</v>
      </c>
      <c r="K66" s="41">
        <v>0.0</v>
      </c>
      <c r="L66" s="41">
        <v>1.0</v>
      </c>
      <c r="M66" s="41">
        <v>1.0</v>
      </c>
      <c r="N66" s="41">
        <v>1.0</v>
      </c>
      <c r="O66" s="41">
        <v>1.0</v>
      </c>
      <c r="P66" s="41">
        <v>1.0</v>
      </c>
      <c r="Q66" s="41">
        <v>1.0</v>
      </c>
      <c r="R66" s="41">
        <v>1.0</v>
      </c>
      <c r="S66" s="41">
        <v>1.0</v>
      </c>
      <c r="T66" s="41">
        <v>0.0</v>
      </c>
      <c r="U66" s="41">
        <v>0.0</v>
      </c>
      <c r="V66" s="41">
        <v>0.0</v>
      </c>
      <c r="W66" s="41">
        <v>0.0</v>
      </c>
      <c r="X66" s="41">
        <v>0.0</v>
      </c>
      <c r="Y66" s="41">
        <v>0.0</v>
      </c>
      <c r="Z66" s="41">
        <v>0.0</v>
      </c>
      <c r="AA66" s="41">
        <v>0.0</v>
      </c>
      <c r="AB66" s="21" t="s">
        <v>565</v>
      </c>
      <c r="AC66" s="45" t="s">
        <v>104</v>
      </c>
    </row>
    <row r="67" ht="12.75" customHeight="1">
      <c r="A67" s="17" t="s">
        <v>566</v>
      </c>
      <c r="B67" s="44" t="s">
        <v>567</v>
      </c>
      <c r="C67" s="15" t="s">
        <v>224</v>
      </c>
      <c r="D67" s="41">
        <v>0.0</v>
      </c>
      <c r="E67" s="41">
        <v>0.0</v>
      </c>
      <c r="F67" s="41">
        <v>0.0</v>
      </c>
      <c r="G67" s="41">
        <v>0.0</v>
      </c>
      <c r="H67" s="41">
        <v>0.0</v>
      </c>
      <c r="I67" s="41">
        <v>0.0</v>
      </c>
      <c r="J67" s="41">
        <v>0.0</v>
      </c>
      <c r="K67" s="41">
        <v>0.0</v>
      </c>
      <c r="L67" s="41">
        <v>1.0</v>
      </c>
      <c r="M67" s="41">
        <v>1.0</v>
      </c>
      <c r="N67" s="41">
        <v>1.0</v>
      </c>
      <c r="O67" s="41">
        <v>1.0</v>
      </c>
      <c r="P67" s="41">
        <v>0.0</v>
      </c>
      <c r="Q67" s="41">
        <v>0.0</v>
      </c>
      <c r="R67" s="41">
        <v>0.0</v>
      </c>
      <c r="S67" s="41">
        <v>0.0</v>
      </c>
      <c r="T67" s="41">
        <v>0.0</v>
      </c>
      <c r="U67" s="41">
        <v>0.0</v>
      </c>
      <c r="V67" s="41">
        <v>0.0</v>
      </c>
      <c r="W67" s="41">
        <v>0.0</v>
      </c>
      <c r="X67" s="41">
        <v>0.0</v>
      </c>
      <c r="Y67" s="41">
        <v>0.0</v>
      </c>
      <c r="Z67" s="41">
        <v>0.0</v>
      </c>
      <c r="AA67" s="41">
        <v>0.0</v>
      </c>
      <c r="AB67" s="21" t="s">
        <v>568</v>
      </c>
      <c r="AC67" s="45" t="s">
        <v>104</v>
      </c>
    </row>
    <row r="68" ht="12.75" customHeight="1">
      <c r="A68" s="17" t="s">
        <v>569</v>
      </c>
      <c r="B68" s="44" t="s">
        <v>570</v>
      </c>
      <c r="C68" s="15" t="s">
        <v>224</v>
      </c>
      <c r="D68" s="41">
        <v>0.0</v>
      </c>
      <c r="E68" s="41">
        <v>0.0</v>
      </c>
      <c r="F68" s="41">
        <v>0.0</v>
      </c>
      <c r="G68" s="41">
        <v>0.0</v>
      </c>
      <c r="H68" s="41">
        <v>0.0</v>
      </c>
      <c r="I68" s="41">
        <v>0.0</v>
      </c>
      <c r="J68" s="41">
        <v>0.0</v>
      </c>
      <c r="K68" s="41">
        <v>0.0</v>
      </c>
      <c r="L68" s="41">
        <v>0.0</v>
      </c>
      <c r="M68" s="41">
        <v>0.0</v>
      </c>
      <c r="N68" s="41">
        <v>0.0</v>
      </c>
      <c r="O68" s="41">
        <v>0.0</v>
      </c>
      <c r="P68" s="41">
        <v>1.0</v>
      </c>
      <c r="Q68" s="41">
        <v>1.0</v>
      </c>
      <c r="R68" s="41">
        <v>1.0</v>
      </c>
      <c r="S68" s="41">
        <v>1.0</v>
      </c>
      <c r="T68" s="41">
        <v>0.0</v>
      </c>
      <c r="U68" s="41">
        <v>0.0</v>
      </c>
      <c r="V68" s="41">
        <v>0.0</v>
      </c>
      <c r="W68" s="41">
        <v>0.0</v>
      </c>
      <c r="X68" s="41">
        <v>0.0</v>
      </c>
      <c r="Y68" s="41">
        <v>0.0</v>
      </c>
      <c r="Z68" s="41">
        <v>0.0</v>
      </c>
      <c r="AA68" s="41">
        <v>0.0</v>
      </c>
      <c r="AB68" s="21" t="s">
        <v>537</v>
      </c>
      <c r="AC68" s="45" t="s">
        <v>104</v>
      </c>
    </row>
    <row r="69" ht="12.75" customHeight="1">
      <c r="A69" s="17" t="s">
        <v>571</v>
      </c>
      <c r="B69" s="44" t="s">
        <v>572</v>
      </c>
      <c r="C69" s="15" t="s">
        <v>573</v>
      </c>
      <c r="D69" s="41">
        <v>0.0</v>
      </c>
      <c r="E69" s="41">
        <v>0.0</v>
      </c>
      <c r="F69" s="41">
        <v>0.0</v>
      </c>
      <c r="G69" s="41">
        <v>0.0</v>
      </c>
      <c r="H69" s="41">
        <v>0.0</v>
      </c>
      <c r="I69" s="41">
        <v>0.0</v>
      </c>
      <c r="J69" s="41">
        <v>0.0</v>
      </c>
      <c r="K69" s="41">
        <v>0.0</v>
      </c>
      <c r="L69" s="41">
        <v>0.0</v>
      </c>
      <c r="M69" s="41">
        <v>0.0</v>
      </c>
      <c r="N69" s="41">
        <v>0.0</v>
      </c>
      <c r="O69" s="41">
        <v>0.0</v>
      </c>
      <c r="P69" s="41">
        <v>1.0</v>
      </c>
      <c r="Q69" s="41">
        <v>1.0</v>
      </c>
      <c r="R69" s="41">
        <v>1.0</v>
      </c>
      <c r="S69" s="41">
        <v>1.0</v>
      </c>
      <c r="T69" s="41">
        <v>0.0</v>
      </c>
      <c r="U69" s="41">
        <v>0.0</v>
      </c>
      <c r="V69" s="41">
        <v>0.0</v>
      </c>
      <c r="W69" s="41">
        <v>0.0</v>
      </c>
      <c r="X69" s="41">
        <v>0.0</v>
      </c>
      <c r="Y69" s="41">
        <v>0.0</v>
      </c>
      <c r="Z69" s="41">
        <v>0.0</v>
      </c>
      <c r="AA69" s="41">
        <v>0.0</v>
      </c>
      <c r="AB69" s="21" t="s">
        <v>574</v>
      </c>
      <c r="AC69" s="45" t="s">
        <v>104</v>
      </c>
    </row>
    <row r="70" ht="12.75" customHeight="1">
      <c r="A70" s="17" t="s">
        <v>575</v>
      </c>
      <c r="B70" s="44" t="s">
        <v>576</v>
      </c>
      <c r="C70" s="15" t="s">
        <v>224</v>
      </c>
      <c r="D70" s="41">
        <v>0.0</v>
      </c>
      <c r="E70" s="41">
        <v>0.0</v>
      </c>
      <c r="F70" s="41">
        <v>0.0</v>
      </c>
      <c r="G70" s="41">
        <v>0.0</v>
      </c>
      <c r="H70" s="41">
        <v>0.0</v>
      </c>
      <c r="I70" s="41">
        <v>0.0</v>
      </c>
      <c r="J70" s="41">
        <v>0.0</v>
      </c>
      <c r="K70" s="41">
        <v>0.0</v>
      </c>
      <c r="L70" s="41">
        <v>1.0</v>
      </c>
      <c r="M70" s="41">
        <v>1.0</v>
      </c>
      <c r="N70" s="41">
        <v>1.0</v>
      </c>
      <c r="O70" s="41">
        <v>1.0</v>
      </c>
      <c r="P70" s="41">
        <v>1.0</v>
      </c>
      <c r="Q70" s="41">
        <v>1.0</v>
      </c>
      <c r="R70" s="41">
        <v>1.0</v>
      </c>
      <c r="S70" s="41">
        <v>1.0</v>
      </c>
      <c r="T70" s="41">
        <v>0.0</v>
      </c>
      <c r="U70" s="41">
        <v>0.0</v>
      </c>
      <c r="V70" s="41">
        <v>0.0</v>
      </c>
      <c r="W70" s="41">
        <v>0.0</v>
      </c>
      <c r="X70" s="41">
        <v>0.0</v>
      </c>
      <c r="Y70" s="41">
        <v>0.0</v>
      </c>
      <c r="Z70" s="41">
        <v>0.0</v>
      </c>
      <c r="AA70" s="41">
        <v>0.0</v>
      </c>
      <c r="AB70" s="21" t="s">
        <v>577</v>
      </c>
      <c r="AC70" s="45" t="s">
        <v>104</v>
      </c>
    </row>
    <row r="71" ht="12.75" customHeight="1">
      <c r="A71" s="17" t="s">
        <v>578</v>
      </c>
      <c r="B71" s="44" t="s">
        <v>579</v>
      </c>
      <c r="C71" s="15" t="s">
        <v>224</v>
      </c>
      <c r="D71" s="41">
        <v>0.0</v>
      </c>
      <c r="E71" s="41">
        <v>0.0</v>
      </c>
      <c r="F71" s="41">
        <v>0.0</v>
      </c>
      <c r="G71" s="41">
        <v>0.0</v>
      </c>
      <c r="H71" s="41">
        <v>0.0</v>
      </c>
      <c r="I71" s="41">
        <v>0.0</v>
      </c>
      <c r="J71" s="41">
        <v>0.0</v>
      </c>
      <c r="K71" s="41">
        <v>0.0</v>
      </c>
      <c r="L71" s="41">
        <v>1.0</v>
      </c>
      <c r="M71" s="41">
        <v>1.0</v>
      </c>
      <c r="N71" s="41">
        <v>1.0</v>
      </c>
      <c r="O71" s="41">
        <v>1.0</v>
      </c>
      <c r="P71" s="41">
        <v>1.0</v>
      </c>
      <c r="Q71" s="41">
        <v>1.0</v>
      </c>
      <c r="R71" s="41">
        <v>1.0</v>
      </c>
      <c r="S71" s="41">
        <v>1.0</v>
      </c>
      <c r="T71" s="41">
        <v>0.0</v>
      </c>
      <c r="U71" s="41">
        <v>0.0</v>
      </c>
      <c r="V71" s="41">
        <v>0.0</v>
      </c>
      <c r="W71" s="41">
        <v>0.0</v>
      </c>
      <c r="X71" s="41">
        <v>0.0</v>
      </c>
      <c r="Y71" s="41">
        <v>0.0</v>
      </c>
      <c r="Z71" s="41">
        <v>0.0</v>
      </c>
      <c r="AA71" s="41">
        <v>0.0</v>
      </c>
      <c r="AB71" s="21" t="s">
        <v>565</v>
      </c>
      <c r="AC71" s="45" t="s">
        <v>104</v>
      </c>
    </row>
    <row r="72" ht="12.75" customHeight="1">
      <c r="A72" s="17" t="s">
        <v>580</v>
      </c>
      <c r="B72" s="44" t="s">
        <v>581</v>
      </c>
      <c r="C72" s="15" t="s">
        <v>224</v>
      </c>
      <c r="D72" s="41">
        <v>0.0</v>
      </c>
      <c r="E72" s="41">
        <v>0.0</v>
      </c>
      <c r="F72" s="41">
        <v>0.0</v>
      </c>
      <c r="G72" s="41">
        <v>0.0</v>
      </c>
      <c r="H72" s="41">
        <v>0.0</v>
      </c>
      <c r="I72" s="41">
        <v>0.0</v>
      </c>
      <c r="J72" s="41">
        <v>0.0</v>
      </c>
      <c r="K72" s="41">
        <v>0.0</v>
      </c>
      <c r="L72" s="40">
        <f>1/$C$11</f>
        <v>0.1666666667</v>
      </c>
      <c r="M72" s="41">
        <v>1.0</v>
      </c>
      <c r="N72" s="41">
        <v>1.0</v>
      </c>
      <c r="O72" s="41">
        <v>1.0</v>
      </c>
      <c r="P72" s="41">
        <v>0.0</v>
      </c>
      <c r="Q72" s="41">
        <v>0.0</v>
      </c>
      <c r="R72" s="41">
        <v>0.0</v>
      </c>
      <c r="S72" s="41">
        <v>0.0</v>
      </c>
      <c r="T72" s="41">
        <v>0.0</v>
      </c>
      <c r="U72" s="41">
        <v>0.0</v>
      </c>
      <c r="V72" s="41">
        <v>0.0</v>
      </c>
      <c r="W72" s="41">
        <v>0.0</v>
      </c>
      <c r="X72" s="41">
        <v>0.0</v>
      </c>
      <c r="Y72" s="41">
        <v>0.0</v>
      </c>
      <c r="Z72" s="41">
        <v>0.0</v>
      </c>
      <c r="AA72" s="41">
        <v>0.0</v>
      </c>
      <c r="AB72" s="21" t="s">
        <v>582</v>
      </c>
      <c r="AC72" s="45" t="s">
        <v>104</v>
      </c>
    </row>
    <row r="73" ht="12.75" customHeight="1">
      <c r="A73" s="17" t="s">
        <v>583</v>
      </c>
      <c r="B73" s="44" t="s">
        <v>584</v>
      </c>
      <c r="C73" s="15" t="s">
        <v>224</v>
      </c>
      <c r="D73" s="41">
        <v>0.0</v>
      </c>
      <c r="E73" s="41">
        <v>0.0</v>
      </c>
      <c r="F73" s="41">
        <v>0.0</v>
      </c>
      <c r="G73" s="41">
        <v>0.0</v>
      </c>
      <c r="H73" s="41">
        <v>0.0</v>
      </c>
      <c r="I73" s="41">
        <v>0.0</v>
      </c>
      <c r="J73" s="41">
        <v>0.0</v>
      </c>
      <c r="K73" s="41">
        <v>0.0</v>
      </c>
      <c r="L73" s="40">
        <f>IF('Pallets PT'!C$49=0,0,1/'Pallets PT'!C$49)</f>
        <v>0.002777777778</v>
      </c>
      <c r="M73" s="40">
        <f>IF('Pallets PT'!D$49=0,0,1/'Pallets PT'!D$49)</f>
        <v>0.005952380952</v>
      </c>
      <c r="N73" s="40">
        <f>IF('Pallets PT'!E$49=0,0,1/'Pallets PT'!E$49)</f>
        <v>0.0119047619</v>
      </c>
      <c r="O73" s="40">
        <f>IF('Pallets PT'!F$49=0,0,1/'Pallets PT'!F$49)</f>
        <v>0.01666666667</v>
      </c>
      <c r="P73" s="41">
        <v>0.0</v>
      </c>
      <c r="Q73" s="41">
        <v>0.0</v>
      </c>
      <c r="R73" s="41">
        <v>0.0</v>
      </c>
      <c r="S73" s="41">
        <v>0.0</v>
      </c>
      <c r="T73" s="40">
        <f>IF('Pallets PT'!C$29=0,0,1/'Pallets PT'!C$29)</f>
        <v>0.001282051282</v>
      </c>
      <c r="U73" s="40">
        <f>IF('Pallets PT'!D$29=0,0,1/'Pallets PT'!D$29)</f>
        <v>0.003472222222</v>
      </c>
      <c r="V73" s="40">
        <f>IF('Pallets PT'!E$29=0,0,1/'Pallets PT'!E$29)</f>
        <v>0.007936507937</v>
      </c>
      <c r="W73" s="40">
        <f>IF('Pallets PT'!F$29=0,0,1/'Pallets PT'!F$29)</f>
        <v>0.01666666667</v>
      </c>
      <c r="X73" s="40">
        <f>IF('Pallets PT'!G$29=0,0,1/'Pallets PT'!G$29)</f>
        <v>0.04166666667</v>
      </c>
      <c r="Y73" s="40">
        <f>IF('Pallets PT'!H$29=0,0,1/'Pallets PT'!H$29)</f>
        <v>0.1111111111</v>
      </c>
      <c r="Z73" s="40">
        <f>IF('Pallets PT'!I$29=0,0,1/'Pallets PT'!I$29)</f>
        <v>0.1666666667</v>
      </c>
      <c r="AA73" s="40">
        <f>IF('Pallets PT'!J$29=0,0,1/'Pallets PT'!J$29)</f>
        <v>0.1666666667</v>
      </c>
      <c r="AB73" s="21" t="s">
        <v>585</v>
      </c>
      <c r="AC73" s="45" t="s">
        <v>456</v>
      </c>
    </row>
    <row r="74" ht="12.75" customHeight="1">
      <c r="A74" s="17" t="s">
        <v>586</v>
      </c>
      <c r="B74" s="44" t="s">
        <v>587</v>
      </c>
      <c r="C74" s="15" t="s">
        <v>224</v>
      </c>
      <c r="D74" s="41">
        <v>0.0</v>
      </c>
      <c r="E74" s="41">
        <v>0.0</v>
      </c>
      <c r="F74" s="41">
        <v>0.0</v>
      </c>
      <c r="G74" s="41">
        <v>0.0</v>
      </c>
      <c r="H74" s="41">
        <v>0.0</v>
      </c>
      <c r="I74" s="41">
        <v>0.0</v>
      </c>
      <c r="J74" s="41">
        <v>0.0</v>
      </c>
      <c r="K74" s="41">
        <v>0.0</v>
      </c>
      <c r="L74" s="41">
        <v>0.0</v>
      </c>
      <c r="M74" s="41">
        <v>0.0</v>
      </c>
      <c r="N74" s="41">
        <v>0.0</v>
      </c>
      <c r="O74" s="41">
        <v>0.0</v>
      </c>
      <c r="P74" s="41">
        <v>0.0</v>
      </c>
      <c r="Q74" s="41">
        <v>0.0</v>
      </c>
      <c r="R74" s="41">
        <v>0.0</v>
      </c>
      <c r="S74" s="41">
        <v>0.0</v>
      </c>
      <c r="T74" s="40">
        <f>IF('Pallets PT'!C$29=0,0,'Pallets PT'!C$30/'Pallets PT'!C$29)</f>
        <v>0.00641025641</v>
      </c>
      <c r="U74" s="40">
        <f>IF('Pallets PT'!D$29=0,0,'Pallets PT'!D$30/'Pallets PT'!D$29)</f>
        <v>0.01736111111</v>
      </c>
      <c r="V74" s="40">
        <f>IF('Pallets PT'!E$29=0,0,'Pallets PT'!E$30/'Pallets PT'!E$29)</f>
        <v>0.03174603175</v>
      </c>
      <c r="W74" s="40">
        <f>IF('Pallets PT'!F$29=0,0,'Pallets PT'!F$30/'Pallets PT'!F$29)</f>
        <v>0.05</v>
      </c>
      <c r="X74" s="40">
        <f>IF('Pallets PT'!G$29=0,0,'Pallets PT'!G$30/'Pallets PT'!G$29)</f>
        <v>0.125</v>
      </c>
      <c r="Y74" s="40">
        <f>IF('Pallets PT'!H$29=0,0,'Pallets PT'!H$30/'Pallets PT'!H$29)</f>
        <v>0.2222222222</v>
      </c>
      <c r="Z74" s="40">
        <f>IF('Pallets PT'!I$29=0,0,'Pallets PT'!I$30/'Pallets PT'!I$29)</f>
        <v>0.3333333333</v>
      </c>
      <c r="AA74" s="40">
        <f>IF('Pallets PT'!J$29=0,0,'Pallets PT'!J$30/'Pallets PT'!J$29)</f>
        <v>0.3333333333</v>
      </c>
      <c r="AB74" s="21" t="s">
        <v>597</v>
      </c>
      <c r="AC74" s="45" t="s">
        <v>104</v>
      </c>
    </row>
    <row r="75" ht="12.75" customHeight="1">
      <c r="A75" s="17" t="s">
        <v>598</v>
      </c>
      <c r="B75" s="44" t="s">
        <v>599</v>
      </c>
      <c r="C75" s="15" t="s">
        <v>224</v>
      </c>
      <c r="D75" s="41">
        <v>0.0</v>
      </c>
      <c r="E75" s="41">
        <v>0.0</v>
      </c>
      <c r="F75" s="41">
        <v>0.0</v>
      </c>
      <c r="G75" s="41">
        <v>0.0</v>
      </c>
      <c r="H75" s="41">
        <v>0.0</v>
      </c>
      <c r="I75" s="41">
        <v>0.0</v>
      </c>
      <c r="J75" s="41">
        <v>0.0</v>
      </c>
      <c r="K75" s="41">
        <v>0.0</v>
      </c>
      <c r="L75" s="41">
        <v>0.0</v>
      </c>
      <c r="M75" s="41">
        <v>0.0</v>
      </c>
      <c r="N75" s="41">
        <v>0.0</v>
      </c>
      <c r="O75" s="41">
        <v>0.0</v>
      </c>
      <c r="P75" s="41">
        <v>0.0</v>
      </c>
      <c r="Q75" s="41">
        <v>0.0</v>
      </c>
      <c r="R75" s="41">
        <v>0.0</v>
      </c>
      <c r="S75" s="41">
        <v>0.0</v>
      </c>
      <c r="T75" s="41">
        <v>1.0</v>
      </c>
      <c r="U75" s="41">
        <v>1.0</v>
      </c>
      <c r="V75" s="41">
        <v>1.0</v>
      </c>
      <c r="W75" s="41">
        <v>1.0</v>
      </c>
      <c r="X75" s="41">
        <v>1.0</v>
      </c>
      <c r="Y75" s="41">
        <v>1.0</v>
      </c>
      <c r="Z75" s="41">
        <v>1.0</v>
      </c>
      <c r="AA75" s="41">
        <v>1.0</v>
      </c>
      <c r="AB75" s="21" t="s">
        <v>600</v>
      </c>
      <c r="AC75" s="45" t="s">
        <v>104</v>
      </c>
    </row>
    <row r="76" ht="12.75" customHeight="1">
      <c r="A76" s="17" t="s">
        <v>601</v>
      </c>
      <c r="B76" s="44" t="s">
        <v>602</v>
      </c>
      <c r="C76" s="15" t="s">
        <v>155</v>
      </c>
      <c r="D76" s="41">
        <v>0.0</v>
      </c>
      <c r="E76" s="41">
        <v>0.0</v>
      </c>
      <c r="F76" s="41">
        <v>0.0</v>
      </c>
      <c r="G76" s="41">
        <v>0.0</v>
      </c>
      <c r="H76" s="41">
        <v>0.0</v>
      </c>
      <c r="I76" s="41">
        <v>0.0</v>
      </c>
      <c r="J76" s="41">
        <v>0.0</v>
      </c>
      <c r="K76" s="41">
        <v>0.0</v>
      </c>
      <c r="L76" s="40">
        <f>IF('Pallets PT'!C$49=0,0,$C$15/'Pallets PT'!C$49)</f>
        <v>0.0009722222222</v>
      </c>
      <c r="M76" s="40">
        <f>IF('Pallets PT'!D$49=0,0,$C$15/'Pallets PT'!D$49)</f>
        <v>0.002083333333</v>
      </c>
      <c r="N76" s="40">
        <f>IF('Pallets PT'!E$49=0,0,$C$15/'Pallets PT'!E$49)</f>
        <v>0.004166666667</v>
      </c>
      <c r="O76" s="40">
        <f>IF('Pallets PT'!F$49=0,0,$C$15/'Pallets PT'!F$49)</f>
        <v>0.005833333333</v>
      </c>
      <c r="P76" s="41">
        <v>0.0</v>
      </c>
      <c r="Q76" s="41">
        <v>0.0</v>
      </c>
      <c r="R76" s="41">
        <v>0.0</v>
      </c>
      <c r="S76" s="41">
        <v>0.0</v>
      </c>
      <c r="T76" s="40">
        <f>IF('Pallets PT'!C$29=0,0,$C$15/'Pallets PT'!C$29)</f>
        <v>0.0004487179487</v>
      </c>
      <c r="U76" s="40">
        <f>IF('Pallets PT'!D$29=0,0,$C$15/'Pallets PT'!D$29)</f>
        <v>0.001215277778</v>
      </c>
      <c r="V76" s="40">
        <f>IF('Pallets PT'!E$29=0,0,$C$15/'Pallets PT'!E$29)</f>
        <v>0.002777777778</v>
      </c>
      <c r="W76" s="40">
        <f>IF('Pallets PT'!F$29=0,0,$C$15/'Pallets PT'!F$29)</f>
        <v>0.005833333333</v>
      </c>
      <c r="X76" s="40">
        <f>IF('Pallets PT'!G$29=0,0,$C$15/'Pallets PT'!G$29)</f>
        <v>0.01458333333</v>
      </c>
      <c r="Y76" s="40">
        <f>IF('Pallets PT'!H$29=0,0,$C$15/'Pallets PT'!H$29)</f>
        <v>0.03888888889</v>
      </c>
      <c r="Z76" s="40">
        <f>IF('Pallets PT'!I$29=0,0,$C$15/'Pallets PT'!I$29)</f>
        <v>0.05833333333</v>
      </c>
      <c r="AA76" s="40">
        <f>IF('Pallets PT'!J$29=0,0,$C$15/'Pallets PT'!J$29)</f>
        <v>0.05833333333</v>
      </c>
      <c r="AB76" s="21" t="s">
        <v>603</v>
      </c>
      <c r="AC76" s="45" t="s">
        <v>395</v>
      </c>
    </row>
    <row r="77" ht="12.75" customHeight="1">
      <c r="A77" s="17" t="s">
        <v>604</v>
      </c>
      <c r="B77" s="44" t="s">
        <v>605</v>
      </c>
      <c r="C77" s="15" t="s">
        <v>224</v>
      </c>
      <c r="D77" s="41">
        <v>0.0</v>
      </c>
      <c r="E77" s="41">
        <v>0.0</v>
      </c>
      <c r="F77" s="41">
        <v>0.0</v>
      </c>
      <c r="G77" s="41">
        <v>0.0</v>
      </c>
      <c r="H77" s="41">
        <v>0.0</v>
      </c>
      <c r="I77" s="41">
        <v>0.0</v>
      </c>
      <c r="J77" s="41">
        <v>0.0</v>
      </c>
      <c r="K77" s="41">
        <v>0.0</v>
      </c>
      <c r="L77" s="40">
        <f>IF('Pallets PT'!C$49=0,0,$C$16/'Pallets PT'!C$49)</f>
        <v>0.01111111111</v>
      </c>
      <c r="M77" s="40">
        <f>IF('Pallets PT'!D$49=0,0,$C$16/'Pallets PT'!D$49)</f>
        <v>0.02380952381</v>
      </c>
      <c r="N77" s="40">
        <f>IF('Pallets PT'!E$49=0,0,$C$16/'Pallets PT'!E$49)</f>
        <v>0.04761904762</v>
      </c>
      <c r="O77" s="40">
        <f>IF('Pallets PT'!F$49=0,0,$C$16/'Pallets PT'!F$49)</f>
        <v>0.06666666667</v>
      </c>
      <c r="P77" s="41">
        <v>0.0</v>
      </c>
      <c r="Q77" s="41">
        <v>0.0</v>
      </c>
      <c r="R77" s="41">
        <v>0.0</v>
      </c>
      <c r="S77" s="41">
        <v>0.0</v>
      </c>
      <c r="T77" s="40">
        <f>IF('Pallets PT'!C$29=0,0,$C$16/'Pallets PT'!C$29)</f>
        <v>0.005128205128</v>
      </c>
      <c r="U77" s="40">
        <f>IF('Pallets PT'!D$29=0,0,$C$16/'Pallets PT'!D$29)</f>
        <v>0.01388888889</v>
      </c>
      <c r="V77" s="40">
        <f>IF('Pallets PT'!E$29=0,0,$C$16/'Pallets PT'!E$29)</f>
        <v>0.03174603175</v>
      </c>
      <c r="W77" s="40">
        <f>IF('Pallets PT'!F$29=0,0,$C$16/'Pallets PT'!F$29)</f>
        <v>0.06666666667</v>
      </c>
      <c r="X77" s="40">
        <f>IF('Pallets PT'!G$29=0,0,$C$16/'Pallets PT'!G$29)</f>
        <v>0.1666666667</v>
      </c>
      <c r="Y77" s="40">
        <f>IF('Pallets PT'!H$29=0,0,$C$16/'Pallets PT'!H$29)</f>
        <v>0.4444444444</v>
      </c>
      <c r="Z77" s="40">
        <f>IF('Pallets PT'!I$29=0,0,$C$16/'Pallets PT'!I$29)</f>
        <v>0.6666666667</v>
      </c>
      <c r="AA77" s="40">
        <f>IF('Pallets PT'!J$29=0,0,$C$16/'Pallets PT'!J$29)</f>
        <v>0.6666666667</v>
      </c>
      <c r="AB77" s="21" t="s">
        <v>606</v>
      </c>
      <c r="AC77" s="45" t="s">
        <v>104</v>
      </c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20">
    <mergeCell ref="A1:K1"/>
    <mergeCell ref="A2:K2"/>
    <mergeCell ref="A4:N4"/>
    <mergeCell ref="D5:N5"/>
    <mergeCell ref="D6:N6"/>
    <mergeCell ref="D7:N7"/>
    <mergeCell ref="D8:N8"/>
    <mergeCell ref="D16:N16"/>
    <mergeCell ref="D17:N17"/>
    <mergeCell ref="D18:N18"/>
    <mergeCell ref="D22:K22"/>
    <mergeCell ref="L22:S22"/>
    <mergeCell ref="T22:AA22"/>
    <mergeCell ref="D9:N9"/>
    <mergeCell ref="D10:N10"/>
    <mergeCell ref="D11:N11"/>
    <mergeCell ref="D12:N12"/>
    <mergeCell ref="D13:N13"/>
    <mergeCell ref="D14:N14"/>
    <mergeCell ref="D15:N1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8.0" topLeftCell="D29" activePane="bottomRight" state="frozen"/>
      <selection activeCell="D1" sqref="D1" pane="topRight"/>
      <selection activeCell="A29" sqref="A29" pane="bottomLeft"/>
      <selection activeCell="D29" sqref="D29" pane="bottomRight"/>
    </sheetView>
  </sheetViews>
  <sheetFormatPr customHeight="1" defaultColWidth="12.63" defaultRowHeight="15.0"/>
  <cols>
    <col customWidth="1" min="1" max="1" width="52.0"/>
    <col customWidth="1" min="2" max="2" width="44.0"/>
    <col customWidth="1" min="3" max="3" width="7.0"/>
    <col customWidth="1" min="4" max="20" width="9.0"/>
    <col customWidth="1" min="21" max="21" width="44.0"/>
    <col customWidth="1" min="22" max="22" width="14.0"/>
  </cols>
  <sheetData>
    <row r="1" ht="19.5" customHeight="1">
      <c r="A1" s="3" t="s">
        <v>425</v>
      </c>
      <c r="B1" s="5"/>
      <c r="C1" s="5"/>
      <c r="D1" s="5"/>
      <c r="E1" s="5"/>
      <c r="F1" s="5"/>
      <c r="G1" s="5"/>
      <c r="H1" s="5"/>
      <c r="I1" s="5"/>
      <c r="J1" s="5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7" t="s">
        <v>436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9" t="s">
        <v>363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4" t="s">
        <v>14</v>
      </c>
      <c r="B5" s="4" t="s">
        <v>17</v>
      </c>
      <c r="C5" s="4" t="s">
        <v>18</v>
      </c>
      <c r="D5" s="14" t="s">
        <v>19</v>
      </c>
      <c r="E5" s="11"/>
      <c r="F5" s="11"/>
      <c r="G5" s="11"/>
      <c r="H5" s="11"/>
      <c r="I5" s="11"/>
      <c r="J5" s="11"/>
      <c r="K5" s="11"/>
      <c r="L5" s="11"/>
      <c r="M5" s="11"/>
      <c r="N5" s="1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0" t="s">
        <v>448</v>
      </c>
      <c r="B6" s="15" t="s">
        <v>172</v>
      </c>
      <c r="C6" s="32">
        <v>0.25</v>
      </c>
      <c r="D6" s="22" t="s">
        <v>452</v>
      </c>
      <c r="E6" s="11"/>
      <c r="F6" s="11"/>
      <c r="G6" s="11"/>
      <c r="H6" s="11"/>
      <c r="I6" s="11"/>
      <c r="J6" s="11"/>
      <c r="K6" s="11"/>
      <c r="L6" s="11"/>
      <c r="M6" s="11"/>
      <c r="N6" s="1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 t="s">
        <v>453</v>
      </c>
      <c r="B7" s="15" t="s">
        <v>172</v>
      </c>
      <c r="C7" s="32">
        <v>0.3</v>
      </c>
      <c r="D7" s="22" t="s">
        <v>104</v>
      </c>
      <c r="E7" s="11"/>
      <c r="F7" s="11"/>
      <c r="G7" s="11"/>
      <c r="H7" s="11"/>
      <c r="I7" s="11"/>
      <c r="J7" s="11"/>
      <c r="K7" s="11"/>
      <c r="L7" s="11"/>
      <c r="M7" s="11"/>
      <c r="N7" s="1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0" t="s">
        <v>454</v>
      </c>
      <c r="B8" s="15" t="s">
        <v>172</v>
      </c>
      <c r="C8" s="32">
        <v>0.35</v>
      </c>
      <c r="D8" s="22" t="s">
        <v>455</v>
      </c>
      <c r="E8" s="11"/>
      <c r="F8" s="11"/>
      <c r="G8" s="11"/>
      <c r="H8" s="11"/>
      <c r="I8" s="11"/>
      <c r="J8" s="11"/>
      <c r="K8" s="11"/>
      <c r="L8" s="11"/>
      <c r="M8" s="11"/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0" t="s">
        <v>459</v>
      </c>
      <c r="B9" s="15" t="s">
        <v>172</v>
      </c>
      <c r="C9" s="32">
        <v>0.1</v>
      </c>
      <c r="D9" s="22" t="s">
        <v>104</v>
      </c>
      <c r="E9" s="11"/>
      <c r="F9" s="11"/>
      <c r="G9" s="11"/>
      <c r="H9" s="11"/>
      <c r="I9" s="11"/>
      <c r="J9" s="11"/>
      <c r="K9" s="11"/>
      <c r="L9" s="11"/>
      <c r="M9" s="11"/>
      <c r="N9" s="1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0" t="s">
        <v>460</v>
      </c>
      <c r="B10" s="15" t="s">
        <v>172</v>
      </c>
      <c r="C10" s="32">
        <v>0.05</v>
      </c>
      <c r="D10" s="22" t="s">
        <v>104</v>
      </c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0" t="s">
        <v>463</v>
      </c>
      <c r="B11" s="15" t="s">
        <v>172</v>
      </c>
      <c r="C11" s="32">
        <v>0.06</v>
      </c>
      <c r="D11" s="22" t="s">
        <v>464</v>
      </c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0" t="s">
        <v>465</v>
      </c>
      <c r="B12" s="15" t="s">
        <v>310</v>
      </c>
      <c r="C12" s="16">
        <v>0.036</v>
      </c>
      <c r="D12" s="22" t="s">
        <v>466</v>
      </c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0" t="s">
        <v>467</v>
      </c>
      <c r="B13" s="15" t="s">
        <v>310</v>
      </c>
      <c r="C13" s="16">
        <v>0.18</v>
      </c>
      <c r="D13" s="22" t="s">
        <v>104</v>
      </c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0" t="s">
        <v>468</v>
      </c>
      <c r="B14" s="15" t="s">
        <v>310</v>
      </c>
      <c r="C14" s="16">
        <v>0.022</v>
      </c>
      <c r="D14" s="22" t="s">
        <v>104</v>
      </c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0" t="s">
        <v>469</v>
      </c>
      <c r="B15" s="15" t="s">
        <v>310</v>
      </c>
      <c r="C15" s="16">
        <v>0.02</v>
      </c>
      <c r="D15" s="22" t="s">
        <v>104</v>
      </c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0" t="s">
        <v>470</v>
      </c>
      <c r="B16" s="15" t="s">
        <v>172</v>
      </c>
      <c r="C16" s="32">
        <v>0.08</v>
      </c>
      <c r="D16" s="22" t="s">
        <v>104</v>
      </c>
      <c r="E16" s="11"/>
      <c r="F16" s="11"/>
      <c r="G16" s="11"/>
      <c r="H16" s="11"/>
      <c r="I16" s="11"/>
      <c r="J16" s="11"/>
      <c r="K16" s="11"/>
      <c r="L16" s="11"/>
      <c r="M16" s="11"/>
      <c r="N16" s="1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0" t="s">
        <v>471</v>
      </c>
      <c r="B17" s="15" t="s">
        <v>172</v>
      </c>
      <c r="C17" s="32">
        <v>0.03</v>
      </c>
      <c r="D17" s="22" t="s">
        <v>104</v>
      </c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0" t="s">
        <v>475</v>
      </c>
      <c r="B18" s="15" t="s">
        <v>172</v>
      </c>
      <c r="C18" s="32">
        <v>0.05</v>
      </c>
      <c r="D18" s="22" t="s">
        <v>104</v>
      </c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0" t="s">
        <v>476</v>
      </c>
      <c r="B19" s="15" t="s">
        <v>172</v>
      </c>
      <c r="C19" s="32">
        <v>0.03</v>
      </c>
      <c r="D19" s="22" t="s">
        <v>104</v>
      </c>
      <c r="E19" s="11"/>
      <c r="F19" s="11"/>
      <c r="G19" s="11"/>
      <c r="H19" s="11"/>
      <c r="I19" s="11"/>
      <c r="J19" s="11"/>
      <c r="K19" s="11"/>
      <c r="L19" s="11"/>
      <c r="M19" s="11"/>
      <c r="N19" s="1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0" t="s">
        <v>477</v>
      </c>
      <c r="B20" s="15" t="s">
        <v>172</v>
      </c>
      <c r="C20" s="32">
        <v>0.15</v>
      </c>
      <c r="D20" s="22" t="s">
        <v>455</v>
      </c>
      <c r="E20" s="11"/>
      <c r="F20" s="11"/>
      <c r="G20" s="11"/>
      <c r="H20" s="11"/>
      <c r="I20" s="11"/>
      <c r="J20" s="11"/>
      <c r="K20" s="11"/>
      <c r="L20" s="11"/>
      <c r="M20" s="11"/>
      <c r="N20" s="1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0" t="s">
        <v>478</v>
      </c>
      <c r="B21" s="15" t="s">
        <v>322</v>
      </c>
      <c r="C21" s="16">
        <v>0.05</v>
      </c>
      <c r="D21" s="22" t="s">
        <v>104</v>
      </c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0" t="s">
        <v>479</v>
      </c>
      <c r="B22" s="15" t="s">
        <v>155</v>
      </c>
      <c r="C22" s="16">
        <v>10.0</v>
      </c>
      <c r="D22" s="22" t="s">
        <v>480</v>
      </c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7" t="s">
        <v>482</v>
      </c>
      <c r="B24" s="2"/>
      <c r="C24" s="2"/>
      <c r="D24" s="34">
        <v>1.0</v>
      </c>
      <c r="E24" s="34">
        <v>2.5</v>
      </c>
      <c r="F24" s="34">
        <v>5.0</v>
      </c>
      <c r="G24" s="34">
        <v>10.0</v>
      </c>
      <c r="H24" s="34">
        <v>10.0</v>
      </c>
      <c r="I24" s="34">
        <v>10.0</v>
      </c>
      <c r="J24" s="34">
        <v>50.0</v>
      </c>
      <c r="K24" s="34">
        <v>5.0</v>
      </c>
      <c r="L24" s="34">
        <v>6.0</v>
      </c>
      <c r="M24" s="34">
        <v>2.0</v>
      </c>
      <c r="N24" s="34">
        <v>5.0</v>
      </c>
      <c r="O24" s="34">
        <v>5.0</v>
      </c>
      <c r="P24" s="27">
        <f>$C$22</f>
        <v>10</v>
      </c>
      <c r="Q24" s="34">
        <v>25.0</v>
      </c>
      <c r="R24" s="34">
        <v>50.0</v>
      </c>
      <c r="S24" s="34">
        <v>70.0</v>
      </c>
      <c r="T24" s="34">
        <v>100.0</v>
      </c>
      <c r="U24" s="2"/>
      <c r="V24" s="2"/>
      <c r="W24" s="2"/>
      <c r="X24" s="2"/>
      <c r="Y24" s="2"/>
      <c r="Z24" s="2"/>
    </row>
    <row r="25" ht="12.75" customHeight="1">
      <c r="A25" s="17" t="s">
        <v>485</v>
      </c>
      <c r="B25" s="2"/>
      <c r="C25" s="2"/>
      <c r="D25" s="15" t="s">
        <v>486</v>
      </c>
      <c r="E25" s="15" t="s">
        <v>486</v>
      </c>
      <c r="F25" s="15" t="s">
        <v>486</v>
      </c>
      <c r="G25" s="15" t="s">
        <v>486</v>
      </c>
      <c r="H25" s="15" t="s">
        <v>487</v>
      </c>
      <c r="I25" s="15" t="s">
        <v>487</v>
      </c>
      <c r="J25" s="15" t="s">
        <v>487</v>
      </c>
      <c r="K25" s="15" t="s">
        <v>488</v>
      </c>
      <c r="L25" s="15" t="s">
        <v>487</v>
      </c>
      <c r="M25" s="15" t="s">
        <v>489</v>
      </c>
      <c r="N25" s="15" t="s">
        <v>489</v>
      </c>
      <c r="O25" s="15" t="s">
        <v>490</v>
      </c>
      <c r="P25" s="15" t="s">
        <v>491</v>
      </c>
      <c r="Q25" s="15" t="s">
        <v>486</v>
      </c>
      <c r="R25" s="15" t="s">
        <v>486</v>
      </c>
      <c r="S25" s="15" t="s">
        <v>486</v>
      </c>
      <c r="T25" s="15" t="s">
        <v>486</v>
      </c>
      <c r="U25" s="2"/>
      <c r="V25" s="2"/>
      <c r="W25" s="2"/>
      <c r="X25" s="2"/>
      <c r="Y25" s="2"/>
      <c r="Z25" s="2"/>
    </row>
    <row r="26" ht="12.75" customHeight="1">
      <c r="A26" s="17" t="s">
        <v>492</v>
      </c>
      <c r="B26" s="2"/>
      <c r="C26" s="2"/>
      <c r="D26" s="46">
        <v>1.0</v>
      </c>
      <c r="E26" s="46">
        <v>1.0</v>
      </c>
      <c r="F26" s="46">
        <v>1.0</v>
      </c>
      <c r="G26" s="46">
        <v>1.0</v>
      </c>
      <c r="H26" s="46">
        <v>1.0</v>
      </c>
      <c r="I26" s="46">
        <v>1.0</v>
      </c>
      <c r="J26" s="46">
        <v>1.0</v>
      </c>
      <c r="K26" s="46">
        <v>1.0</v>
      </c>
      <c r="L26" s="46">
        <v>1.0</v>
      </c>
      <c r="M26" s="47">
        <f t="shared" ref="M26:O26" si="1">$C$8</f>
        <v>0.35</v>
      </c>
      <c r="N26" s="47">
        <f t="shared" si="1"/>
        <v>0.35</v>
      </c>
      <c r="O26" s="47">
        <f t="shared" si="1"/>
        <v>0.35</v>
      </c>
      <c r="P26" s="46">
        <v>1.0</v>
      </c>
      <c r="Q26" s="46">
        <v>1.0</v>
      </c>
      <c r="R26" s="46">
        <v>1.0</v>
      </c>
      <c r="S26" s="46">
        <v>1.0</v>
      </c>
      <c r="T26" s="46">
        <v>1.0</v>
      </c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2.0" customHeight="1">
      <c r="A28" s="4" t="s">
        <v>388</v>
      </c>
      <c r="B28" s="4" t="s">
        <v>389</v>
      </c>
      <c r="C28" s="4" t="s">
        <v>17</v>
      </c>
      <c r="D28" s="4" t="s">
        <v>228</v>
      </c>
      <c r="E28" s="4" t="s">
        <v>229</v>
      </c>
      <c r="F28" s="4" t="s">
        <v>230</v>
      </c>
      <c r="G28" s="4" t="s">
        <v>231</v>
      </c>
      <c r="H28" s="4" t="s">
        <v>232</v>
      </c>
      <c r="I28" s="4" t="s">
        <v>233</v>
      </c>
      <c r="J28" s="4" t="s">
        <v>234</v>
      </c>
      <c r="K28" s="4" t="s">
        <v>236</v>
      </c>
      <c r="L28" s="4" t="s">
        <v>237</v>
      </c>
      <c r="M28" s="4" t="s">
        <v>238</v>
      </c>
      <c r="N28" s="4" t="s">
        <v>239</v>
      </c>
      <c r="O28" s="4" t="s">
        <v>240</v>
      </c>
      <c r="P28" s="4" t="s">
        <v>242</v>
      </c>
      <c r="Q28" s="4" t="s">
        <v>243</v>
      </c>
      <c r="R28" s="4" t="s">
        <v>244</v>
      </c>
      <c r="S28" s="4" t="s">
        <v>245</v>
      </c>
      <c r="T28" s="4" t="s">
        <v>246</v>
      </c>
      <c r="U28" s="4" t="s">
        <v>390</v>
      </c>
      <c r="V28" s="4" t="s">
        <v>391</v>
      </c>
      <c r="W28" s="2"/>
      <c r="X28" s="2"/>
      <c r="Y28" s="2"/>
      <c r="Z28" s="2"/>
    </row>
    <row r="29" ht="12.75" customHeight="1">
      <c r="A29" s="17" t="s">
        <v>496</v>
      </c>
      <c r="B29" s="44" t="s">
        <v>497</v>
      </c>
      <c r="C29" s="15" t="s">
        <v>155</v>
      </c>
      <c r="D29" s="40">
        <f t="shared" ref="D29:G29" si="2">D$24*$C$6</f>
        <v>0.25</v>
      </c>
      <c r="E29" s="40">
        <f t="shared" si="2"/>
        <v>0.625</v>
      </c>
      <c r="F29" s="40">
        <f t="shared" si="2"/>
        <v>1.25</v>
      </c>
      <c r="G29" s="40">
        <f t="shared" si="2"/>
        <v>2.5</v>
      </c>
      <c r="H29" s="41">
        <v>0.0</v>
      </c>
      <c r="I29" s="41">
        <v>0.0</v>
      </c>
      <c r="J29" s="41">
        <v>0.0</v>
      </c>
      <c r="K29" s="41">
        <v>0.0</v>
      </c>
      <c r="L29" s="41">
        <v>0.0</v>
      </c>
      <c r="M29" s="41">
        <v>0.0</v>
      </c>
      <c r="N29" s="41">
        <v>0.0</v>
      </c>
      <c r="O29" s="41">
        <v>0.0</v>
      </c>
      <c r="P29" s="41">
        <v>0.0</v>
      </c>
      <c r="Q29" s="40">
        <f t="shared" ref="Q29:T29" si="3">Q$24*$C$6</f>
        <v>6.25</v>
      </c>
      <c r="R29" s="40">
        <f t="shared" si="3"/>
        <v>12.5</v>
      </c>
      <c r="S29" s="40">
        <f t="shared" si="3"/>
        <v>17.5</v>
      </c>
      <c r="T29" s="40">
        <f t="shared" si="3"/>
        <v>25</v>
      </c>
      <c r="U29" s="21" t="s">
        <v>501</v>
      </c>
      <c r="V29" s="45" t="s">
        <v>502</v>
      </c>
      <c r="W29" s="2"/>
      <c r="X29" s="2"/>
      <c r="Y29" s="2"/>
      <c r="Z29" s="2"/>
    </row>
    <row r="30" ht="12.75" customHeight="1">
      <c r="A30" s="17" t="s">
        <v>503</v>
      </c>
      <c r="B30" s="44" t="s">
        <v>504</v>
      </c>
      <c r="C30" s="15" t="s">
        <v>310</v>
      </c>
      <c r="D30" s="40">
        <f>D$24/'Coef Fabricacion'!$C$6*'Coef Fabricacion'!$C$7/(1-'Coef Fabricacion'!$C$7)*'Coef Fabricacion'!$C$8*'Coef Fabricacion'!$C$9/1000</f>
        <v>0.006842105263</v>
      </c>
      <c r="E30" s="40">
        <f>E$24/'Coef Fabricacion'!$C$6*'Coef Fabricacion'!$C$7/(1-'Coef Fabricacion'!$C$7)*'Coef Fabricacion'!$C$8*'Coef Fabricacion'!$C$9/1000</f>
        <v>0.01710526316</v>
      </c>
      <c r="F30" s="40">
        <f>F$24/'Coef Fabricacion'!$C$6*'Coef Fabricacion'!$C$7/(1-'Coef Fabricacion'!$C$7)*'Coef Fabricacion'!$C$8*'Coef Fabricacion'!$C$9/1000</f>
        <v>0.03421052632</v>
      </c>
      <c r="G30" s="40">
        <f>G$24/'Coef Fabricacion'!$C$6*'Coef Fabricacion'!$C$7/(1-'Coef Fabricacion'!$C$7)*'Coef Fabricacion'!$C$8*'Coef Fabricacion'!$C$9/1000</f>
        <v>0.06842105263</v>
      </c>
      <c r="H30" s="40">
        <f t="shared" ref="H30:I30" si="4">$C$12</f>
        <v>0.036</v>
      </c>
      <c r="I30" s="40">
        <f t="shared" si="4"/>
        <v>0.036</v>
      </c>
      <c r="J30" s="40">
        <f>$C$13</f>
        <v>0.18</v>
      </c>
      <c r="K30" s="40">
        <f>K$24/'Coef Fabricacion'!$C$6*'Coef Fabricacion'!$C$7/(1-'Coef Fabricacion'!$C$7)*'Coef Fabricacion'!$C$8*'Coef Fabricacion'!$C$9/1000</f>
        <v>0.03421052632</v>
      </c>
      <c r="L30" s="40">
        <f>$C$14</f>
        <v>0.022</v>
      </c>
      <c r="M30" s="41">
        <v>0.0</v>
      </c>
      <c r="N30" s="41">
        <v>0.0</v>
      </c>
      <c r="O30" s="41">
        <v>0.0</v>
      </c>
      <c r="P30" s="41">
        <v>0.0</v>
      </c>
      <c r="Q30" s="40">
        <f>Q$24/'Coef Fabricacion'!$C$6*'Coef Fabricacion'!$C$7/(1-'Coef Fabricacion'!$C$7)*'Coef Fabricacion'!$C$8*'Coef Fabricacion'!$C$9/1000</f>
        <v>0.1710526316</v>
      </c>
      <c r="R30" s="40">
        <f>R$24/'Coef Fabricacion'!$C$6*'Coef Fabricacion'!$C$7/(1-'Coef Fabricacion'!$C$7)*'Coef Fabricacion'!$C$8*'Coef Fabricacion'!$C$9/1000</f>
        <v>0.3421052632</v>
      </c>
      <c r="S30" s="40">
        <f>S$24/'Coef Fabricacion'!$C$6*'Coef Fabricacion'!$C$7/(1-'Coef Fabricacion'!$C$7)*'Coef Fabricacion'!$C$8*'Coef Fabricacion'!$C$9/1000</f>
        <v>0.4789473684</v>
      </c>
      <c r="T30" s="40">
        <f>T$24/'Coef Fabricacion'!$C$6*'Coef Fabricacion'!$C$7/(1-'Coef Fabricacion'!$C$7)*'Coef Fabricacion'!$C$8*'Coef Fabricacion'!$C$9/1000</f>
        <v>0.6842105263</v>
      </c>
      <c r="U30" s="21" t="s">
        <v>515</v>
      </c>
      <c r="V30" s="45" t="s">
        <v>430</v>
      </c>
      <c r="W30" s="2"/>
      <c r="X30" s="2"/>
      <c r="Y30" s="2"/>
      <c r="Z30" s="2"/>
    </row>
    <row r="31" ht="12.75" customHeight="1">
      <c r="A31" s="17" t="s">
        <v>516</v>
      </c>
      <c r="B31" s="44" t="s">
        <v>517</v>
      </c>
      <c r="C31" s="15" t="s">
        <v>155</v>
      </c>
      <c r="D31" s="41">
        <v>0.0</v>
      </c>
      <c r="E31" s="41">
        <v>0.0</v>
      </c>
      <c r="F31" s="41">
        <v>0.0</v>
      </c>
      <c r="G31" s="41">
        <v>0.0</v>
      </c>
      <c r="H31" s="41">
        <v>0.0</v>
      </c>
      <c r="I31" s="41">
        <v>0.0</v>
      </c>
      <c r="J31" s="41">
        <v>0.0</v>
      </c>
      <c r="K31" s="40">
        <f>K$24*$C$6</f>
        <v>1.25</v>
      </c>
      <c r="L31" s="41">
        <v>0.0</v>
      </c>
      <c r="M31" s="41">
        <v>0.0</v>
      </c>
      <c r="N31" s="41">
        <v>0.0</v>
      </c>
      <c r="O31" s="41">
        <v>0.0</v>
      </c>
      <c r="P31" s="41">
        <v>0.0</v>
      </c>
      <c r="Q31" s="41">
        <v>0.0</v>
      </c>
      <c r="R31" s="41">
        <v>0.0</v>
      </c>
      <c r="S31" s="41">
        <v>0.0</v>
      </c>
      <c r="T31" s="41">
        <v>0.0</v>
      </c>
      <c r="U31" s="21" t="s">
        <v>518</v>
      </c>
      <c r="V31" s="45" t="s">
        <v>96</v>
      </c>
      <c r="W31" s="2"/>
      <c r="X31" s="2"/>
      <c r="Y31" s="2"/>
      <c r="Z31" s="2"/>
    </row>
    <row r="32" ht="12.75" customHeight="1">
      <c r="A32" s="17" t="s">
        <v>519</v>
      </c>
      <c r="B32" s="44" t="s">
        <v>520</v>
      </c>
      <c r="C32" s="15" t="s">
        <v>155</v>
      </c>
      <c r="D32" s="41">
        <v>0.0</v>
      </c>
      <c r="E32" s="41">
        <v>0.0</v>
      </c>
      <c r="F32" s="41">
        <v>0.0</v>
      </c>
      <c r="G32" s="41">
        <v>0.0</v>
      </c>
      <c r="H32" s="41">
        <v>0.0</v>
      </c>
      <c r="I32" s="41">
        <v>0.0</v>
      </c>
      <c r="J32" s="41">
        <v>0.0</v>
      </c>
      <c r="K32" s="41">
        <v>0.0</v>
      </c>
      <c r="L32" s="41">
        <v>0.0</v>
      </c>
      <c r="M32" s="41">
        <v>0.0</v>
      </c>
      <c r="N32" s="41">
        <v>0.0</v>
      </c>
      <c r="O32" s="41">
        <v>0.0</v>
      </c>
      <c r="P32" s="40">
        <f>P$24*$C$7</f>
        <v>3</v>
      </c>
      <c r="Q32" s="41">
        <v>0.0</v>
      </c>
      <c r="R32" s="41">
        <v>0.0</v>
      </c>
      <c r="S32" s="41">
        <v>0.0</v>
      </c>
      <c r="T32" s="41">
        <v>0.0</v>
      </c>
      <c r="U32" s="21" t="s">
        <v>518</v>
      </c>
      <c r="V32" s="45" t="s">
        <v>104</v>
      </c>
      <c r="W32" s="2"/>
      <c r="X32" s="2"/>
      <c r="Y32" s="2"/>
      <c r="Z32" s="2"/>
    </row>
    <row r="33" ht="12.75" customHeight="1">
      <c r="A33" s="17" t="s">
        <v>521</v>
      </c>
      <c r="B33" s="44" t="s">
        <v>522</v>
      </c>
      <c r="C33" s="15" t="s">
        <v>155</v>
      </c>
      <c r="D33" s="41">
        <v>0.0</v>
      </c>
      <c r="E33" s="41">
        <v>0.0</v>
      </c>
      <c r="F33" s="41">
        <v>0.0</v>
      </c>
      <c r="G33" s="41">
        <v>0.0</v>
      </c>
      <c r="H33" s="41">
        <v>0.0</v>
      </c>
      <c r="I33" s="41">
        <v>0.0</v>
      </c>
      <c r="J33" s="41">
        <v>0.0</v>
      </c>
      <c r="K33" s="41">
        <v>0.0</v>
      </c>
      <c r="L33" s="41">
        <v>0.0</v>
      </c>
      <c r="M33" s="40">
        <f t="shared" ref="M33:N33" si="5">M$24*$C$8*(1+$C$9)</f>
        <v>0.77</v>
      </c>
      <c r="N33" s="40">
        <f t="shared" si="5"/>
        <v>1.925</v>
      </c>
      <c r="O33" s="41">
        <v>0.0</v>
      </c>
      <c r="P33" s="41">
        <v>0.0</v>
      </c>
      <c r="Q33" s="41">
        <v>0.0</v>
      </c>
      <c r="R33" s="41">
        <v>0.0</v>
      </c>
      <c r="S33" s="41">
        <v>0.0</v>
      </c>
      <c r="T33" s="41">
        <v>0.0</v>
      </c>
      <c r="U33" s="21" t="s">
        <v>526</v>
      </c>
      <c r="V33" s="45" t="s">
        <v>430</v>
      </c>
      <c r="W33" s="2"/>
      <c r="X33" s="2"/>
      <c r="Y33" s="2"/>
      <c r="Z33" s="2"/>
    </row>
    <row r="34" ht="12.75" customHeight="1">
      <c r="A34" s="17" t="s">
        <v>529</v>
      </c>
      <c r="B34" s="44" t="s">
        <v>530</v>
      </c>
      <c r="C34" s="15" t="s">
        <v>155</v>
      </c>
      <c r="D34" s="41">
        <v>0.0</v>
      </c>
      <c r="E34" s="41">
        <v>0.0</v>
      </c>
      <c r="F34" s="41">
        <v>0.0</v>
      </c>
      <c r="G34" s="41">
        <v>0.0</v>
      </c>
      <c r="H34" s="41">
        <v>0.0</v>
      </c>
      <c r="I34" s="41">
        <v>0.0</v>
      </c>
      <c r="J34" s="41">
        <v>0.0</v>
      </c>
      <c r="K34" s="41">
        <v>0.0</v>
      </c>
      <c r="L34" s="41">
        <v>0.0</v>
      </c>
      <c r="M34" s="41">
        <v>0.0</v>
      </c>
      <c r="N34" s="41">
        <v>0.0</v>
      </c>
      <c r="O34" s="40">
        <f>O$24*$C$8*(1+$C$10)</f>
        <v>1.8375</v>
      </c>
      <c r="P34" s="41">
        <v>0.0</v>
      </c>
      <c r="Q34" s="41">
        <v>0.0</v>
      </c>
      <c r="R34" s="41">
        <v>0.0</v>
      </c>
      <c r="S34" s="41">
        <v>0.0</v>
      </c>
      <c r="T34" s="41">
        <v>0.0</v>
      </c>
      <c r="U34" s="21" t="s">
        <v>534</v>
      </c>
      <c r="V34" s="45" t="s">
        <v>104</v>
      </c>
      <c r="W34" s="2"/>
      <c r="X34" s="2"/>
      <c r="Y34" s="2"/>
      <c r="Z34" s="2"/>
    </row>
    <row r="35" ht="12.75" customHeight="1">
      <c r="A35" s="17" t="s">
        <v>535</v>
      </c>
      <c r="B35" s="44" t="s">
        <v>536</v>
      </c>
      <c r="C35" s="15" t="s">
        <v>310</v>
      </c>
      <c r="D35" s="41">
        <v>0.0</v>
      </c>
      <c r="E35" s="41">
        <v>0.0</v>
      </c>
      <c r="F35" s="41">
        <v>0.0</v>
      </c>
      <c r="G35" s="41">
        <v>0.0</v>
      </c>
      <c r="H35" s="41">
        <v>0.0</v>
      </c>
      <c r="I35" s="41">
        <v>0.0</v>
      </c>
      <c r="J35" s="41">
        <v>0.0</v>
      </c>
      <c r="K35" s="41">
        <v>0.0</v>
      </c>
      <c r="L35" s="41">
        <v>0.0</v>
      </c>
      <c r="M35" s="41">
        <v>0.0</v>
      </c>
      <c r="N35" s="41">
        <v>0.0</v>
      </c>
      <c r="O35" s="40">
        <f>$C$8*$C$15</f>
        <v>0.007</v>
      </c>
      <c r="P35" s="41">
        <v>0.0</v>
      </c>
      <c r="Q35" s="41">
        <v>0.0</v>
      </c>
      <c r="R35" s="41">
        <v>0.0</v>
      </c>
      <c r="S35" s="41">
        <v>0.0</v>
      </c>
      <c r="T35" s="41">
        <v>0.0</v>
      </c>
      <c r="U35" s="21" t="s">
        <v>540</v>
      </c>
      <c r="V35" s="45" t="s">
        <v>104</v>
      </c>
      <c r="W35" s="2"/>
      <c r="X35" s="2"/>
      <c r="Y35" s="2"/>
      <c r="Z35" s="2"/>
    </row>
    <row r="36" ht="12.75" customHeight="1">
      <c r="A36" s="17" t="s">
        <v>541</v>
      </c>
      <c r="B36" s="44" t="s">
        <v>542</v>
      </c>
      <c r="C36" s="15" t="s">
        <v>322</v>
      </c>
      <c r="D36" s="41">
        <v>0.0</v>
      </c>
      <c r="E36" s="41">
        <v>0.0</v>
      </c>
      <c r="F36" s="41">
        <v>0.0</v>
      </c>
      <c r="G36" s="41">
        <v>0.0</v>
      </c>
      <c r="H36" s="41">
        <v>0.0</v>
      </c>
      <c r="I36" s="40">
        <f t="shared" ref="I36:J36" si="6">I$24*$C$11</f>
        <v>0.6</v>
      </c>
      <c r="J36" s="40">
        <f t="shared" si="6"/>
        <v>3</v>
      </c>
      <c r="K36" s="41">
        <v>0.0</v>
      </c>
      <c r="L36" s="41">
        <v>0.0</v>
      </c>
      <c r="M36" s="41">
        <v>0.0</v>
      </c>
      <c r="N36" s="41">
        <v>0.0</v>
      </c>
      <c r="O36" s="41">
        <v>0.0</v>
      </c>
      <c r="P36" s="41">
        <v>0.0</v>
      </c>
      <c r="Q36" s="41">
        <v>0.0</v>
      </c>
      <c r="R36" s="41">
        <v>0.0</v>
      </c>
      <c r="S36" s="41">
        <v>0.0</v>
      </c>
      <c r="T36" s="41">
        <v>0.0</v>
      </c>
      <c r="U36" s="21" t="s">
        <v>549</v>
      </c>
      <c r="V36" s="45" t="s">
        <v>550</v>
      </c>
      <c r="W36" s="2"/>
      <c r="X36" s="2"/>
      <c r="Y36" s="2"/>
      <c r="Z36" s="2"/>
    </row>
    <row r="37" ht="12.75" customHeight="1">
      <c r="A37" s="17" t="s">
        <v>551</v>
      </c>
      <c r="B37" s="44" t="s">
        <v>552</v>
      </c>
      <c r="C37" s="15" t="s">
        <v>322</v>
      </c>
      <c r="D37" s="41">
        <v>0.0</v>
      </c>
      <c r="E37" s="41">
        <v>0.0</v>
      </c>
      <c r="F37" s="41">
        <v>0.0</v>
      </c>
      <c r="G37" s="41">
        <v>0.0</v>
      </c>
      <c r="H37" s="41">
        <v>0.0</v>
      </c>
      <c r="I37" s="41">
        <v>0.0</v>
      </c>
      <c r="J37" s="41">
        <v>0.0</v>
      </c>
      <c r="K37" s="41">
        <v>0.0</v>
      </c>
      <c r="L37" s="40">
        <f>L$24</f>
        <v>6</v>
      </c>
      <c r="M37" s="41">
        <v>0.0</v>
      </c>
      <c r="N37" s="41">
        <v>0.0</v>
      </c>
      <c r="O37" s="41">
        <v>0.0</v>
      </c>
      <c r="P37" s="41">
        <v>0.0</v>
      </c>
      <c r="Q37" s="41">
        <v>0.0</v>
      </c>
      <c r="R37" s="41">
        <v>0.0</v>
      </c>
      <c r="S37" s="41">
        <v>0.0</v>
      </c>
      <c r="T37" s="41">
        <v>0.0</v>
      </c>
      <c r="U37" s="21" t="s">
        <v>557</v>
      </c>
      <c r="V37" s="45" t="s">
        <v>395</v>
      </c>
      <c r="W37" s="2"/>
      <c r="X37" s="2"/>
      <c r="Y37" s="2"/>
      <c r="Z37" s="2"/>
    </row>
    <row r="38" ht="12.75" customHeight="1">
      <c r="A38" s="17" t="s">
        <v>523</v>
      </c>
      <c r="B38" s="44" t="s">
        <v>524</v>
      </c>
      <c r="C38" s="15" t="s">
        <v>224</v>
      </c>
      <c r="D38" s="40">
        <f>$C$17</f>
        <v>0.03</v>
      </c>
      <c r="E38" s="41">
        <v>0.0</v>
      </c>
      <c r="F38" s="41">
        <v>0.0</v>
      </c>
      <c r="G38" s="41">
        <v>0.0</v>
      </c>
      <c r="H38" s="41">
        <v>0.0</v>
      </c>
      <c r="I38" s="41">
        <v>0.0</v>
      </c>
      <c r="J38" s="41">
        <v>0.0</v>
      </c>
      <c r="K38" s="41">
        <v>0.0</v>
      </c>
      <c r="L38" s="41">
        <v>0.0</v>
      </c>
      <c r="M38" s="41">
        <v>0.0</v>
      </c>
      <c r="N38" s="41">
        <v>0.0</v>
      </c>
      <c r="O38" s="41">
        <v>0.0</v>
      </c>
      <c r="P38" s="41">
        <v>0.0</v>
      </c>
      <c r="Q38" s="41">
        <v>0.0</v>
      </c>
      <c r="R38" s="41">
        <v>0.0</v>
      </c>
      <c r="S38" s="41">
        <v>0.0</v>
      </c>
      <c r="T38" s="41">
        <v>0.0</v>
      </c>
      <c r="U38" s="21" t="s">
        <v>525</v>
      </c>
      <c r="V38" s="45" t="s">
        <v>96</v>
      </c>
      <c r="W38" s="2"/>
      <c r="X38" s="2"/>
      <c r="Y38" s="2"/>
      <c r="Z38" s="2"/>
    </row>
    <row r="39" ht="12.75" customHeight="1">
      <c r="A39" s="17" t="s">
        <v>527</v>
      </c>
      <c r="B39" s="44" t="s">
        <v>528</v>
      </c>
      <c r="C39" s="15" t="s">
        <v>224</v>
      </c>
      <c r="D39" s="41">
        <v>0.0</v>
      </c>
      <c r="E39" s="40">
        <f t="shared" ref="E39:I39" si="7">$C$17</f>
        <v>0.03</v>
      </c>
      <c r="F39" s="40">
        <f t="shared" si="7"/>
        <v>0.03</v>
      </c>
      <c r="G39" s="40">
        <f t="shared" si="7"/>
        <v>0.03</v>
      </c>
      <c r="H39" s="40">
        <f t="shared" si="7"/>
        <v>0.03</v>
      </c>
      <c r="I39" s="40">
        <f t="shared" si="7"/>
        <v>0.03</v>
      </c>
      <c r="J39" s="41">
        <v>0.0</v>
      </c>
      <c r="K39" s="40">
        <f t="shared" ref="K39:L39" si="8">$C$17</f>
        <v>0.03</v>
      </c>
      <c r="L39" s="40">
        <f t="shared" si="8"/>
        <v>0.03</v>
      </c>
      <c r="M39" s="41">
        <v>0.0</v>
      </c>
      <c r="N39" s="41">
        <v>0.0</v>
      </c>
      <c r="O39" s="40">
        <f>$C$17</f>
        <v>0.03</v>
      </c>
      <c r="P39" s="41">
        <v>0.0</v>
      </c>
      <c r="Q39" s="41">
        <v>0.0</v>
      </c>
      <c r="R39" s="41">
        <v>0.0</v>
      </c>
      <c r="S39" s="41">
        <v>0.0</v>
      </c>
      <c r="T39" s="41">
        <v>0.0</v>
      </c>
      <c r="U39" s="21" t="s">
        <v>531</v>
      </c>
      <c r="V39" s="45" t="s">
        <v>96</v>
      </c>
      <c r="W39" s="2"/>
      <c r="X39" s="2"/>
      <c r="Y39" s="2"/>
      <c r="Z39" s="2"/>
    </row>
    <row r="40" ht="12.75" customHeight="1">
      <c r="A40" s="17" t="s">
        <v>532</v>
      </c>
      <c r="B40" s="44" t="s">
        <v>533</v>
      </c>
      <c r="C40" s="15" t="s">
        <v>224</v>
      </c>
      <c r="D40" s="41">
        <v>0.0</v>
      </c>
      <c r="E40" s="41">
        <v>0.0</v>
      </c>
      <c r="F40" s="41">
        <v>0.0</v>
      </c>
      <c r="G40" s="41">
        <v>0.0</v>
      </c>
      <c r="H40" s="41">
        <v>0.0</v>
      </c>
      <c r="I40" s="41">
        <v>0.0</v>
      </c>
      <c r="J40" s="40">
        <f>$C$17</f>
        <v>0.03</v>
      </c>
      <c r="K40" s="41">
        <v>0.0</v>
      </c>
      <c r="L40" s="41">
        <v>0.0</v>
      </c>
      <c r="M40" s="41">
        <v>0.0</v>
      </c>
      <c r="N40" s="41">
        <v>0.0</v>
      </c>
      <c r="O40" s="41">
        <v>0.0</v>
      </c>
      <c r="P40" s="41">
        <v>0.0</v>
      </c>
      <c r="Q40" s="40">
        <f t="shared" ref="Q40:T40" si="9">$C$17</f>
        <v>0.03</v>
      </c>
      <c r="R40" s="40">
        <f t="shared" si="9"/>
        <v>0.03</v>
      </c>
      <c r="S40" s="40">
        <f t="shared" si="9"/>
        <v>0.03</v>
      </c>
      <c r="T40" s="40">
        <f t="shared" si="9"/>
        <v>0.03</v>
      </c>
      <c r="U40" s="21" t="s">
        <v>537</v>
      </c>
      <c r="V40" s="45" t="s">
        <v>96</v>
      </c>
      <c r="W40" s="2"/>
      <c r="X40" s="2"/>
      <c r="Y40" s="2"/>
      <c r="Z40" s="2"/>
    </row>
    <row r="41" ht="12.75" customHeight="1">
      <c r="A41" s="17" t="s">
        <v>538</v>
      </c>
      <c r="B41" s="44" t="s">
        <v>539</v>
      </c>
      <c r="C41" s="15" t="s">
        <v>224</v>
      </c>
      <c r="D41" s="40">
        <f t="shared" ref="D41:L41" si="10">$C$16</f>
        <v>0.08</v>
      </c>
      <c r="E41" s="40">
        <f t="shared" si="10"/>
        <v>0.08</v>
      </c>
      <c r="F41" s="40">
        <f t="shared" si="10"/>
        <v>0.08</v>
      </c>
      <c r="G41" s="40">
        <f t="shared" si="10"/>
        <v>0.08</v>
      </c>
      <c r="H41" s="40">
        <f t="shared" si="10"/>
        <v>0.08</v>
      </c>
      <c r="I41" s="40">
        <f t="shared" si="10"/>
        <v>0.08</v>
      </c>
      <c r="J41" s="40">
        <f t="shared" si="10"/>
        <v>0.08</v>
      </c>
      <c r="K41" s="40">
        <f t="shared" si="10"/>
        <v>0.08</v>
      </c>
      <c r="L41" s="40">
        <f t="shared" si="10"/>
        <v>0.08</v>
      </c>
      <c r="M41" s="41">
        <v>0.0</v>
      </c>
      <c r="N41" s="41">
        <v>0.0</v>
      </c>
      <c r="O41" s="40">
        <f>$C$16</f>
        <v>0.08</v>
      </c>
      <c r="P41" s="41">
        <v>0.0</v>
      </c>
      <c r="Q41" s="40">
        <f t="shared" ref="Q41:T41" si="11">$C$16</f>
        <v>0.08</v>
      </c>
      <c r="R41" s="40">
        <f t="shared" si="11"/>
        <v>0.08</v>
      </c>
      <c r="S41" s="40">
        <f t="shared" si="11"/>
        <v>0.08</v>
      </c>
      <c r="T41" s="40">
        <f t="shared" si="11"/>
        <v>0.08</v>
      </c>
      <c r="U41" s="21" t="s">
        <v>543</v>
      </c>
      <c r="V41" s="45" t="s">
        <v>104</v>
      </c>
      <c r="W41" s="2"/>
      <c r="X41" s="2"/>
      <c r="Y41" s="2"/>
      <c r="Z41" s="2"/>
    </row>
    <row r="42" ht="12.75" customHeight="1">
      <c r="A42" s="17" t="s">
        <v>544</v>
      </c>
      <c r="B42" s="44" t="s">
        <v>545</v>
      </c>
      <c r="C42" s="15" t="s">
        <v>224</v>
      </c>
      <c r="D42" s="41">
        <v>0.0</v>
      </c>
      <c r="E42" s="40">
        <f t="shared" ref="E42:I42" si="12">$C$19</f>
        <v>0.03</v>
      </c>
      <c r="F42" s="40">
        <f t="shared" si="12"/>
        <v>0.03</v>
      </c>
      <c r="G42" s="40">
        <f t="shared" si="12"/>
        <v>0.03</v>
      </c>
      <c r="H42" s="40">
        <f t="shared" si="12"/>
        <v>0.03</v>
      </c>
      <c r="I42" s="40">
        <f t="shared" si="12"/>
        <v>0.03</v>
      </c>
      <c r="J42" s="41">
        <v>0.0</v>
      </c>
      <c r="K42" s="40">
        <f t="shared" ref="K42:L42" si="13">$C$19</f>
        <v>0.03</v>
      </c>
      <c r="L42" s="40">
        <f t="shared" si="13"/>
        <v>0.03</v>
      </c>
      <c r="M42" s="41">
        <v>0.0</v>
      </c>
      <c r="N42" s="41">
        <v>0.0</v>
      </c>
      <c r="O42" s="40">
        <f>$C$19</f>
        <v>0.03</v>
      </c>
      <c r="P42" s="41">
        <v>0.0</v>
      </c>
      <c r="Q42" s="41">
        <v>0.0</v>
      </c>
      <c r="R42" s="41">
        <v>0.0</v>
      </c>
      <c r="S42" s="41">
        <v>0.0</v>
      </c>
      <c r="T42" s="41">
        <v>0.0</v>
      </c>
      <c r="U42" s="21" t="s">
        <v>546</v>
      </c>
      <c r="V42" s="45" t="s">
        <v>104</v>
      </c>
      <c r="W42" s="2"/>
      <c r="X42" s="2"/>
      <c r="Y42" s="2"/>
      <c r="Z42" s="2"/>
    </row>
    <row r="43" ht="12.75" customHeight="1">
      <c r="A43" s="17" t="s">
        <v>547</v>
      </c>
      <c r="B43" s="44" t="s">
        <v>548</v>
      </c>
      <c r="C43" s="15" t="s">
        <v>224</v>
      </c>
      <c r="D43" s="41">
        <v>0.0</v>
      </c>
      <c r="E43" s="41">
        <v>0.0</v>
      </c>
      <c r="F43" s="41">
        <v>0.0</v>
      </c>
      <c r="G43" s="41">
        <v>0.0</v>
      </c>
      <c r="H43" s="41">
        <v>0.0</v>
      </c>
      <c r="I43" s="41">
        <v>0.0</v>
      </c>
      <c r="J43" s="40">
        <f>$C$19</f>
        <v>0.03</v>
      </c>
      <c r="K43" s="41">
        <v>0.0</v>
      </c>
      <c r="L43" s="41">
        <v>0.0</v>
      </c>
      <c r="M43" s="41">
        <v>0.0</v>
      </c>
      <c r="N43" s="41">
        <v>0.0</v>
      </c>
      <c r="O43" s="41">
        <v>0.0</v>
      </c>
      <c r="P43" s="41">
        <v>0.0</v>
      </c>
      <c r="Q43" s="40">
        <f t="shared" ref="Q43:T43" si="14">$C$19</f>
        <v>0.03</v>
      </c>
      <c r="R43" s="40">
        <f t="shared" si="14"/>
        <v>0.03</v>
      </c>
      <c r="S43" s="40">
        <f t="shared" si="14"/>
        <v>0.03</v>
      </c>
      <c r="T43" s="40">
        <f t="shared" si="14"/>
        <v>0.03</v>
      </c>
      <c r="U43" s="21" t="s">
        <v>553</v>
      </c>
      <c r="V43" s="45" t="s">
        <v>104</v>
      </c>
      <c r="W43" s="2"/>
      <c r="X43" s="2"/>
      <c r="Y43" s="2"/>
      <c r="Z43" s="2"/>
    </row>
    <row r="44" ht="12.75" customHeight="1">
      <c r="A44" s="17" t="s">
        <v>554</v>
      </c>
      <c r="B44" s="44" t="s">
        <v>555</v>
      </c>
      <c r="C44" s="15" t="s">
        <v>224</v>
      </c>
      <c r="D44" s="41">
        <v>0.0</v>
      </c>
      <c r="E44" s="40">
        <f t="shared" ref="E44:I44" si="15">$C$18</f>
        <v>0.05</v>
      </c>
      <c r="F44" s="40">
        <f t="shared" si="15"/>
        <v>0.05</v>
      </c>
      <c r="G44" s="40">
        <f t="shared" si="15"/>
        <v>0.05</v>
      </c>
      <c r="H44" s="40">
        <f t="shared" si="15"/>
        <v>0.05</v>
      </c>
      <c r="I44" s="40">
        <f t="shared" si="15"/>
        <v>0.05</v>
      </c>
      <c r="J44" s="41">
        <v>0.0</v>
      </c>
      <c r="K44" s="40">
        <f t="shared" ref="K44:P44" si="16">$C$18</f>
        <v>0.05</v>
      </c>
      <c r="L44" s="40">
        <f t="shared" si="16"/>
        <v>0.05</v>
      </c>
      <c r="M44" s="40">
        <f t="shared" si="16"/>
        <v>0.05</v>
      </c>
      <c r="N44" s="40">
        <f t="shared" si="16"/>
        <v>0.05</v>
      </c>
      <c r="O44" s="40">
        <f t="shared" si="16"/>
        <v>0.05</v>
      </c>
      <c r="P44" s="40">
        <f t="shared" si="16"/>
        <v>0.05</v>
      </c>
      <c r="Q44" s="41">
        <v>0.0</v>
      </c>
      <c r="R44" s="41">
        <v>0.0</v>
      </c>
      <c r="S44" s="41">
        <v>0.0</v>
      </c>
      <c r="T44" s="41">
        <v>0.0</v>
      </c>
      <c r="U44" s="21" t="s">
        <v>556</v>
      </c>
      <c r="V44" s="45" t="s">
        <v>104</v>
      </c>
      <c r="W44" s="2"/>
      <c r="X44" s="2"/>
      <c r="Y44" s="2"/>
      <c r="Z44" s="2"/>
    </row>
    <row r="45" ht="12.75" customHeight="1">
      <c r="A45" s="17" t="s">
        <v>558</v>
      </c>
      <c r="B45" s="44" t="s">
        <v>559</v>
      </c>
      <c r="C45" s="15" t="s">
        <v>224</v>
      </c>
      <c r="D45" s="41">
        <v>0.0</v>
      </c>
      <c r="E45" s="41">
        <v>0.0</v>
      </c>
      <c r="F45" s="41">
        <v>0.0</v>
      </c>
      <c r="G45" s="41">
        <v>0.0</v>
      </c>
      <c r="H45" s="41">
        <v>0.0</v>
      </c>
      <c r="I45" s="41">
        <v>0.0</v>
      </c>
      <c r="J45" s="40">
        <f>$C$18</f>
        <v>0.05</v>
      </c>
      <c r="K45" s="41">
        <v>0.0</v>
      </c>
      <c r="L45" s="41">
        <v>0.0</v>
      </c>
      <c r="M45" s="41">
        <v>0.0</v>
      </c>
      <c r="N45" s="41">
        <v>0.0</v>
      </c>
      <c r="O45" s="41">
        <v>0.0</v>
      </c>
      <c r="P45" s="41">
        <v>0.0</v>
      </c>
      <c r="Q45" s="40">
        <f t="shared" ref="Q45:T45" si="17">$C$18</f>
        <v>0.05</v>
      </c>
      <c r="R45" s="40">
        <f t="shared" si="17"/>
        <v>0.05</v>
      </c>
      <c r="S45" s="40">
        <f t="shared" si="17"/>
        <v>0.05</v>
      </c>
      <c r="T45" s="40">
        <f t="shared" si="17"/>
        <v>0.05</v>
      </c>
      <c r="U45" s="21" t="s">
        <v>553</v>
      </c>
      <c r="V45" s="45" t="s">
        <v>104</v>
      </c>
      <c r="W45" s="2"/>
      <c r="X45" s="2"/>
      <c r="Y45" s="2"/>
      <c r="Z45" s="2"/>
    </row>
    <row r="46" ht="12.75" customHeight="1">
      <c r="A46" s="17" t="s">
        <v>560</v>
      </c>
      <c r="B46" s="44" t="s">
        <v>561</v>
      </c>
      <c r="C46" s="15" t="s">
        <v>224</v>
      </c>
      <c r="D46" s="40">
        <f t="shared" ref="D46:T46" si="18">2*D$26</f>
        <v>2</v>
      </c>
      <c r="E46" s="40">
        <f t="shared" si="18"/>
        <v>2</v>
      </c>
      <c r="F46" s="40">
        <f t="shared" si="18"/>
        <v>2</v>
      </c>
      <c r="G46" s="40">
        <f t="shared" si="18"/>
        <v>2</v>
      </c>
      <c r="H46" s="40">
        <f t="shared" si="18"/>
        <v>2</v>
      </c>
      <c r="I46" s="40">
        <f t="shared" si="18"/>
        <v>2</v>
      </c>
      <c r="J46" s="40">
        <f t="shared" si="18"/>
        <v>2</v>
      </c>
      <c r="K46" s="40">
        <f t="shared" si="18"/>
        <v>2</v>
      </c>
      <c r="L46" s="40">
        <f t="shared" si="18"/>
        <v>2</v>
      </c>
      <c r="M46" s="40">
        <f t="shared" si="18"/>
        <v>0.7</v>
      </c>
      <c r="N46" s="40">
        <f t="shared" si="18"/>
        <v>0.7</v>
      </c>
      <c r="O46" s="40">
        <f t="shared" si="18"/>
        <v>0.7</v>
      </c>
      <c r="P46" s="40">
        <f t="shared" si="18"/>
        <v>2</v>
      </c>
      <c r="Q46" s="40">
        <f t="shared" si="18"/>
        <v>2</v>
      </c>
      <c r="R46" s="40">
        <f t="shared" si="18"/>
        <v>2</v>
      </c>
      <c r="S46" s="40">
        <f t="shared" si="18"/>
        <v>2</v>
      </c>
      <c r="T46" s="40">
        <f t="shared" si="18"/>
        <v>2</v>
      </c>
      <c r="U46" s="21" t="s">
        <v>562</v>
      </c>
      <c r="V46" s="45" t="s">
        <v>104</v>
      </c>
      <c r="W46" s="2"/>
      <c r="X46" s="2"/>
      <c r="Y46" s="2"/>
      <c r="Z46" s="2"/>
    </row>
    <row r="47" ht="12.75" customHeight="1">
      <c r="A47" s="17" t="s">
        <v>563</v>
      </c>
      <c r="B47" s="44" t="s">
        <v>564</v>
      </c>
      <c r="C47" s="15" t="s">
        <v>224</v>
      </c>
      <c r="D47" s="41">
        <v>1.0</v>
      </c>
      <c r="E47" s="41">
        <v>1.0</v>
      </c>
      <c r="F47" s="41">
        <v>1.0</v>
      </c>
      <c r="G47" s="41">
        <v>1.0</v>
      </c>
      <c r="H47" s="41">
        <v>1.0</v>
      </c>
      <c r="I47" s="41">
        <v>1.0</v>
      </c>
      <c r="J47" s="41">
        <v>1.0</v>
      </c>
      <c r="K47" s="41">
        <v>1.0</v>
      </c>
      <c r="L47" s="41">
        <v>1.0</v>
      </c>
      <c r="M47" s="41">
        <v>1.0</v>
      </c>
      <c r="N47" s="41">
        <v>1.0</v>
      </c>
      <c r="O47" s="41">
        <v>1.0</v>
      </c>
      <c r="P47" s="41">
        <v>1.0</v>
      </c>
      <c r="Q47" s="41">
        <v>1.0</v>
      </c>
      <c r="R47" s="41">
        <v>1.0</v>
      </c>
      <c r="S47" s="41">
        <v>1.0</v>
      </c>
      <c r="T47" s="41">
        <v>1.0</v>
      </c>
      <c r="U47" s="21" t="s">
        <v>565</v>
      </c>
      <c r="V47" s="45" t="s">
        <v>104</v>
      </c>
      <c r="W47" s="2"/>
      <c r="X47" s="2"/>
      <c r="Y47" s="2"/>
      <c r="Z47" s="2"/>
    </row>
    <row r="48" ht="12.75" customHeight="1">
      <c r="A48" s="17" t="s">
        <v>588</v>
      </c>
      <c r="B48" s="44" t="s">
        <v>589</v>
      </c>
      <c r="C48" s="15" t="s">
        <v>224</v>
      </c>
      <c r="D48" s="41">
        <v>0.0</v>
      </c>
      <c r="E48" s="41">
        <v>0.0</v>
      </c>
      <c r="F48" s="41">
        <v>0.0</v>
      </c>
      <c r="G48" s="41">
        <v>0.0</v>
      </c>
      <c r="H48" s="41">
        <v>0.0</v>
      </c>
      <c r="I48" s="41">
        <v>0.0</v>
      </c>
      <c r="J48" s="41">
        <v>0.0</v>
      </c>
      <c r="K48" s="41">
        <v>0.0</v>
      </c>
      <c r="L48" s="41">
        <v>0.0</v>
      </c>
      <c r="M48" s="40">
        <f t="shared" ref="M48:N48" si="19">$C$8</f>
        <v>0.35</v>
      </c>
      <c r="N48" s="40">
        <f t="shared" si="19"/>
        <v>0.35</v>
      </c>
      <c r="O48" s="41">
        <v>0.0</v>
      </c>
      <c r="P48" s="41">
        <v>0.0</v>
      </c>
      <c r="Q48" s="41">
        <v>0.0</v>
      </c>
      <c r="R48" s="41">
        <v>0.0</v>
      </c>
      <c r="S48" s="41">
        <v>0.0</v>
      </c>
      <c r="T48" s="41">
        <v>0.0</v>
      </c>
      <c r="U48" s="21" t="s">
        <v>590</v>
      </c>
      <c r="V48" s="45" t="s">
        <v>93</v>
      </c>
      <c r="W48" s="2"/>
      <c r="X48" s="2"/>
      <c r="Y48" s="2"/>
      <c r="Z48" s="2"/>
    </row>
    <row r="49" ht="12.75" customHeight="1">
      <c r="A49" s="17" t="s">
        <v>591</v>
      </c>
      <c r="B49" s="44" t="s">
        <v>592</v>
      </c>
      <c r="C49" s="15" t="s">
        <v>224</v>
      </c>
      <c r="D49" s="41">
        <v>1.0</v>
      </c>
      <c r="E49" s="41">
        <v>1.0</v>
      </c>
      <c r="F49" s="41">
        <v>1.0</v>
      </c>
      <c r="G49" s="41">
        <v>1.0</v>
      </c>
      <c r="H49" s="41">
        <v>1.0</v>
      </c>
      <c r="I49" s="41">
        <v>1.0</v>
      </c>
      <c r="J49" s="41">
        <v>1.0</v>
      </c>
      <c r="K49" s="41">
        <v>1.0</v>
      </c>
      <c r="L49" s="41">
        <v>1.0</v>
      </c>
      <c r="M49" s="41">
        <v>1.0</v>
      </c>
      <c r="N49" s="41">
        <v>1.0</v>
      </c>
      <c r="O49" s="41">
        <v>1.0</v>
      </c>
      <c r="P49" s="41">
        <v>1.0</v>
      </c>
      <c r="Q49" s="41">
        <v>1.0</v>
      </c>
      <c r="R49" s="41">
        <v>1.0</v>
      </c>
      <c r="S49" s="41">
        <v>1.0</v>
      </c>
      <c r="T49" s="41">
        <v>1.0</v>
      </c>
      <c r="U49" s="21" t="s">
        <v>593</v>
      </c>
      <c r="V49" s="45" t="s">
        <v>104</v>
      </c>
      <c r="W49" s="2"/>
      <c r="X49" s="2"/>
      <c r="Y49" s="2"/>
      <c r="Z49" s="2"/>
    </row>
    <row r="50" ht="12.75" customHeight="1">
      <c r="A50" s="17" t="s">
        <v>578</v>
      </c>
      <c r="B50" s="44" t="s">
        <v>579</v>
      </c>
      <c r="C50" s="15" t="s">
        <v>224</v>
      </c>
      <c r="D50" s="41">
        <v>1.0</v>
      </c>
      <c r="E50" s="41">
        <v>1.0</v>
      </c>
      <c r="F50" s="41">
        <v>1.0</v>
      </c>
      <c r="G50" s="41">
        <v>1.0</v>
      </c>
      <c r="H50" s="41">
        <v>1.0</v>
      </c>
      <c r="I50" s="41">
        <v>1.0</v>
      </c>
      <c r="J50" s="41">
        <v>1.0</v>
      </c>
      <c r="K50" s="41">
        <v>1.0</v>
      </c>
      <c r="L50" s="41">
        <v>1.0</v>
      </c>
      <c r="M50" s="41">
        <v>1.0</v>
      </c>
      <c r="N50" s="41">
        <v>1.0</v>
      </c>
      <c r="O50" s="41">
        <v>1.0</v>
      </c>
      <c r="P50" s="41">
        <v>1.0</v>
      </c>
      <c r="Q50" s="41">
        <v>1.0</v>
      </c>
      <c r="R50" s="41">
        <v>1.0</v>
      </c>
      <c r="S50" s="41">
        <v>1.0</v>
      </c>
      <c r="T50" s="41">
        <v>1.0</v>
      </c>
      <c r="U50" s="21" t="s">
        <v>565</v>
      </c>
      <c r="V50" s="45" t="s">
        <v>104</v>
      </c>
      <c r="W50" s="2"/>
      <c r="X50" s="2"/>
      <c r="Y50" s="2"/>
      <c r="Z50" s="2"/>
    </row>
    <row r="51" ht="12.75" customHeight="1">
      <c r="A51" s="17" t="s">
        <v>594</v>
      </c>
      <c r="B51" s="44" t="s">
        <v>595</v>
      </c>
      <c r="C51" s="15" t="s">
        <v>322</v>
      </c>
      <c r="D51" s="40">
        <f t="shared" ref="D51:T51" si="20">$C$20*$C$21</f>
        <v>0.0075</v>
      </c>
      <c r="E51" s="40">
        <f t="shared" si="20"/>
        <v>0.0075</v>
      </c>
      <c r="F51" s="40">
        <f t="shared" si="20"/>
        <v>0.0075</v>
      </c>
      <c r="G51" s="40">
        <f t="shared" si="20"/>
        <v>0.0075</v>
      </c>
      <c r="H51" s="40">
        <f t="shared" si="20"/>
        <v>0.0075</v>
      </c>
      <c r="I51" s="40">
        <f t="shared" si="20"/>
        <v>0.0075</v>
      </c>
      <c r="J51" s="40">
        <f t="shared" si="20"/>
        <v>0.0075</v>
      </c>
      <c r="K51" s="40">
        <f t="shared" si="20"/>
        <v>0.0075</v>
      </c>
      <c r="L51" s="40">
        <f t="shared" si="20"/>
        <v>0.0075</v>
      </c>
      <c r="M51" s="40">
        <f t="shared" si="20"/>
        <v>0.0075</v>
      </c>
      <c r="N51" s="40">
        <f t="shared" si="20"/>
        <v>0.0075</v>
      </c>
      <c r="O51" s="40">
        <f t="shared" si="20"/>
        <v>0.0075</v>
      </c>
      <c r="P51" s="40">
        <f t="shared" si="20"/>
        <v>0.0075</v>
      </c>
      <c r="Q51" s="40">
        <f t="shared" si="20"/>
        <v>0.0075</v>
      </c>
      <c r="R51" s="40">
        <f t="shared" si="20"/>
        <v>0.0075</v>
      </c>
      <c r="S51" s="40">
        <f t="shared" si="20"/>
        <v>0.0075</v>
      </c>
      <c r="T51" s="40">
        <f t="shared" si="20"/>
        <v>0.0075</v>
      </c>
      <c r="U51" s="21" t="s">
        <v>596</v>
      </c>
      <c r="V51" s="45" t="s">
        <v>430</v>
      </c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1:K1"/>
    <mergeCell ref="A2:K2"/>
    <mergeCell ref="A4:N4"/>
    <mergeCell ref="D5:N5"/>
    <mergeCell ref="D6:N6"/>
    <mergeCell ref="D7:N7"/>
    <mergeCell ref="D8:N8"/>
    <mergeCell ref="D16:N16"/>
    <mergeCell ref="D17:N17"/>
    <mergeCell ref="D18:N18"/>
    <mergeCell ref="D19:N19"/>
    <mergeCell ref="D20:N20"/>
    <mergeCell ref="D21:N21"/>
    <mergeCell ref="D22:N22"/>
    <mergeCell ref="D9:N9"/>
    <mergeCell ref="D10:N10"/>
    <mergeCell ref="D11:N11"/>
    <mergeCell ref="D12:N12"/>
    <mergeCell ref="D13:N13"/>
    <mergeCell ref="D14:N14"/>
    <mergeCell ref="D15:N1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8.0"/>
    <col customWidth="1" min="2" max="2" width="56.0"/>
    <col customWidth="1" min="3" max="3" width="8.0"/>
    <col customWidth="1" min="4" max="13" width="12.0"/>
    <col customWidth="1" min="14" max="14" width="14.0"/>
  </cols>
  <sheetData>
    <row r="1" ht="19.5" customHeight="1">
      <c r="A1" s="3" t="s">
        <v>607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7" t="s">
        <v>608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4" t="s">
        <v>388</v>
      </c>
      <c r="B5" s="4" t="s">
        <v>389</v>
      </c>
      <c r="C5" s="4" t="s">
        <v>17</v>
      </c>
      <c r="D5" s="4" t="s">
        <v>38</v>
      </c>
      <c r="E5" s="4" t="s">
        <v>63</v>
      </c>
      <c r="F5" s="4" t="s">
        <v>69</v>
      </c>
      <c r="G5" s="4" t="s">
        <v>74</v>
      </c>
      <c r="H5" s="4" t="s">
        <v>79</v>
      </c>
      <c r="I5" s="4" t="s">
        <v>83</v>
      </c>
      <c r="J5" s="4" t="s">
        <v>86</v>
      </c>
      <c r="K5" s="4" t="s">
        <v>89</v>
      </c>
      <c r="L5" s="4" t="s">
        <v>95</v>
      </c>
      <c r="M5" s="4" t="s">
        <v>100</v>
      </c>
      <c r="N5" s="4" t="s">
        <v>609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7" t="s">
        <v>392</v>
      </c>
      <c r="B6" s="44" t="s">
        <v>393</v>
      </c>
      <c r="C6" s="15" t="s">
        <v>331</v>
      </c>
      <c r="D6" s="19">
        <f>SUMPRODUCT('Coef Fabricacion'!$D$24:$K$24,Volumenes!$B$32:$I$32)+SUMPRODUCT('Coef Fabricacion'!$L$24:$S$24,Volumenes!$B$6:$I$6)+SUMPRODUCT('Coef Fabricacion'!$T$24:$AA$24,Volumenes!$B$19:$I$19)</f>
        <v>181.6956522</v>
      </c>
      <c r="E6" s="19">
        <f>SUMPRODUCT('Coef Fabricacion'!$D$24:$K$24,Volumenes!$B$33:$I$33)+SUMPRODUCT('Coef Fabricacion'!$L$24:$S$24,Volumenes!$B$7:$I$7)+SUMPRODUCT('Coef Fabricacion'!$T$24:$AA$24,Volumenes!$B$20:$I$20)</f>
        <v>260.7391304</v>
      </c>
      <c r="F6" s="19">
        <f>SUMPRODUCT('Coef Fabricacion'!$D$24:$K$24,Volumenes!$B$34:$I$34)+SUMPRODUCT('Coef Fabricacion'!$L$24:$S$24,Volumenes!$B$8:$I$8)+SUMPRODUCT('Coef Fabricacion'!$T$24:$AA$24,Volumenes!$B$21:$I$21)</f>
        <v>631.0434783</v>
      </c>
      <c r="G6" s="19">
        <f>SUMPRODUCT('Coef Fabricacion'!$D$24:$K$24,Volumenes!$B$35:$I$35)+SUMPRODUCT('Coef Fabricacion'!$L$24:$S$24,Volumenes!$B$9:$I$9)+SUMPRODUCT('Coef Fabricacion'!$T$24:$AA$24,Volumenes!$B$22:$I$22)</f>
        <v>1528.782609</v>
      </c>
      <c r="H6" s="19">
        <f>SUMPRODUCT('Coef Fabricacion'!$D$24:$K$24,Volumenes!$B$36:$I$36)+SUMPRODUCT('Coef Fabricacion'!$L$24:$S$24,Volumenes!$B$10:$I$10)+SUMPRODUCT('Coef Fabricacion'!$T$24:$AA$24,Volumenes!$B$23:$I$23)</f>
        <v>2700.695652</v>
      </c>
      <c r="I6" s="19">
        <f>SUMPRODUCT('Coef Fabricacion'!$D$24:$K$24,Volumenes!$B$37:$I$37)+SUMPRODUCT('Coef Fabricacion'!$L$24:$S$24,Volumenes!$B$11:$I$11)+SUMPRODUCT('Coef Fabricacion'!$T$24:$AA$24,Volumenes!$B$24:$I$24)</f>
        <v>3795.652174</v>
      </c>
      <c r="J6" s="19">
        <f>SUMPRODUCT('Coef Fabricacion'!$D$24:$K$24,Volumenes!$B$38:$I$38)+SUMPRODUCT('Coef Fabricacion'!$L$24:$S$24,Volumenes!$B$12:$I$12)+SUMPRODUCT('Coef Fabricacion'!$T$24:$AA$24,Volumenes!$B$25:$I$25)</f>
        <v>5290.173913</v>
      </c>
      <c r="K6" s="19">
        <f>SUMPRODUCT('Coef Fabricacion'!$D$24:$K$24,Volumenes!$B$39:$I$39)+SUMPRODUCT('Coef Fabricacion'!$L$24:$S$24,Volumenes!$B$13:$I$13)+SUMPRODUCT('Coef Fabricacion'!$T$24:$AA$24,Volumenes!$B$26:$I$26)</f>
        <v>6788.391304</v>
      </c>
      <c r="L6" s="19">
        <f>SUMPRODUCT('Coef Fabricacion'!$D$24:$K$24,Volumenes!$B$40:$I$40)+SUMPRODUCT('Coef Fabricacion'!$L$24:$S$24,Volumenes!$B$14:$I$14)+SUMPRODUCT('Coef Fabricacion'!$T$24:$AA$24,Volumenes!$B$27:$I$27)</f>
        <v>7625.782609</v>
      </c>
      <c r="M6" s="19">
        <f>SUMPRODUCT('Coef Fabricacion'!$D$24:$K$24,Volumenes!$B$41:$I$41)+SUMPRODUCT('Coef Fabricacion'!$L$24:$S$24,Volumenes!$B$15:$I$15)+SUMPRODUCT('Coef Fabricacion'!$T$24:$AA$24,Volumenes!$B$28:$I$28)</f>
        <v>8809.608696</v>
      </c>
      <c r="N6" s="48">
        <f t="shared" ref="N6:N69" si="1">IF(F6=0,"—",M6/F6)</f>
        <v>13.96038308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7" t="s">
        <v>396</v>
      </c>
      <c r="B7" s="44" t="s">
        <v>397</v>
      </c>
      <c r="C7" s="15" t="s">
        <v>340</v>
      </c>
      <c r="D7" s="19">
        <f>SUMPRODUCT('Coef Fabricacion'!$D$25:$K$25,Volumenes!$B$32:$I$32)+SUMPRODUCT('Coef Fabricacion'!$L$25:$S$25,Volumenes!$B$6:$I$6)+SUMPRODUCT('Coef Fabricacion'!$T$25:$AA$25,Volumenes!$B$19:$I$19)</f>
        <v>10.92592593</v>
      </c>
      <c r="E7" s="19">
        <f>SUMPRODUCT('Coef Fabricacion'!$D$25:$K$25,Volumenes!$B$33:$I$33)+SUMPRODUCT('Coef Fabricacion'!$L$25:$S$25,Volumenes!$B$7:$I$7)+SUMPRODUCT('Coef Fabricacion'!$T$25:$AA$25,Volumenes!$B$20:$I$20)</f>
        <v>26.25925926</v>
      </c>
      <c r="F7" s="19">
        <f>SUMPRODUCT('Coef Fabricacion'!$D$25:$K$25,Volumenes!$B$34:$I$34)+SUMPRODUCT('Coef Fabricacion'!$L$25:$S$25,Volumenes!$B$8:$I$8)+SUMPRODUCT('Coef Fabricacion'!$T$25:$AA$25,Volumenes!$B$21:$I$21)</f>
        <v>47.66666667</v>
      </c>
      <c r="G7" s="19">
        <f>SUMPRODUCT('Coef Fabricacion'!$D$25:$K$25,Volumenes!$B$35:$I$35)+SUMPRODUCT('Coef Fabricacion'!$L$25:$S$25,Volumenes!$B$9:$I$9)+SUMPRODUCT('Coef Fabricacion'!$T$25:$AA$25,Volumenes!$B$22:$I$22)</f>
        <v>94.25925926</v>
      </c>
      <c r="H7" s="19">
        <f>SUMPRODUCT('Coef Fabricacion'!$D$25:$K$25,Volumenes!$B$36:$I$36)+SUMPRODUCT('Coef Fabricacion'!$L$25:$S$25,Volumenes!$B$10:$I$10)+SUMPRODUCT('Coef Fabricacion'!$T$25:$AA$25,Volumenes!$B$23:$I$23)</f>
        <v>157.2222222</v>
      </c>
      <c r="I7" s="19">
        <f>SUMPRODUCT('Coef Fabricacion'!$D$25:$K$25,Volumenes!$B$37:$I$37)+SUMPRODUCT('Coef Fabricacion'!$L$25:$S$25,Volumenes!$B$11:$I$11)+SUMPRODUCT('Coef Fabricacion'!$T$25:$AA$25,Volumenes!$B$24:$I$24)</f>
        <v>224.2592593</v>
      </c>
      <c r="J7" s="19">
        <f>SUMPRODUCT('Coef Fabricacion'!$D$25:$K$25,Volumenes!$B$38:$I$38)+SUMPRODUCT('Coef Fabricacion'!$L$25:$S$25,Volumenes!$B$12:$I$12)+SUMPRODUCT('Coef Fabricacion'!$T$25:$AA$25,Volumenes!$B$25:$I$25)</f>
        <v>298.7407407</v>
      </c>
      <c r="K7" s="19">
        <f>SUMPRODUCT('Coef Fabricacion'!$D$25:$K$25,Volumenes!$B$39:$I$39)+SUMPRODUCT('Coef Fabricacion'!$L$25:$S$25,Volumenes!$B$13:$I$13)+SUMPRODUCT('Coef Fabricacion'!$T$25:$AA$25,Volumenes!$B$26:$I$26)</f>
        <v>378.8148148</v>
      </c>
      <c r="L7" s="19">
        <f>SUMPRODUCT('Coef Fabricacion'!$D$25:$K$25,Volumenes!$B$40:$I$40)+SUMPRODUCT('Coef Fabricacion'!$L$25:$S$25,Volumenes!$B$14:$I$14)+SUMPRODUCT('Coef Fabricacion'!$T$25:$AA$25,Volumenes!$B$27:$I$27)</f>
        <v>442.0740741</v>
      </c>
      <c r="M7" s="19">
        <f>SUMPRODUCT('Coef Fabricacion'!$D$25:$K$25,Volumenes!$B$41:$I$41)+SUMPRODUCT('Coef Fabricacion'!$L$25:$S$25,Volumenes!$B$15:$I$15)+SUMPRODUCT('Coef Fabricacion'!$T$25:$AA$25,Volumenes!$B$28:$I$28)</f>
        <v>522</v>
      </c>
      <c r="N7" s="48">
        <f t="shared" si="1"/>
        <v>10.95104895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7" t="s">
        <v>400</v>
      </c>
      <c r="B8" s="44" t="s">
        <v>401</v>
      </c>
      <c r="C8" s="15" t="s">
        <v>340</v>
      </c>
      <c r="D8" s="19">
        <f>SUMPRODUCT('Coef Fabricacion'!$D$26:$K$26,Volumenes!$B$32:$I$32)+SUMPRODUCT('Coef Fabricacion'!$L$26:$S$26,Volumenes!$B$6:$I$6)+SUMPRODUCT('Coef Fabricacion'!$T$26:$AA$26,Volumenes!$B$19:$I$19)</f>
        <v>188</v>
      </c>
      <c r="E8" s="19">
        <f>SUMPRODUCT('Coef Fabricacion'!$D$26:$K$26,Volumenes!$B$33:$I$33)+SUMPRODUCT('Coef Fabricacion'!$L$26:$S$26,Volumenes!$B$7:$I$7)+SUMPRODUCT('Coef Fabricacion'!$T$26:$AA$26,Volumenes!$B$20:$I$20)</f>
        <v>320.5833333</v>
      </c>
      <c r="F8" s="19">
        <f>SUMPRODUCT('Coef Fabricacion'!$D$26:$K$26,Volumenes!$B$34:$I$34)+SUMPRODUCT('Coef Fabricacion'!$L$26:$S$26,Volumenes!$B$8:$I$8)+SUMPRODUCT('Coef Fabricacion'!$T$26:$AA$26,Volumenes!$B$21:$I$21)</f>
        <v>547.75</v>
      </c>
      <c r="G8" s="19">
        <f>SUMPRODUCT('Coef Fabricacion'!$D$26:$K$26,Volumenes!$B$35:$I$35)+SUMPRODUCT('Coef Fabricacion'!$L$26:$S$26,Volumenes!$B$9:$I$9)+SUMPRODUCT('Coef Fabricacion'!$T$26:$AA$26,Volumenes!$B$22:$I$22)</f>
        <v>997.9166667</v>
      </c>
      <c r="H8" s="19">
        <f>SUMPRODUCT('Coef Fabricacion'!$D$26:$K$26,Volumenes!$B$36:$I$36)+SUMPRODUCT('Coef Fabricacion'!$L$26:$S$26,Volumenes!$B$10:$I$10)+SUMPRODUCT('Coef Fabricacion'!$T$26:$AA$26,Volumenes!$B$23:$I$23)</f>
        <v>1696.666667</v>
      </c>
      <c r="I8" s="19">
        <f>SUMPRODUCT('Coef Fabricacion'!$D$26:$K$26,Volumenes!$B$37:$I$37)+SUMPRODUCT('Coef Fabricacion'!$L$26:$S$26,Volumenes!$B$11:$I$11)+SUMPRODUCT('Coef Fabricacion'!$T$26:$AA$26,Volumenes!$B$24:$I$24)</f>
        <v>2370</v>
      </c>
      <c r="J8" s="19">
        <f>SUMPRODUCT('Coef Fabricacion'!$D$26:$K$26,Volumenes!$B$38:$I$38)+SUMPRODUCT('Coef Fabricacion'!$L$26:$S$26,Volumenes!$B$12:$I$12)+SUMPRODUCT('Coef Fabricacion'!$T$26:$AA$26,Volumenes!$B$25:$I$25)</f>
        <v>3203.083333</v>
      </c>
      <c r="K8" s="19">
        <f>SUMPRODUCT('Coef Fabricacion'!$D$26:$K$26,Volumenes!$B$39:$I$39)+SUMPRODUCT('Coef Fabricacion'!$L$26:$S$26,Volumenes!$B$13:$I$13)+SUMPRODUCT('Coef Fabricacion'!$T$26:$AA$26,Volumenes!$B$26:$I$26)</f>
        <v>4054.25</v>
      </c>
      <c r="L8" s="19">
        <f>SUMPRODUCT('Coef Fabricacion'!$D$26:$K$26,Volumenes!$B$40:$I$40)+SUMPRODUCT('Coef Fabricacion'!$L$26:$S$26,Volumenes!$B$14:$I$14)+SUMPRODUCT('Coef Fabricacion'!$T$26:$AA$26,Volumenes!$B$27:$I$27)</f>
        <v>4608.666667</v>
      </c>
      <c r="M8" s="19">
        <f>SUMPRODUCT('Coef Fabricacion'!$D$26:$K$26,Volumenes!$B$41:$I$41)+SUMPRODUCT('Coef Fabricacion'!$L$26:$S$26,Volumenes!$B$15:$I$15)+SUMPRODUCT('Coef Fabricacion'!$T$26:$AA$26,Volumenes!$B$28:$I$28)</f>
        <v>5305.5</v>
      </c>
      <c r="N8" s="48">
        <f t="shared" si="1"/>
        <v>9.685988133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7" t="s">
        <v>402</v>
      </c>
      <c r="B9" s="44" t="s">
        <v>403</v>
      </c>
      <c r="C9" s="15" t="s">
        <v>340</v>
      </c>
      <c r="D9" s="19">
        <f>SUMPRODUCT('Coef Fabricacion'!$D$27:$K$27,Volumenes!$B$32:$I$32)+SUMPRODUCT('Coef Fabricacion'!$L$27:$S$27,Volumenes!$B$6:$I$6)+SUMPRODUCT('Coef Fabricacion'!$T$27:$AA$27,Volumenes!$B$19:$I$19)</f>
        <v>6.133333333</v>
      </c>
      <c r="E9" s="19">
        <f>SUMPRODUCT('Coef Fabricacion'!$D$27:$K$27,Volumenes!$B$33:$I$33)+SUMPRODUCT('Coef Fabricacion'!$L$27:$S$27,Volumenes!$B$7:$I$7)+SUMPRODUCT('Coef Fabricacion'!$T$27:$AA$27,Volumenes!$B$20:$I$20)</f>
        <v>11.8</v>
      </c>
      <c r="F9" s="19">
        <f>SUMPRODUCT('Coef Fabricacion'!$D$27:$K$27,Volumenes!$B$34:$I$34)+SUMPRODUCT('Coef Fabricacion'!$L$27:$S$27,Volumenes!$B$8:$I$8)+SUMPRODUCT('Coef Fabricacion'!$T$27:$AA$27,Volumenes!$B$21:$I$21)</f>
        <v>22.86666667</v>
      </c>
      <c r="G9" s="19">
        <f>SUMPRODUCT('Coef Fabricacion'!$D$27:$K$27,Volumenes!$B$35:$I$35)+SUMPRODUCT('Coef Fabricacion'!$L$27:$S$27,Volumenes!$B$9:$I$9)+SUMPRODUCT('Coef Fabricacion'!$T$27:$AA$27,Volumenes!$B$22:$I$22)</f>
        <v>44.86666667</v>
      </c>
      <c r="H9" s="19">
        <f>SUMPRODUCT('Coef Fabricacion'!$D$27:$K$27,Volumenes!$B$36:$I$36)+SUMPRODUCT('Coef Fabricacion'!$L$27:$S$27,Volumenes!$B$10:$I$10)+SUMPRODUCT('Coef Fabricacion'!$T$27:$AA$27,Volumenes!$B$23:$I$23)</f>
        <v>79.06666667</v>
      </c>
      <c r="I9" s="19">
        <f>SUMPRODUCT('Coef Fabricacion'!$D$27:$K$27,Volumenes!$B$37:$I$37)+SUMPRODUCT('Coef Fabricacion'!$L$27:$S$27,Volumenes!$B$11:$I$11)+SUMPRODUCT('Coef Fabricacion'!$T$27:$AA$27,Volumenes!$B$24:$I$24)</f>
        <v>114.5333333</v>
      </c>
      <c r="J9" s="19">
        <f>SUMPRODUCT('Coef Fabricacion'!$D$27:$K$27,Volumenes!$B$38:$I$38)+SUMPRODUCT('Coef Fabricacion'!$L$27:$S$27,Volumenes!$B$12:$I$12)+SUMPRODUCT('Coef Fabricacion'!$T$27:$AA$27,Volumenes!$B$25:$I$25)</f>
        <v>154.8</v>
      </c>
      <c r="K9" s="19">
        <f>SUMPRODUCT('Coef Fabricacion'!$D$27:$K$27,Volumenes!$B$39:$I$39)+SUMPRODUCT('Coef Fabricacion'!$L$27:$S$27,Volumenes!$B$13:$I$13)+SUMPRODUCT('Coef Fabricacion'!$T$27:$AA$27,Volumenes!$B$26:$I$26)</f>
        <v>196</v>
      </c>
      <c r="L9" s="19">
        <f>SUMPRODUCT('Coef Fabricacion'!$D$27:$K$27,Volumenes!$B$40:$I$40)+SUMPRODUCT('Coef Fabricacion'!$L$27:$S$27,Volumenes!$B$14:$I$14)+SUMPRODUCT('Coef Fabricacion'!$T$27:$AA$27,Volumenes!$B$27:$I$27)</f>
        <v>222.8666667</v>
      </c>
      <c r="M9" s="19">
        <f>SUMPRODUCT('Coef Fabricacion'!$D$27:$K$27,Volumenes!$B$41:$I$41)+SUMPRODUCT('Coef Fabricacion'!$L$27:$S$27,Volumenes!$B$15:$I$15)+SUMPRODUCT('Coef Fabricacion'!$T$27:$AA$27,Volumenes!$B$28:$I$28)</f>
        <v>256.8</v>
      </c>
      <c r="N9" s="48">
        <f t="shared" si="1"/>
        <v>11.2303207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7" t="s">
        <v>404</v>
      </c>
      <c r="B10" s="44" t="s">
        <v>405</v>
      </c>
      <c r="C10" s="15" t="s">
        <v>155</v>
      </c>
      <c r="D10" s="19">
        <f>SUMPRODUCT('Coef Fabricacion'!$D$28:$K$28,Volumenes!$B$32:$I$32)+SUMPRODUCT('Coef Fabricacion'!$L$28:$S$28,Volumenes!$B$6:$I$6)+SUMPRODUCT('Coef Fabricacion'!$T$28:$AA$28,Volumenes!$B$19:$I$19)</f>
        <v>373.6047313</v>
      </c>
      <c r="E10" s="19">
        <f>SUMPRODUCT('Coef Fabricacion'!$D$28:$K$28,Volumenes!$B$33:$I$33)+SUMPRODUCT('Coef Fabricacion'!$L$28:$S$28,Volumenes!$B$7:$I$7)+SUMPRODUCT('Coef Fabricacion'!$T$28:$AA$28,Volumenes!$B$20:$I$20)</f>
        <v>536.1348585</v>
      </c>
      <c r="F10" s="19">
        <f>SUMPRODUCT('Coef Fabricacion'!$D$28:$K$28,Volumenes!$B$34:$I$34)+SUMPRODUCT('Coef Fabricacion'!$L$28:$S$28,Volumenes!$B$8:$I$8)+SUMPRODUCT('Coef Fabricacion'!$T$28:$AA$28,Volumenes!$B$21:$I$21)</f>
        <v>1297.559002</v>
      </c>
      <c r="G10" s="19">
        <f>SUMPRODUCT('Coef Fabricacion'!$D$28:$K$28,Volumenes!$B$35:$I$35)+SUMPRODUCT('Coef Fabricacion'!$L$28:$S$28,Volumenes!$B$9:$I$9)+SUMPRODUCT('Coef Fabricacion'!$T$28:$AA$28,Volumenes!$B$22:$I$22)</f>
        <v>3143.500733</v>
      </c>
      <c r="H10" s="19">
        <f>SUMPRODUCT('Coef Fabricacion'!$D$28:$K$28,Volumenes!$B$36:$I$36)+SUMPRODUCT('Coef Fabricacion'!$L$28:$S$28,Volumenes!$B$10:$I$10)+SUMPRODUCT('Coef Fabricacion'!$T$28:$AA$28,Volumenes!$B$23:$I$23)</f>
        <v>5553.202079</v>
      </c>
      <c r="I10" s="19">
        <f>SUMPRODUCT('Coef Fabricacion'!$D$28:$K$28,Volumenes!$B$37:$I$37)+SUMPRODUCT('Coef Fabricacion'!$L$28:$S$28,Volumenes!$B$11:$I$11)+SUMPRODUCT('Coef Fabricacion'!$T$28:$AA$28,Volumenes!$B$24:$I$24)</f>
        <v>7804.664523</v>
      </c>
      <c r="J10" s="19">
        <f>SUMPRODUCT('Coef Fabricacion'!$D$28:$K$28,Volumenes!$B$38:$I$38)+SUMPRODUCT('Coef Fabricacion'!$L$28:$S$28,Volumenes!$B$12:$I$12)+SUMPRODUCT('Coef Fabricacion'!$T$28:$AA$28,Volumenes!$B$25:$I$25)</f>
        <v>10877.71765</v>
      </c>
      <c r="K10" s="19">
        <f>SUMPRODUCT('Coef Fabricacion'!$D$28:$K$28,Volumenes!$B$39:$I$39)+SUMPRODUCT('Coef Fabricacion'!$L$28:$S$28,Volumenes!$B$13:$I$13)+SUMPRODUCT('Coef Fabricacion'!$T$28:$AA$28,Volumenes!$B$26:$I$26)</f>
        <v>13958.36983</v>
      </c>
      <c r="L10" s="19">
        <f>SUMPRODUCT('Coef Fabricacion'!$D$28:$K$28,Volumenes!$B$40:$I$40)+SUMPRODUCT('Coef Fabricacion'!$L$28:$S$28,Volumenes!$B$14:$I$14)+SUMPRODUCT('Coef Fabricacion'!$T$28:$AA$28,Volumenes!$B$27:$I$27)</f>
        <v>15680.22365</v>
      </c>
      <c r="M10" s="19">
        <f>SUMPRODUCT('Coef Fabricacion'!$D$28:$K$28,Volumenes!$B$41:$I$41)+SUMPRODUCT('Coef Fabricacion'!$L$28:$S$28,Volumenes!$B$15:$I$15)+SUMPRODUCT('Coef Fabricacion'!$T$28:$AA$28,Volumenes!$B$28:$I$28)</f>
        <v>18114.42074</v>
      </c>
      <c r="N10" s="48">
        <f t="shared" si="1"/>
        <v>13.96038308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7" t="s">
        <v>407</v>
      </c>
      <c r="B11" s="44" t="s">
        <v>408</v>
      </c>
      <c r="C11" s="15" t="s">
        <v>155</v>
      </c>
      <c r="D11" s="19">
        <f>SUMPRODUCT('Coef Fabricacion'!$D$29:$K$29,Volumenes!$B$32:$I$32)+SUMPRODUCT('Coef Fabricacion'!$L$29:$S$29,Volumenes!$B$6:$I$6)+SUMPRODUCT('Coef Fabricacion'!$T$29:$AA$29,Volumenes!$B$19:$I$19)</f>
        <v>192.7861875</v>
      </c>
      <c r="E11" s="19">
        <f>SUMPRODUCT('Coef Fabricacion'!$D$29:$K$29,Volumenes!$B$33:$I$33)+SUMPRODUCT('Coef Fabricacion'!$L$29:$S$29,Volumenes!$B$7:$I$7)+SUMPRODUCT('Coef Fabricacion'!$T$29:$AA$29,Volumenes!$B$20:$I$20)</f>
        <v>463.3403625</v>
      </c>
      <c r="F11" s="19">
        <f>SUMPRODUCT('Coef Fabricacion'!$D$29:$K$29,Volumenes!$B$34:$I$34)+SUMPRODUCT('Coef Fabricacion'!$L$29:$S$29,Volumenes!$B$8:$I$8)+SUMPRODUCT('Coef Fabricacion'!$T$29:$AA$29,Volumenes!$B$21:$I$21)</f>
        <v>841.0705875</v>
      </c>
      <c r="G11" s="19">
        <f>SUMPRODUCT('Coef Fabricacion'!$D$29:$K$29,Volumenes!$B$35:$I$35)+SUMPRODUCT('Coef Fabricacion'!$L$29:$S$29,Volumenes!$B$9:$I$9)+SUMPRODUCT('Coef Fabricacion'!$T$29:$AA$29,Volumenes!$B$22:$I$22)</f>
        <v>1663.189313</v>
      </c>
      <c r="H11" s="19">
        <f>SUMPRODUCT('Coef Fabricacion'!$D$29:$K$29,Volumenes!$B$36:$I$36)+SUMPRODUCT('Coef Fabricacion'!$L$29:$S$29,Volumenes!$B$10:$I$10)+SUMPRODUCT('Coef Fabricacion'!$T$29:$AA$29,Volumenes!$B$23:$I$23)</f>
        <v>2774.160563</v>
      </c>
      <c r="I11" s="19">
        <f>SUMPRODUCT('Coef Fabricacion'!$D$29:$K$29,Volumenes!$B$37:$I$37)+SUMPRODUCT('Coef Fabricacion'!$L$29:$S$29,Volumenes!$B$11:$I$11)+SUMPRODUCT('Coef Fabricacion'!$T$29:$AA$29,Volumenes!$B$24:$I$24)</f>
        <v>3957.018188</v>
      </c>
      <c r="J11" s="19">
        <f>SUMPRODUCT('Coef Fabricacion'!$D$29:$K$29,Volumenes!$B$38:$I$38)+SUMPRODUCT('Coef Fabricacion'!$L$29:$S$29,Volumenes!$B$12:$I$12)+SUMPRODUCT('Coef Fabricacion'!$T$29:$AA$29,Volumenes!$B$25:$I$25)</f>
        <v>5271.231825</v>
      </c>
      <c r="K11" s="19">
        <f>SUMPRODUCT('Coef Fabricacion'!$D$29:$K$29,Volumenes!$B$39:$I$39)+SUMPRODUCT('Coef Fabricacion'!$L$29:$S$29,Volumenes!$B$13:$I$13)+SUMPRODUCT('Coef Fabricacion'!$T$29:$AA$29,Volumenes!$B$26:$I$26)</f>
        <v>6684.12585</v>
      </c>
      <c r="L11" s="19">
        <f>SUMPRODUCT('Coef Fabricacion'!$D$29:$K$29,Volumenes!$B$40:$I$40)+SUMPRODUCT('Coef Fabricacion'!$L$29:$S$29,Volumenes!$B$14:$I$14)+SUMPRODUCT('Coef Fabricacion'!$T$29:$AA$29,Volumenes!$B$27:$I$27)</f>
        <v>7800.3252</v>
      </c>
      <c r="M11" s="19">
        <f>SUMPRODUCT('Coef Fabricacion'!$D$29:$K$29,Volumenes!$B$41:$I$41)+SUMPRODUCT('Coef Fabricacion'!$L$29:$S$29,Volumenes!$B$15:$I$15)+SUMPRODUCT('Coef Fabricacion'!$T$29:$AA$29,Volumenes!$B$28:$I$28)</f>
        <v>9210.605175</v>
      </c>
      <c r="N11" s="48">
        <f t="shared" si="1"/>
        <v>10.95104895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7" t="s">
        <v>410</v>
      </c>
      <c r="B12" s="44" t="s">
        <v>411</v>
      </c>
      <c r="C12" s="15" t="s">
        <v>155</v>
      </c>
      <c r="D12" s="19">
        <f>SUMPRODUCT('Coef Fabricacion'!$D$30:$K$30,Volumenes!$B$32:$I$32)+SUMPRODUCT('Coef Fabricacion'!$L$30:$S$30,Volumenes!$B$6:$I$6)+SUMPRODUCT('Coef Fabricacion'!$T$30:$AA$30,Volumenes!$B$19:$I$19)</f>
        <v>1586.78016</v>
      </c>
      <c r="E12" s="19">
        <f>SUMPRODUCT('Coef Fabricacion'!$D$30:$K$30,Volumenes!$B$33:$I$33)+SUMPRODUCT('Coef Fabricacion'!$L$30:$S$30,Volumenes!$B$7:$I$7)+SUMPRODUCT('Coef Fabricacion'!$T$30:$AA$30,Volumenes!$B$20:$I$20)</f>
        <v>2705.82592</v>
      </c>
      <c r="F12" s="19">
        <f>SUMPRODUCT('Coef Fabricacion'!$D$30:$K$30,Volumenes!$B$34:$I$34)+SUMPRODUCT('Coef Fabricacion'!$L$30:$S$30,Volumenes!$B$8:$I$8)+SUMPRODUCT('Coef Fabricacion'!$T$30:$AA$30,Volumenes!$B$21:$I$21)</f>
        <v>4623.18528</v>
      </c>
      <c r="G12" s="19">
        <f>SUMPRODUCT('Coef Fabricacion'!$D$30:$K$30,Volumenes!$B$35:$I$35)+SUMPRODUCT('Coef Fabricacion'!$L$30:$S$30,Volumenes!$B$9:$I$9)+SUMPRODUCT('Coef Fabricacion'!$T$30:$AA$30,Volumenes!$B$22:$I$22)</f>
        <v>8422.736</v>
      </c>
      <c r="H12" s="19">
        <f>SUMPRODUCT('Coef Fabricacion'!$D$30:$K$30,Volumenes!$B$36:$I$36)+SUMPRODUCT('Coef Fabricacion'!$L$30:$S$30,Volumenes!$B$10:$I$10)+SUMPRODUCT('Coef Fabricacion'!$T$30:$AA$30,Volumenes!$B$23:$I$23)</f>
        <v>14320.4096</v>
      </c>
      <c r="I12" s="19">
        <f>SUMPRODUCT('Coef Fabricacion'!$D$30:$K$30,Volumenes!$B$37:$I$37)+SUMPRODUCT('Coef Fabricacion'!$L$30:$S$30,Volumenes!$B$11:$I$11)+SUMPRODUCT('Coef Fabricacion'!$T$30:$AA$30,Volumenes!$B$24:$I$24)</f>
        <v>20003.5584</v>
      </c>
      <c r="J12" s="19">
        <f>SUMPRODUCT('Coef Fabricacion'!$D$30:$K$30,Volumenes!$B$38:$I$38)+SUMPRODUCT('Coef Fabricacion'!$L$30:$S$30,Volumenes!$B$12:$I$12)+SUMPRODUCT('Coef Fabricacion'!$T$30:$AA$30,Volumenes!$B$25:$I$25)</f>
        <v>27035.04832</v>
      </c>
      <c r="K12" s="19">
        <f>SUMPRODUCT('Coef Fabricacion'!$D$30:$K$30,Volumenes!$B$39:$I$39)+SUMPRODUCT('Coef Fabricacion'!$L$30:$S$30,Volumenes!$B$13:$I$13)+SUMPRODUCT('Coef Fabricacion'!$T$30:$AA$30,Volumenes!$B$26:$I$26)</f>
        <v>34219.16736</v>
      </c>
      <c r="L12" s="19">
        <f>SUMPRODUCT('Coef Fabricacion'!$D$30:$K$30,Volumenes!$B$40:$I$40)+SUMPRODUCT('Coef Fabricacion'!$L$30:$S$30,Volumenes!$B$14:$I$14)+SUMPRODUCT('Coef Fabricacion'!$T$30:$AA$30,Volumenes!$B$27:$I$27)</f>
        <v>38898.62144</v>
      </c>
      <c r="M12" s="19">
        <f>SUMPRODUCT('Coef Fabricacion'!$D$30:$K$30,Volumenes!$B$41:$I$41)+SUMPRODUCT('Coef Fabricacion'!$L$30:$S$30,Volumenes!$B$15:$I$15)+SUMPRODUCT('Coef Fabricacion'!$T$30:$AA$30,Volumenes!$B$28:$I$28)</f>
        <v>44780.11776</v>
      </c>
      <c r="N12" s="48">
        <f t="shared" si="1"/>
        <v>9.685988133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" t="s">
        <v>412</v>
      </c>
      <c r="B13" s="44" t="s">
        <v>413</v>
      </c>
      <c r="C13" s="15" t="s">
        <v>155</v>
      </c>
      <c r="D13" s="19">
        <f>SUMPRODUCT('Coef Fabricacion'!$D$31:$K$31,Volumenes!$B$32:$I$32)+SUMPRODUCT('Coef Fabricacion'!$L$31:$S$31,Volumenes!$B$6:$I$6)+SUMPRODUCT('Coef Fabricacion'!$T$31:$AA$31,Volumenes!$B$19:$I$19)</f>
        <v>1020.07296</v>
      </c>
      <c r="E13" s="19">
        <f>SUMPRODUCT('Coef Fabricacion'!$D$31:$K$31,Volumenes!$B$33:$I$33)+SUMPRODUCT('Coef Fabricacion'!$L$31:$S$31,Volumenes!$B$7:$I$7)+SUMPRODUCT('Coef Fabricacion'!$T$31:$AA$31,Volumenes!$B$20:$I$20)</f>
        <v>1739.45952</v>
      </c>
      <c r="F13" s="19">
        <f>SUMPRODUCT('Coef Fabricacion'!$D$31:$K$31,Volumenes!$B$34:$I$34)+SUMPRODUCT('Coef Fabricacion'!$L$31:$S$31,Volumenes!$B$8:$I$8)+SUMPRODUCT('Coef Fabricacion'!$T$31:$AA$31,Volumenes!$B$21:$I$21)</f>
        <v>2972.04768</v>
      </c>
      <c r="G13" s="19">
        <f>SUMPRODUCT('Coef Fabricacion'!$D$31:$K$31,Volumenes!$B$35:$I$35)+SUMPRODUCT('Coef Fabricacion'!$L$31:$S$31,Volumenes!$B$9:$I$9)+SUMPRODUCT('Coef Fabricacion'!$T$31:$AA$31,Volumenes!$B$22:$I$22)</f>
        <v>5414.616</v>
      </c>
      <c r="H13" s="19">
        <f>SUMPRODUCT('Coef Fabricacion'!$D$31:$K$31,Volumenes!$B$36:$I$36)+SUMPRODUCT('Coef Fabricacion'!$L$31:$S$31,Volumenes!$B$10:$I$10)+SUMPRODUCT('Coef Fabricacion'!$T$31:$AA$31,Volumenes!$B$23:$I$23)</f>
        <v>9205.9776</v>
      </c>
      <c r="I13" s="19">
        <f>SUMPRODUCT('Coef Fabricacion'!$D$31:$K$31,Volumenes!$B$37:$I$37)+SUMPRODUCT('Coef Fabricacion'!$L$31:$S$31,Volumenes!$B$11:$I$11)+SUMPRODUCT('Coef Fabricacion'!$T$31:$AA$31,Volumenes!$B$24:$I$24)</f>
        <v>12859.4304</v>
      </c>
      <c r="J13" s="19">
        <f>SUMPRODUCT('Coef Fabricacion'!$D$31:$K$31,Volumenes!$B$38:$I$38)+SUMPRODUCT('Coef Fabricacion'!$L$31:$S$31,Volumenes!$B$12:$I$12)+SUMPRODUCT('Coef Fabricacion'!$T$31:$AA$31,Volumenes!$B$25:$I$25)</f>
        <v>17379.67392</v>
      </c>
      <c r="K13" s="19">
        <f>SUMPRODUCT('Coef Fabricacion'!$D$31:$K$31,Volumenes!$B$39:$I$39)+SUMPRODUCT('Coef Fabricacion'!$L$31:$S$31,Volumenes!$B$13:$I$13)+SUMPRODUCT('Coef Fabricacion'!$T$31:$AA$31,Volumenes!$B$26:$I$26)</f>
        <v>21998.03616</v>
      </c>
      <c r="L13" s="19">
        <f>SUMPRODUCT('Coef Fabricacion'!$D$31:$K$31,Volumenes!$B$40:$I$40)+SUMPRODUCT('Coef Fabricacion'!$L$31:$S$31,Volumenes!$B$14:$I$14)+SUMPRODUCT('Coef Fabricacion'!$T$31:$AA$31,Volumenes!$B$27:$I$27)</f>
        <v>25006.25664</v>
      </c>
      <c r="M13" s="19">
        <f>SUMPRODUCT('Coef Fabricacion'!$D$31:$K$31,Volumenes!$B$41:$I$41)+SUMPRODUCT('Coef Fabricacion'!$L$31:$S$31,Volumenes!$B$15:$I$15)+SUMPRODUCT('Coef Fabricacion'!$T$31:$AA$31,Volumenes!$B$28:$I$28)</f>
        <v>28787.21856</v>
      </c>
      <c r="N13" s="48">
        <f t="shared" si="1"/>
        <v>9.685988133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7" t="s">
        <v>414</v>
      </c>
      <c r="B14" s="44" t="s">
        <v>415</v>
      </c>
      <c r="C14" s="15" t="s">
        <v>155</v>
      </c>
      <c r="D14" s="19">
        <f>SUMPRODUCT('Coef Fabricacion'!$D$32:$K$32,Volumenes!$B$32:$I$32)+SUMPRODUCT('Coef Fabricacion'!$L$32:$S$32,Volumenes!$B$6:$I$6)+SUMPRODUCT('Coef Fabricacion'!$T$32:$AA$32,Volumenes!$B$19:$I$19)</f>
        <v>113.09652</v>
      </c>
      <c r="E14" s="19">
        <f>SUMPRODUCT('Coef Fabricacion'!$D$32:$K$32,Volumenes!$B$33:$I$33)+SUMPRODUCT('Coef Fabricacion'!$L$32:$S$32,Volumenes!$B$7:$I$7)+SUMPRODUCT('Coef Fabricacion'!$T$32:$AA$32,Volumenes!$B$20:$I$20)</f>
        <v>217.58787</v>
      </c>
      <c r="F14" s="19">
        <f>SUMPRODUCT('Coef Fabricacion'!$D$32:$K$32,Volumenes!$B$34:$I$34)+SUMPRODUCT('Coef Fabricacion'!$L$32:$S$32,Volumenes!$B$8:$I$8)+SUMPRODUCT('Coef Fabricacion'!$T$32:$AA$32,Volumenes!$B$21:$I$21)</f>
        <v>421.65333</v>
      </c>
      <c r="G14" s="19">
        <f>SUMPRODUCT('Coef Fabricacion'!$D$32:$K$32,Volumenes!$B$35:$I$35)+SUMPRODUCT('Coef Fabricacion'!$L$32:$S$32,Volumenes!$B$9:$I$9)+SUMPRODUCT('Coef Fabricacion'!$T$32:$AA$32,Volumenes!$B$22:$I$22)</f>
        <v>827.32563</v>
      </c>
      <c r="H14" s="19">
        <f>SUMPRODUCT('Coef Fabricacion'!$D$32:$K$32,Volumenes!$B$36:$I$36)+SUMPRODUCT('Coef Fabricacion'!$L$32:$S$32,Volumenes!$B$10:$I$10)+SUMPRODUCT('Coef Fabricacion'!$T$32:$AA$32,Volumenes!$B$23:$I$23)</f>
        <v>1457.96166</v>
      </c>
      <c r="I14" s="19">
        <f>SUMPRODUCT('Coef Fabricacion'!$D$32:$K$32,Volumenes!$B$37:$I$37)+SUMPRODUCT('Coef Fabricacion'!$L$32:$S$32,Volumenes!$B$11:$I$11)+SUMPRODUCT('Coef Fabricacion'!$T$32:$AA$32,Volumenes!$B$24:$I$24)</f>
        <v>2111.95458</v>
      </c>
      <c r="J14" s="19">
        <f>SUMPRODUCT('Coef Fabricacion'!$D$32:$K$32,Volumenes!$B$38:$I$38)+SUMPRODUCT('Coef Fabricacion'!$L$32:$S$32,Volumenes!$B$12:$I$12)+SUMPRODUCT('Coef Fabricacion'!$T$32:$AA$32,Volumenes!$B$25:$I$25)</f>
        <v>2854.45782</v>
      </c>
      <c r="K14" s="19">
        <f>SUMPRODUCT('Coef Fabricacion'!$D$32:$K$32,Volumenes!$B$39:$I$39)+SUMPRODUCT('Coef Fabricacion'!$L$32:$S$32,Volumenes!$B$13:$I$13)+SUMPRODUCT('Coef Fabricacion'!$T$32:$AA$32,Volumenes!$B$26:$I$26)</f>
        <v>3614.1714</v>
      </c>
      <c r="L14" s="19">
        <f>SUMPRODUCT('Coef Fabricacion'!$D$32:$K$32,Volumenes!$B$40:$I$40)+SUMPRODUCT('Coef Fabricacion'!$L$32:$S$32,Volumenes!$B$14:$I$14)+SUMPRODUCT('Coef Fabricacion'!$T$32:$AA$32,Volumenes!$B$27:$I$27)</f>
        <v>4109.58333</v>
      </c>
      <c r="M14" s="19">
        <f>SUMPRODUCT('Coef Fabricacion'!$D$32:$K$32,Volumenes!$B$41:$I$41)+SUMPRODUCT('Coef Fabricacion'!$L$32:$S$32,Volumenes!$B$15:$I$15)+SUMPRODUCT('Coef Fabricacion'!$T$32:$AA$32,Volumenes!$B$28:$I$28)</f>
        <v>4735.30212</v>
      </c>
      <c r="N14" s="48">
        <f t="shared" si="1"/>
        <v>11.2303207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 t="s">
        <v>416</v>
      </c>
      <c r="B15" s="44" t="s">
        <v>417</v>
      </c>
      <c r="C15" s="15" t="s">
        <v>155</v>
      </c>
      <c r="D15" s="19">
        <f>SUMPRODUCT('Coef Fabricacion'!$D$33:$K$33,Volumenes!$B$32:$I$32)+SUMPRODUCT('Coef Fabricacion'!$L$33:$S$33,Volumenes!$B$6:$I$6)+SUMPRODUCT('Coef Fabricacion'!$T$33:$AA$33,Volumenes!$B$19:$I$19)</f>
        <v>74.8083648</v>
      </c>
      <c r="E15" s="19">
        <f>SUMPRODUCT('Coef Fabricacion'!$D$33:$K$33,Volumenes!$B$33:$I$33)+SUMPRODUCT('Coef Fabricacion'!$L$33:$S$33,Volumenes!$B$7:$I$7)+SUMPRODUCT('Coef Fabricacion'!$T$33:$AA$33,Volumenes!$B$20:$I$20)</f>
        <v>143.9247888</v>
      </c>
      <c r="F15" s="19">
        <f>SUMPRODUCT('Coef Fabricacion'!$D$33:$K$33,Volumenes!$B$34:$I$34)+SUMPRODUCT('Coef Fabricacion'!$L$33:$S$33,Volumenes!$B$8:$I$8)+SUMPRODUCT('Coef Fabricacion'!$T$33:$AA$33,Volumenes!$B$21:$I$21)</f>
        <v>278.9050992</v>
      </c>
      <c r="G15" s="19">
        <f>SUMPRODUCT('Coef Fabricacion'!$D$33:$K$33,Volumenes!$B$35:$I$35)+SUMPRODUCT('Coef Fabricacion'!$L$33:$S$33,Volumenes!$B$9:$I$9)+SUMPRODUCT('Coef Fabricacion'!$T$33:$AA$33,Volumenes!$B$22:$I$22)</f>
        <v>547.2394512</v>
      </c>
      <c r="H15" s="19">
        <f>SUMPRODUCT('Coef Fabricacion'!$D$33:$K$33,Volumenes!$B$36:$I$36)+SUMPRODUCT('Coef Fabricacion'!$L$33:$S$33,Volumenes!$B$10:$I$10)+SUMPRODUCT('Coef Fabricacion'!$T$33:$AA$33,Volumenes!$B$23:$I$23)</f>
        <v>964.3773984</v>
      </c>
      <c r="I15" s="19">
        <f>SUMPRODUCT('Coef Fabricacion'!$D$33:$K$33,Volumenes!$B$37:$I$37)+SUMPRODUCT('Coef Fabricacion'!$L$33:$S$33,Volumenes!$B$11:$I$11)+SUMPRODUCT('Coef Fabricacion'!$T$33:$AA$33,Volumenes!$B$24:$I$24)</f>
        <v>1396.964899</v>
      </c>
      <c r="J15" s="19">
        <f>SUMPRODUCT('Coef Fabricacion'!$D$33:$K$33,Volumenes!$B$38:$I$38)+SUMPRODUCT('Coef Fabricacion'!$L$33:$S$33,Volumenes!$B$12:$I$12)+SUMPRODUCT('Coef Fabricacion'!$T$33:$AA$33,Volumenes!$B$25:$I$25)</f>
        <v>1888.098077</v>
      </c>
      <c r="K15" s="19">
        <f>SUMPRODUCT('Coef Fabricacion'!$D$33:$K$33,Volumenes!$B$39:$I$39)+SUMPRODUCT('Coef Fabricacion'!$L$33:$S$33,Volumenes!$B$13:$I$13)+SUMPRODUCT('Coef Fabricacion'!$T$33:$AA$33,Volumenes!$B$26:$I$26)</f>
        <v>2390.615136</v>
      </c>
      <c r="L15" s="19">
        <f>SUMPRODUCT('Coef Fabricacion'!$D$33:$K$33,Volumenes!$B$40:$I$40)+SUMPRODUCT('Coef Fabricacion'!$L$33:$S$33,Volumenes!$B$14:$I$14)+SUMPRODUCT('Coef Fabricacion'!$T$33:$AA$33,Volumenes!$B$27:$I$27)</f>
        <v>2718.308299</v>
      </c>
      <c r="M15" s="19">
        <f>SUMPRODUCT('Coef Fabricacion'!$D$33:$K$33,Volumenes!$B$41:$I$41)+SUMPRODUCT('Coef Fabricacion'!$L$33:$S$33,Volumenes!$B$15:$I$15)+SUMPRODUCT('Coef Fabricacion'!$T$33:$AA$33,Volumenes!$B$28:$I$28)</f>
        <v>3132.193709</v>
      </c>
      <c r="N15" s="48">
        <f t="shared" si="1"/>
        <v>11.2303207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7" t="s">
        <v>418</v>
      </c>
      <c r="B16" s="44" t="s">
        <v>419</v>
      </c>
      <c r="C16" s="15" t="s">
        <v>340</v>
      </c>
      <c r="D16" s="19">
        <f>SUMPRODUCT('Coef Fabricacion'!$D$34:$K$34,Volumenes!$B$32:$I$32)+SUMPRODUCT('Coef Fabricacion'!$L$34:$S$34,Volumenes!$B$6:$I$6)+SUMPRODUCT('Coef Fabricacion'!$T$34:$AA$34,Volumenes!$B$19:$I$19)</f>
        <v>16.27777778</v>
      </c>
      <c r="E16" s="19">
        <f>SUMPRODUCT('Coef Fabricacion'!$D$34:$K$34,Volumenes!$B$33:$I$33)+SUMPRODUCT('Coef Fabricacion'!$L$34:$S$34,Volumenes!$B$7:$I$7)+SUMPRODUCT('Coef Fabricacion'!$T$34:$AA$34,Volumenes!$B$20:$I$20)</f>
        <v>27.77777778</v>
      </c>
      <c r="F16" s="19">
        <f>SUMPRODUCT('Coef Fabricacion'!$D$34:$K$34,Volumenes!$B$34:$I$34)+SUMPRODUCT('Coef Fabricacion'!$L$34:$S$34,Volumenes!$B$8:$I$8)+SUMPRODUCT('Coef Fabricacion'!$T$34:$AA$34,Volumenes!$B$21:$I$21)</f>
        <v>43</v>
      </c>
      <c r="G16" s="19">
        <f>SUMPRODUCT('Coef Fabricacion'!$D$34:$K$34,Volumenes!$B$35:$I$35)+SUMPRODUCT('Coef Fabricacion'!$L$34:$S$34,Volumenes!$B$9:$I$9)+SUMPRODUCT('Coef Fabricacion'!$T$34:$AA$34,Volumenes!$B$22:$I$22)</f>
        <v>72</v>
      </c>
      <c r="H16" s="19">
        <f>SUMPRODUCT('Coef Fabricacion'!$D$34:$K$34,Volumenes!$B$36:$I$36)+SUMPRODUCT('Coef Fabricacion'!$L$34:$S$34,Volumenes!$B$10:$I$10)+SUMPRODUCT('Coef Fabricacion'!$T$34:$AA$34,Volumenes!$B$23:$I$23)</f>
        <v>119</v>
      </c>
      <c r="I16" s="19">
        <f>SUMPRODUCT('Coef Fabricacion'!$D$34:$K$34,Volumenes!$B$37:$I$37)+SUMPRODUCT('Coef Fabricacion'!$L$34:$S$34,Volumenes!$B$11:$I$11)+SUMPRODUCT('Coef Fabricacion'!$T$34:$AA$34,Volumenes!$B$24:$I$24)</f>
        <v>165.8888889</v>
      </c>
      <c r="J16" s="19">
        <f>SUMPRODUCT('Coef Fabricacion'!$D$34:$K$34,Volumenes!$B$38:$I$38)+SUMPRODUCT('Coef Fabricacion'!$L$34:$S$34,Volumenes!$B$12:$I$12)+SUMPRODUCT('Coef Fabricacion'!$T$34:$AA$34,Volumenes!$B$25:$I$25)</f>
        <v>221.5555556</v>
      </c>
      <c r="K16" s="19">
        <f>SUMPRODUCT('Coef Fabricacion'!$D$34:$K$34,Volumenes!$B$39:$I$39)+SUMPRODUCT('Coef Fabricacion'!$L$34:$S$34,Volumenes!$B$13:$I$13)+SUMPRODUCT('Coef Fabricacion'!$T$34:$AA$34,Volumenes!$B$26:$I$26)</f>
        <v>279.5</v>
      </c>
      <c r="L16" s="19">
        <f>SUMPRODUCT('Coef Fabricacion'!$D$34:$K$34,Volumenes!$B$40:$I$40)+SUMPRODUCT('Coef Fabricacion'!$L$34:$S$34,Volumenes!$B$14:$I$14)+SUMPRODUCT('Coef Fabricacion'!$T$34:$AA$34,Volumenes!$B$27:$I$27)</f>
        <v>320.4444444</v>
      </c>
      <c r="M16" s="19">
        <f>SUMPRODUCT('Coef Fabricacion'!$D$34:$K$34,Volumenes!$B$41:$I$41)+SUMPRODUCT('Coef Fabricacion'!$L$34:$S$34,Volumenes!$B$15:$I$15)+SUMPRODUCT('Coef Fabricacion'!$T$34:$AA$34,Volumenes!$B$28:$I$28)</f>
        <v>370.2777778</v>
      </c>
      <c r="N16" s="48">
        <f t="shared" si="1"/>
        <v>8.611111111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7" t="s">
        <v>420</v>
      </c>
      <c r="B17" s="44" t="s">
        <v>421</v>
      </c>
      <c r="C17" s="15" t="s">
        <v>340</v>
      </c>
      <c r="D17" s="19">
        <f>SUMPRODUCT('Coef Fabricacion'!$D$35:$K$35,Volumenes!$B$32:$I$32)+SUMPRODUCT('Coef Fabricacion'!$L$35:$S$35,Volumenes!$B$6:$I$6)+SUMPRODUCT('Coef Fabricacion'!$T$35:$AA$35,Volumenes!$B$19:$I$19)</f>
        <v>7.222222222</v>
      </c>
      <c r="E17" s="19">
        <f>SUMPRODUCT('Coef Fabricacion'!$D$35:$K$35,Volumenes!$B$33:$I$33)+SUMPRODUCT('Coef Fabricacion'!$L$35:$S$35,Volumenes!$B$7:$I$7)+SUMPRODUCT('Coef Fabricacion'!$T$35:$AA$35,Volumenes!$B$20:$I$20)</f>
        <v>12.44444444</v>
      </c>
      <c r="F17" s="19">
        <f>SUMPRODUCT('Coef Fabricacion'!$D$35:$K$35,Volumenes!$B$34:$I$34)+SUMPRODUCT('Coef Fabricacion'!$L$35:$S$35,Volumenes!$B$8:$I$8)+SUMPRODUCT('Coef Fabricacion'!$T$35:$AA$35,Volumenes!$B$21:$I$21)</f>
        <v>19.22222222</v>
      </c>
      <c r="G17" s="19">
        <f>SUMPRODUCT('Coef Fabricacion'!$D$35:$K$35,Volumenes!$B$35:$I$35)+SUMPRODUCT('Coef Fabricacion'!$L$35:$S$35,Volumenes!$B$9:$I$9)+SUMPRODUCT('Coef Fabricacion'!$T$35:$AA$35,Volumenes!$B$22:$I$22)</f>
        <v>32.33333333</v>
      </c>
      <c r="H17" s="19">
        <f>SUMPRODUCT('Coef Fabricacion'!$D$35:$K$35,Volumenes!$B$36:$I$36)+SUMPRODUCT('Coef Fabricacion'!$L$35:$S$35,Volumenes!$B$10:$I$10)+SUMPRODUCT('Coef Fabricacion'!$T$35:$AA$35,Volumenes!$B$23:$I$23)</f>
        <v>53.11111111</v>
      </c>
      <c r="I17" s="19">
        <f>SUMPRODUCT('Coef Fabricacion'!$D$35:$K$35,Volumenes!$B$37:$I$37)+SUMPRODUCT('Coef Fabricacion'!$L$35:$S$35,Volumenes!$B$11:$I$11)+SUMPRODUCT('Coef Fabricacion'!$T$35:$AA$35,Volumenes!$B$24:$I$24)</f>
        <v>73.55555556</v>
      </c>
      <c r="J17" s="19">
        <f>SUMPRODUCT('Coef Fabricacion'!$D$35:$K$35,Volumenes!$B$38:$I$38)+SUMPRODUCT('Coef Fabricacion'!$L$35:$S$35,Volumenes!$B$12:$I$12)+SUMPRODUCT('Coef Fabricacion'!$T$35:$AA$35,Volumenes!$B$25:$I$25)</f>
        <v>98.55555556</v>
      </c>
      <c r="K17" s="19">
        <f>SUMPRODUCT('Coef Fabricacion'!$D$35:$K$35,Volumenes!$B$39:$I$39)+SUMPRODUCT('Coef Fabricacion'!$L$35:$S$35,Volumenes!$B$13:$I$13)+SUMPRODUCT('Coef Fabricacion'!$T$35:$AA$35,Volumenes!$B$26:$I$26)</f>
        <v>124.6666667</v>
      </c>
      <c r="L17" s="19">
        <f>SUMPRODUCT('Coef Fabricacion'!$D$35:$K$35,Volumenes!$B$40:$I$40)+SUMPRODUCT('Coef Fabricacion'!$L$35:$S$35,Volumenes!$B$14:$I$14)+SUMPRODUCT('Coef Fabricacion'!$T$35:$AA$35,Volumenes!$B$27:$I$27)</f>
        <v>142.8888889</v>
      </c>
      <c r="M17" s="19">
        <f>SUMPRODUCT('Coef Fabricacion'!$D$35:$K$35,Volumenes!$B$41:$I$41)+SUMPRODUCT('Coef Fabricacion'!$L$35:$S$35,Volumenes!$B$15:$I$15)+SUMPRODUCT('Coef Fabricacion'!$T$35:$AA$35,Volumenes!$B$28:$I$28)</f>
        <v>165.2222222</v>
      </c>
      <c r="N17" s="48">
        <f t="shared" si="1"/>
        <v>8.595375723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7" t="s">
        <v>423</v>
      </c>
      <c r="B18" s="44" t="s">
        <v>424</v>
      </c>
      <c r="C18" s="15" t="s">
        <v>155</v>
      </c>
      <c r="D18" s="19">
        <f>SUMPRODUCT('Coef Fabricacion'!$D$36:$K$36,Volumenes!$B$32:$I$32)+SUMPRODUCT('Coef Fabricacion'!$L$36:$S$36,Volumenes!$B$6:$I$6)+SUMPRODUCT('Coef Fabricacion'!$T$36:$AA$36,Volumenes!$B$19:$I$19)</f>
        <v>322.3499649</v>
      </c>
      <c r="E18" s="19">
        <f>SUMPRODUCT('Coef Fabricacion'!$D$36:$K$36,Volumenes!$B$33:$I$33)+SUMPRODUCT('Coef Fabricacion'!$L$36:$S$36,Volumenes!$B$7:$I$7)+SUMPRODUCT('Coef Fabricacion'!$T$36:$AA$36,Volumenes!$B$20:$I$20)</f>
        <v>462.582613</v>
      </c>
      <c r="F18" s="19">
        <f>SUMPRODUCT('Coef Fabricacion'!$D$36:$K$36,Volumenes!$B$34:$I$34)+SUMPRODUCT('Coef Fabricacion'!$L$36:$S$36,Volumenes!$B$8:$I$8)+SUMPRODUCT('Coef Fabricacion'!$T$36:$AA$36,Volumenes!$B$21:$I$21)</f>
        <v>1119.547114</v>
      </c>
      <c r="G18" s="19">
        <f>SUMPRODUCT('Coef Fabricacion'!$D$36:$K$36,Volumenes!$B$35:$I$35)+SUMPRODUCT('Coef Fabricacion'!$L$36:$S$36,Volumenes!$B$9:$I$9)+SUMPRODUCT('Coef Fabricacion'!$T$36:$AA$36,Volumenes!$B$22:$I$22)</f>
        <v>2712.244429</v>
      </c>
      <c r="H18" s="19">
        <f>SUMPRODUCT('Coef Fabricacion'!$D$36:$K$36,Volumenes!$B$36:$I$36)+SUMPRODUCT('Coef Fabricacion'!$L$36:$S$36,Volumenes!$B$10:$I$10)+SUMPRODUCT('Coef Fabricacion'!$T$36:$AA$36,Volumenes!$B$23:$I$23)</f>
        <v>4791.359278</v>
      </c>
      <c r="I18" s="19">
        <f>SUMPRODUCT('Coef Fabricacion'!$D$36:$K$36,Volumenes!$B$37:$I$37)+SUMPRODUCT('Coef Fabricacion'!$L$36:$S$36,Volumenes!$B$11:$I$11)+SUMPRODUCT('Coef Fabricacion'!$T$36:$AA$36,Volumenes!$B$24:$I$24)</f>
        <v>6733.943991</v>
      </c>
      <c r="J18" s="19">
        <f>SUMPRODUCT('Coef Fabricacion'!$D$36:$K$36,Volumenes!$B$38:$I$38)+SUMPRODUCT('Coef Fabricacion'!$L$36:$S$36,Volumenes!$B$12:$I$12)+SUMPRODUCT('Coef Fabricacion'!$T$36:$AA$36,Volumenes!$B$25:$I$25)</f>
        <v>9385.405512</v>
      </c>
      <c r="K18" s="19">
        <f>SUMPRODUCT('Coef Fabricacion'!$D$36:$K$36,Volumenes!$B$39:$I$39)+SUMPRODUCT('Coef Fabricacion'!$L$36:$S$36,Volumenes!$B$13:$I$13)+SUMPRODUCT('Coef Fabricacion'!$T$36:$AA$36,Volumenes!$B$26:$I$26)</f>
        <v>12043.42356</v>
      </c>
      <c r="L18" s="19">
        <f>SUMPRODUCT('Coef Fabricacion'!$D$36:$K$36,Volumenes!$B$40:$I$40)+SUMPRODUCT('Coef Fabricacion'!$L$36:$S$36,Volumenes!$B$14:$I$14)+SUMPRODUCT('Coef Fabricacion'!$T$36:$AA$36,Volumenes!$B$27:$I$27)</f>
        <v>13529.05657</v>
      </c>
      <c r="M18" s="19">
        <f>SUMPRODUCT('Coef Fabricacion'!$D$36:$K$36,Volumenes!$B$41:$I$41)+SUMPRODUCT('Coef Fabricacion'!$L$36:$S$36,Volumenes!$B$15:$I$15)+SUMPRODUCT('Coef Fabricacion'!$T$36:$AA$36,Volumenes!$B$28:$I$28)</f>
        <v>15629.30659</v>
      </c>
      <c r="N18" s="48">
        <f t="shared" si="1"/>
        <v>13.96038308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7" t="s">
        <v>427</v>
      </c>
      <c r="B19" s="44" t="s">
        <v>428</v>
      </c>
      <c r="C19" s="15" t="s">
        <v>224</v>
      </c>
      <c r="D19" s="19">
        <f>SUMPRODUCT('Coef Fabricacion'!$D$37:$K$37,Volumenes!$B$32:$I$32)+SUMPRODUCT('Coef Fabricacion'!$L$37:$S$37,Volumenes!$B$6:$I$6)+SUMPRODUCT('Coef Fabricacion'!$T$37:$AA$37,Volumenes!$B$19:$I$19)</f>
        <v>68</v>
      </c>
      <c r="E19" s="19">
        <f>SUMPRODUCT('Coef Fabricacion'!$D$37:$K$37,Volumenes!$B$33:$I$33)+SUMPRODUCT('Coef Fabricacion'!$L$37:$S$37,Volumenes!$B$7:$I$7)+SUMPRODUCT('Coef Fabricacion'!$T$37:$AA$37,Volumenes!$B$20:$I$20)</f>
        <v>116</v>
      </c>
      <c r="F19" s="19">
        <f>SUMPRODUCT('Coef Fabricacion'!$D$37:$K$37,Volumenes!$B$34:$I$34)+SUMPRODUCT('Coef Fabricacion'!$L$37:$S$37,Volumenes!$B$8:$I$8)+SUMPRODUCT('Coef Fabricacion'!$T$37:$AA$37,Volumenes!$B$21:$I$21)</f>
        <v>180</v>
      </c>
      <c r="G19" s="19">
        <f>SUMPRODUCT('Coef Fabricacion'!$D$37:$K$37,Volumenes!$B$35:$I$35)+SUMPRODUCT('Coef Fabricacion'!$L$37:$S$37,Volumenes!$B$9:$I$9)+SUMPRODUCT('Coef Fabricacion'!$T$37:$AA$37,Volumenes!$B$22:$I$22)</f>
        <v>300</v>
      </c>
      <c r="H19" s="19">
        <f>SUMPRODUCT('Coef Fabricacion'!$D$37:$K$37,Volumenes!$B$36:$I$36)+SUMPRODUCT('Coef Fabricacion'!$L$37:$S$37,Volumenes!$B$10:$I$10)+SUMPRODUCT('Coef Fabricacion'!$T$37:$AA$37,Volumenes!$B$23:$I$23)</f>
        <v>498</v>
      </c>
      <c r="I19" s="19">
        <f>SUMPRODUCT('Coef Fabricacion'!$D$37:$K$37,Volumenes!$B$37:$I$37)+SUMPRODUCT('Coef Fabricacion'!$L$37:$S$37,Volumenes!$B$11:$I$11)+SUMPRODUCT('Coef Fabricacion'!$T$37:$AA$37,Volumenes!$B$24:$I$24)</f>
        <v>694</v>
      </c>
      <c r="J19" s="19">
        <f>SUMPRODUCT('Coef Fabricacion'!$D$37:$K$37,Volumenes!$B$38:$I$38)+SUMPRODUCT('Coef Fabricacion'!$L$37:$S$37,Volumenes!$B$12:$I$12)+SUMPRODUCT('Coef Fabricacion'!$T$37:$AA$37,Volumenes!$B$25:$I$25)</f>
        <v>928</v>
      </c>
      <c r="K19" s="19">
        <f>SUMPRODUCT('Coef Fabricacion'!$D$37:$K$37,Volumenes!$B$39:$I$39)+SUMPRODUCT('Coef Fabricacion'!$L$37:$S$37,Volumenes!$B$13:$I$13)+SUMPRODUCT('Coef Fabricacion'!$T$37:$AA$37,Volumenes!$B$26:$I$26)</f>
        <v>1170</v>
      </c>
      <c r="L19" s="19">
        <f>SUMPRODUCT('Coef Fabricacion'!$D$37:$K$37,Volumenes!$B$40:$I$40)+SUMPRODUCT('Coef Fabricacion'!$L$37:$S$37,Volumenes!$B$14:$I$14)+SUMPRODUCT('Coef Fabricacion'!$T$37:$AA$37,Volumenes!$B$27:$I$27)</f>
        <v>1340</v>
      </c>
      <c r="M19" s="19">
        <f>SUMPRODUCT('Coef Fabricacion'!$D$37:$K$37,Volumenes!$B$41:$I$41)+SUMPRODUCT('Coef Fabricacion'!$L$37:$S$37,Volumenes!$B$15:$I$15)+SUMPRODUCT('Coef Fabricacion'!$T$37:$AA$37,Volumenes!$B$28:$I$28)</f>
        <v>1550</v>
      </c>
      <c r="N19" s="48">
        <f t="shared" si="1"/>
        <v>8.611111111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7" t="s">
        <v>431</v>
      </c>
      <c r="B20" s="44" t="s">
        <v>432</v>
      </c>
      <c r="C20" s="15" t="s">
        <v>224</v>
      </c>
      <c r="D20" s="19">
        <f>SUMPRODUCT('Coef Fabricacion'!$D$38:$K$38,Volumenes!$B$32:$I$32)+SUMPRODUCT('Coef Fabricacion'!$L$38:$S$38,Volumenes!$B$6:$I$6)+SUMPRODUCT('Coef Fabricacion'!$T$38:$AA$38,Volumenes!$B$19:$I$19)</f>
        <v>150</v>
      </c>
      <c r="E20" s="19">
        <f>SUMPRODUCT('Coef Fabricacion'!$D$38:$K$38,Volumenes!$B$33:$I$33)+SUMPRODUCT('Coef Fabricacion'!$L$38:$S$38,Volumenes!$B$7:$I$7)+SUMPRODUCT('Coef Fabricacion'!$T$38:$AA$38,Volumenes!$B$20:$I$20)</f>
        <v>256</v>
      </c>
      <c r="F20" s="19">
        <f>SUMPRODUCT('Coef Fabricacion'!$D$38:$K$38,Volumenes!$B$34:$I$34)+SUMPRODUCT('Coef Fabricacion'!$L$38:$S$38,Volumenes!$B$8:$I$8)+SUMPRODUCT('Coef Fabricacion'!$T$38:$AA$38,Volumenes!$B$21:$I$21)</f>
        <v>396</v>
      </c>
      <c r="G20" s="19">
        <f>SUMPRODUCT('Coef Fabricacion'!$D$38:$K$38,Volumenes!$B$35:$I$35)+SUMPRODUCT('Coef Fabricacion'!$L$38:$S$38,Volumenes!$B$9:$I$9)+SUMPRODUCT('Coef Fabricacion'!$T$38:$AA$38,Volumenes!$B$22:$I$22)</f>
        <v>664</v>
      </c>
      <c r="H20" s="19">
        <f>SUMPRODUCT('Coef Fabricacion'!$D$38:$K$38,Volumenes!$B$36:$I$36)+SUMPRODUCT('Coef Fabricacion'!$L$38:$S$38,Volumenes!$B$10:$I$10)+SUMPRODUCT('Coef Fabricacion'!$T$38:$AA$38,Volumenes!$B$23:$I$23)</f>
        <v>1096</v>
      </c>
      <c r="I20" s="19">
        <f>SUMPRODUCT('Coef Fabricacion'!$D$38:$K$38,Volumenes!$B$37:$I$37)+SUMPRODUCT('Coef Fabricacion'!$L$38:$S$38,Volumenes!$B$11:$I$11)+SUMPRODUCT('Coef Fabricacion'!$T$38:$AA$38,Volumenes!$B$24:$I$24)</f>
        <v>1528</v>
      </c>
      <c r="J20" s="19">
        <f>SUMPRODUCT('Coef Fabricacion'!$D$38:$K$38,Volumenes!$B$38:$I$38)+SUMPRODUCT('Coef Fabricacion'!$L$38:$S$38,Volumenes!$B$12:$I$12)+SUMPRODUCT('Coef Fabricacion'!$T$38:$AA$38,Volumenes!$B$25:$I$25)</f>
        <v>2040</v>
      </c>
      <c r="K20" s="19">
        <f>SUMPRODUCT('Coef Fabricacion'!$D$38:$K$38,Volumenes!$B$39:$I$39)+SUMPRODUCT('Coef Fabricacion'!$L$38:$S$38,Volumenes!$B$13:$I$13)+SUMPRODUCT('Coef Fabricacion'!$T$38:$AA$38,Volumenes!$B$26:$I$26)</f>
        <v>2574</v>
      </c>
      <c r="L20" s="19">
        <f>SUMPRODUCT('Coef Fabricacion'!$D$38:$K$38,Volumenes!$B$40:$I$40)+SUMPRODUCT('Coef Fabricacion'!$L$38:$S$38,Volumenes!$B$14:$I$14)+SUMPRODUCT('Coef Fabricacion'!$T$38:$AA$38,Volumenes!$B$27:$I$27)</f>
        <v>2952</v>
      </c>
      <c r="M20" s="19">
        <f>SUMPRODUCT('Coef Fabricacion'!$D$38:$K$38,Volumenes!$B$41:$I$41)+SUMPRODUCT('Coef Fabricacion'!$L$38:$S$38,Volumenes!$B$15:$I$15)+SUMPRODUCT('Coef Fabricacion'!$T$38:$AA$38,Volumenes!$B$28:$I$28)</f>
        <v>3410</v>
      </c>
      <c r="N20" s="48">
        <f t="shared" si="1"/>
        <v>8.611111111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7" t="s">
        <v>434</v>
      </c>
      <c r="B21" s="44" t="s">
        <v>435</v>
      </c>
      <c r="C21" s="15" t="s">
        <v>224</v>
      </c>
      <c r="D21" s="19">
        <f>SUMPRODUCT('Coef Fabricacion'!$D$39:$K$39,Volumenes!$B$32:$I$32)+SUMPRODUCT('Coef Fabricacion'!$L$39:$S$39,Volumenes!$B$6:$I$6)+SUMPRODUCT('Coef Fabricacion'!$T$39:$AA$39,Volumenes!$B$19:$I$19)</f>
        <v>54</v>
      </c>
      <c r="E21" s="19">
        <f>SUMPRODUCT('Coef Fabricacion'!$D$39:$K$39,Volumenes!$B$33:$I$33)+SUMPRODUCT('Coef Fabricacion'!$L$39:$S$39,Volumenes!$B$7:$I$7)+SUMPRODUCT('Coef Fabricacion'!$T$39:$AA$39,Volumenes!$B$20:$I$20)</f>
        <v>94</v>
      </c>
      <c r="F21" s="19">
        <f>SUMPRODUCT('Coef Fabricacion'!$D$39:$K$39,Volumenes!$B$34:$I$34)+SUMPRODUCT('Coef Fabricacion'!$L$39:$S$39,Volumenes!$B$8:$I$8)+SUMPRODUCT('Coef Fabricacion'!$T$39:$AA$39,Volumenes!$B$21:$I$21)</f>
        <v>144</v>
      </c>
      <c r="G21" s="19">
        <f>SUMPRODUCT('Coef Fabricacion'!$D$39:$K$39,Volumenes!$B$35:$I$35)+SUMPRODUCT('Coef Fabricacion'!$L$39:$S$39,Volumenes!$B$9:$I$9)+SUMPRODUCT('Coef Fabricacion'!$T$39:$AA$39,Volumenes!$B$22:$I$22)</f>
        <v>242</v>
      </c>
      <c r="H21" s="19">
        <f>SUMPRODUCT('Coef Fabricacion'!$D$39:$K$39,Volumenes!$B$36:$I$36)+SUMPRODUCT('Coef Fabricacion'!$L$39:$S$39,Volumenes!$B$10:$I$10)+SUMPRODUCT('Coef Fabricacion'!$T$39:$AA$39,Volumenes!$B$23:$I$23)</f>
        <v>398</v>
      </c>
      <c r="I21" s="19">
        <f>SUMPRODUCT('Coef Fabricacion'!$D$39:$K$39,Volumenes!$B$37:$I$37)+SUMPRODUCT('Coef Fabricacion'!$L$39:$S$39,Volumenes!$B$11:$I$11)+SUMPRODUCT('Coef Fabricacion'!$T$39:$AA$39,Volumenes!$B$24:$I$24)</f>
        <v>552</v>
      </c>
      <c r="J21" s="19">
        <f>SUMPRODUCT('Coef Fabricacion'!$D$39:$K$39,Volumenes!$B$38:$I$38)+SUMPRODUCT('Coef Fabricacion'!$L$39:$S$39,Volumenes!$B$12:$I$12)+SUMPRODUCT('Coef Fabricacion'!$T$39:$AA$39,Volumenes!$B$25:$I$25)</f>
        <v>740</v>
      </c>
      <c r="K21" s="19">
        <f>SUMPRODUCT('Coef Fabricacion'!$D$39:$K$39,Volumenes!$B$39:$I$39)+SUMPRODUCT('Coef Fabricacion'!$L$39:$S$39,Volumenes!$B$13:$I$13)+SUMPRODUCT('Coef Fabricacion'!$T$39:$AA$39,Volumenes!$B$26:$I$26)</f>
        <v>936</v>
      </c>
      <c r="L21" s="19">
        <f>SUMPRODUCT('Coef Fabricacion'!$D$39:$K$39,Volumenes!$B$40:$I$40)+SUMPRODUCT('Coef Fabricacion'!$L$39:$S$39,Volumenes!$B$14:$I$14)+SUMPRODUCT('Coef Fabricacion'!$T$39:$AA$39,Volumenes!$B$27:$I$27)</f>
        <v>1072</v>
      </c>
      <c r="M21" s="19">
        <f>SUMPRODUCT('Coef Fabricacion'!$D$39:$K$39,Volumenes!$B$41:$I$41)+SUMPRODUCT('Coef Fabricacion'!$L$39:$S$39,Volumenes!$B$15:$I$15)+SUMPRODUCT('Coef Fabricacion'!$T$39:$AA$39,Volumenes!$B$28:$I$28)</f>
        <v>1240</v>
      </c>
      <c r="N21" s="48">
        <f t="shared" si="1"/>
        <v>8.611111111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7" t="s">
        <v>437</v>
      </c>
      <c r="B22" s="44" t="s">
        <v>438</v>
      </c>
      <c r="C22" s="15" t="s">
        <v>224</v>
      </c>
      <c r="D22" s="19">
        <f>SUMPRODUCT('Coef Fabricacion'!$D$40:$K$40,Volumenes!$B$32:$I$32)+SUMPRODUCT('Coef Fabricacion'!$L$40:$S$40,Volumenes!$B$6:$I$6)+SUMPRODUCT('Coef Fabricacion'!$T$40:$AA$40,Volumenes!$B$19:$I$19)</f>
        <v>4179</v>
      </c>
      <c r="E22" s="19">
        <f>SUMPRODUCT('Coef Fabricacion'!$D$40:$K$40,Volumenes!$B$33:$I$33)+SUMPRODUCT('Coef Fabricacion'!$L$40:$S$40,Volumenes!$B$7:$I$7)+SUMPRODUCT('Coef Fabricacion'!$T$40:$AA$40,Volumenes!$B$20:$I$20)</f>
        <v>5997</v>
      </c>
      <c r="F22" s="19">
        <f>SUMPRODUCT('Coef Fabricacion'!$D$40:$K$40,Volumenes!$B$34:$I$34)+SUMPRODUCT('Coef Fabricacion'!$L$40:$S$40,Volumenes!$B$8:$I$8)+SUMPRODUCT('Coef Fabricacion'!$T$40:$AA$40,Volumenes!$B$21:$I$21)</f>
        <v>14514</v>
      </c>
      <c r="G22" s="19">
        <f>SUMPRODUCT('Coef Fabricacion'!$D$40:$K$40,Volumenes!$B$35:$I$35)+SUMPRODUCT('Coef Fabricacion'!$L$40:$S$40,Volumenes!$B$9:$I$9)+SUMPRODUCT('Coef Fabricacion'!$T$40:$AA$40,Volumenes!$B$22:$I$22)</f>
        <v>35162</v>
      </c>
      <c r="H22" s="19">
        <f>SUMPRODUCT('Coef Fabricacion'!$D$40:$K$40,Volumenes!$B$36:$I$36)+SUMPRODUCT('Coef Fabricacion'!$L$40:$S$40,Volumenes!$B$10:$I$10)+SUMPRODUCT('Coef Fabricacion'!$T$40:$AA$40,Volumenes!$B$23:$I$23)</f>
        <v>62116</v>
      </c>
      <c r="I22" s="19">
        <f>SUMPRODUCT('Coef Fabricacion'!$D$40:$K$40,Volumenes!$B$37:$I$37)+SUMPRODUCT('Coef Fabricacion'!$L$40:$S$40,Volumenes!$B$11:$I$11)+SUMPRODUCT('Coef Fabricacion'!$T$40:$AA$40,Volumenes!$B$24:$I$24)</f>
        <v>87300</v>
      </c>
      <c r="J22" s="19">
        <f>SUMPRODUCT('Coef Fabricacion'!$D$40:$K$40,Volumenes!$B$38:$I$38)+SUMPRODUCT('Coef Fabricacion'!$L$40:$S$40,Volumenes!$B$12:$I$12)+SUMPRODUCT('Coef Fabricacion'!$T$40:$AA$40,Volumenes!$B$25:$I$25)</f>
        <v>121674</v>
      </c>
      <c r="K22" s="19">
        <f>SUMPRODUCT('Coef Fabricacion'!$D$40:$K$40,Volumenes!$B$39:$I$39)+SUMPRODUCT('Coef Fabricacion'!$L$40:$S$40,Volumenes!$B$13:$I$13)+SUMPRODUCT('Coef Fabricacion'!$T$40:$AA$40,Volumenes!$B$26:$I$26)</f>
        <v>156133</v>
      </c>
      <c r="L22" s="19">
        <f>SUMPRODUCT('Coef Fabricacion'!$D$40:$K$40,Volumenes!$B$40:$I$40)+SUMPRODUCT('Coef Fabricacion'!$L$40:$S$40,Volumenes!$B$14:$I$14)+SUMPRODUCT('Coef Fabricacion'!$T$40:$AA$40,Volumenes!$B$27:$I$27)</f>
        <v>175393</v>
      </c>
      <c r="M22" s="19">
        <f>SUMPRODUCT('Coef Fabricacion'!$D$40:$K$40,Volumenes!$B$41:$I$41)+SUMPRODUCT('Coef Fabricacion'!$L$40:$S$40,Volumenes!$B$15:$I$15)+SUMPRODUCT('Coef Fabricacion'!$T$40:$AA$40,Volumenes!$B$28:$I$28)</f>
        <v>202621</v>
      </c>
      <c r="N22" s="48">
        <f t="shared" si="1"/>
        <v>13.96038308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7" t="s">
        <v>440</v>
      </c>
      <c r="B23" s="44" t="s">
        <v>441</v>
      </c>
      <c r="C23" s="15" t="s">
        <v>224</v>
      </c>
      <c r="D23" s="19">
        <f>SUMPRODUCT('Coef Fabricacion'!$D$41:$K$41,Volumenes!$B$32:$I$32)+SUMPRODUCT('Coef Fabricacion'!$L$41:$S$41,Volumenes!$B$6:$I$6)+SUMPRODUCT('Coef Fabricacion'!$T$41:$AA$41,Volumenes!$B$19:$I$19)</f>
        <v>2643</v>
      </c>
      <c r="E23" s="19">
        <f>SUMPRODUCT('Coef Fabricacion'!$D$41:$K$41,Volumenes!$B$33:$I$33)+SUMPRODUCT('Coef Fabricacion'!$L$41:$S$41,Volumenes!$B$7:$I$7)+SUMPRODUCT('Coef Fabricacion'!$T$41:$AA$41,Volumenes!$B$20:$I$20)</f>
        <v>4733</v>
      </c>
      <c r="F23" s="19">
        <f>SUMPRODUCT('Coef Fabricacion'!$D$41:$K$41,Volumenes!$B$34:$I$34)+SUMPRODUCT('Coef Fabricacion'!$L$41:$S$41,Volumenes!$B$8:$I$8)+SUMPRODUCT('Coef Fabricacion'!$T$41:$AA$41,Volumenes!$B$21:$I$21)</f>
        <v>8203</v>
      </c>
      <c r="G23" s="19">
        <f>SUMPRODUCT('Coef Fabricacion'!$D$41:$K$41,Volumenes!$B$35:$I$35)+SUMPRODUCT('Coef Fabricacion'!$L$41:$S$41,Volumenes!$B$9:$I$9)+SUMPRODUCT('Coef Fabricacion'!$T$41:$AA$41,Volumenes!$B$22:$I$22)</f>
        <v>15193</v>
      </c>
      <c r="H23" s="19">
        <f>SUMPRODUCT('Coef Fabricacion'!$D$41:$K$41,Volumenes!$B$36:$I$36)+SUMPRODUCT('Coef Fabricacion'!$L$41:$S$41,Volumenes!$B$10:$I$10)+SUMPRODUCT('Coef Fabricacion'!$T$41:$AA$41,Volumenes!$B$23:$I$23)</f>
        <v>25791</v>
      </c>
      <c r="I23" s="19">
        <f>SUMPRODUCT('Coef Fabricacion'!$D$41:$K$41,Volumenes!$B$37:$I$37)+SUMPRODUCT('Coef Fabricacion'!$L$41:$S$41,Volumenes!$B$11:$I$11)+SUMPRODUCT('Coef Fabricacion'!$T$41:$AA$41,Volumenes!$B$24:$I$24)</f>
        <v>36213</v>
      </c>
      <c r="J23" s="19">
        <f>SUMPRODUCT('Coef Fabricacion'!$D$41:$K$41,Volumenes!$B$38:$I$38)+SUMPRODUCT('Coef Fabricacion'!$L$41:$S$41,Volumenes!$B$12:$I$12)+SUMPRODUCT('Coef Fabricacion'!$T$41:$AA$41,Volumenes!$B$25:$I$25)</f>
        <v>48825</v>
      </c>
      <c r="K23" s="19">
        <f>SUMPRODUCT('Coef Fabricacion'!$D$41:$K$41,Volumenes!$B$39:$I$39)+SUMPRODUCT('Coef Fabricacion'!$L$41:$S$41,Volumenes!$B$13:$I$13)+SUMPRODUCT('Coef Fabricacion'!$T$41:$AA$41,Volumenes!$B$26:$I$26)</f>
        <v>61819</v>
      </c>
      <c r="L23" s="19">
        <f>SUMPRODUCT('Coef Fabricacion'!$D$41:$K$41,Volumenes!$B$40:$I$40)+SUMPRODUCT('Coef Fabricacion'!$L$41:$S$41,Volumenes!$B$14:$I$14)+SUMPRODUCT('Coef Fabricacion'!$T$41:$AA$41,Volumenes!$B$27:$I$27)</f>
        <v>70583</v>
      </c>
      <c r="M23" s="19">
        <f>SUMPRODUCT('Coef Fabricacion'!$D$41:$K$41,Volumenes!$B$41:$I$41)+SUMPRODUCT('Coef Fabricacion'!$L$41:$S$41,Volumenes!$B$15:$I$15)+SUMPRODUCT('Coef Fabricacion'!$T$41:$AA$41,Volumenes!$B$28:$I$28)</f>
        <v>81612</v>
      </c>
      <c r="N23" s="48">
        <f t="shared" si="1"/>
        <v>9.949043033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7" t="s">
        <v>442</v>
      </c>
      <c r="B24" s="44" t="s">
        <v>443</v>
      </c>
      <c r="C24" s="15" t="s">
        <v>224</v>
      </c>
      <c r="D24" s="19">
        <f>SUMPRODUCT('Coef Fabricacion'!$D$42:$K$42,Volumenes!$B$32:$I$32)+SUMPRODUCT('Coef Fabricacion'!$L$42:$S$42,Volumenes!$B$6:$I$6)+SUMPRODUCT('Coef Fabricacion'!$T$42:$AA$42,Volumenes!$B$19:$I$19)</f>
        <v>109</v>
      </c>
      <c r="E24" s="19">
        <f>SUMPRODUCT('Coef Fabricacion'!$D$42:$K$42,Volumenes!$B$33:$I$33)+SUMPRODUCT('Coef Fabricacion'!$L$42:$S$42,Volumenes!$B$7:$I$7)+SUMPRODUCT('Coef Fabricacion'!$T$42:$AA$42,Volumenes!$B$20:$I$20)</f>
        <v>186</v>
      </c>
      <c r="F24" s="19">
        <f>SUMPRODUCT('Coef Fabricacion'!$D$42:$K$42,Volumenes!$B$34:$I$34)+SUMPRODUCT('Coef Fabricacion'!$L$42:$S$42,Volumenes!$B$8:$I$8)+SUMPRODUCT('Coef Fabricacion'!$T$42:$AA$42,Volumenes!$B$21:$I$21)</f>
        <v>288</v>
      </c>
      <c r="G24" s="19">
        <f>SUMPRODUCT('Coef Fabricacion'!$D$42:$K$42,Volumenes!$B$35:$I$35)+SUMPRODUCT('Coef Fabricacion'!$L$42:$S$42,Volumenes!$B$9:$I$9)+SUMPRODUCT('Coef Fabricacion'!$T$42:$AA$42,Volumenes!$B$22:$I$22)</f>
        <v>482</v>
      </c>
      <c r="H24" s="19">
        <f>SUMPRODUCT('Coef Fabricacion'!$D$42:$K$42,Volumenes!$B$36:$I$36)+SUMPRODUCT('Coef Fabricacion'!$L$42:$S$42,Volumenes!$B$10:$I$10)+SUMPRODUCT('Coef Fabricacion'!$T$42:$AA$42,Volumenes!$B$23:$I$23)</f>
        <v>797</v>
      </c>
      <c r="I24" s="19">
        <f>SUMPRODUCT('Coef Fabricacion'!$D$42:$K$42,Volumenes!$B$37:$I$37)+SUMPRODUCT('Coef Fabricacion'!$L$42:$S$42,Volumenes!$B$11:$I$11)+SUMPRODUCT('Coef Fabricacion'!$T$42:$AA$42,Volumenes!$B$24:$I$24)</f>
        <v>1111</v>
      </c>
      <c r="J24" s="19">
        <f>SUMPRODUCT('Coef Fabricacion'!$D$42:$K$42,Volumenes!$B$38:$I$38)+SUMPRODUCT('Coef Fabricacion'!$L$42:$S$42,Volumenes!$B$12:$I$12)+SUMPRODUCT('Coef Fabricacion'!$T$42:$AA$42,Volumenes!$B$25:$I$25)</f>
        <v>1484</v>
      </c>
      <c r="K24" s="19">
        <f>SUMPRODUCT('Coef Fabricacion'!$D$42:$K$42,Volumenes!$B$39:$I$39)+SUMPRODUCT('Coef Fabricacion'!$L$42:$S$42,Volumenes!$B$13:$I$13)+SUMPRODUCT('Coef Fabricacion'!$T$42:$AA$42,Volumenes!$B$26:$I$26)</f>
        <v>1872</v>
      </c>
      <c r="L24" s="19">
        <f>SUMPRODUCT('Coef Fabricacion'!$D$42:$K$42,Volumenes!$B$40:$I$40)+SUMPRODUCT('Coef Fabricacion'!$L$42:$S$42,Volumenes!$B$14:$I$14)+SUMPRODUCT('Coef Fabricacion'!$T$42:$AA$42,Volumenes!$B$27:$I$27)</f>
        <v>2146</v>
      </c>
      <c r="M24" s="19">
        <f>SUMPRODUCT('Coef Fabricacion'!$D$42:$K$42,Volumenes!$B$41:$I$41)+SUMPRODUCT('Coef Fabricacion'!$L$42:$S$42,Volumenes!$B$15:$I$15)+SUMPRODUCT('Coef Fabricacion'!$T$42:$AA$42,Volumenes!$B$28:$I$28)</f>
        <v>2480</v>
      </c>
      <c r="N24" s="48">
        <f t="shared" si="1"/>
        <v>8.611111111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7" t="s">
        <v>444</v>
      </c>
      <c r="B25" s="44" t="s">
        <v>445</v>
      </c>
      <c r="C25" s="15" t="s">
        <v>224</v>
      </c>
      <c r="D25" s="19">
        <f>SUMPRODUCT('Coef Fabricacion'!$D$43:$K$43,Volumenes!$B$32:$I$32)+SUMPRODUCT('Coef Fabricacion'!$L$43:$S$43,Volumenes!$B$6:$I$6)+SUMPRODUCT('Coef Fabricacion'!$T$43:$AA$43,Volumenes!$B$19:$I$19)</f>
        <v>27</v>
      </c>
      <c r="E25" s="19">
        <f>SUMPRODUCT('Coef Fabricacion'!$D$43:$K$43,Volumenes!$B$33:$I$33)+SUMPRODUCT('Coef Fabricacion'!$L$43:$S$43,Volumenes!$B$7:$I$7)+SUMPRODUCT('Coef Fabricacion'!$T$43:$AA$43,Volumenes!$B$20:$I$20)</f>
        <v>47</v>
      </c>
      <c r="F25" s="19">
        <f>SUMPRODUCT('Coef Fabricacion'!$D$43:$K$43,Volumenes!$B$34:$I$34)+SUMPRODUCT('Coef Fabricacion'!$L$43:$S$43,Volumenes!$B$8:$I$8)+SUMPRODUCT('Coef Fabricacion'!$T$43:$AA$43,Volumenes!$B$21:$I$21)</f>
        <v>72</v>
      </c>
      <c r="G25" s="19">
        <f>SUMPRODUCT('Coef Fabricacion'!$D$43:$K$43,Volumenes!$B$35:$I$35)+SUMPRODUCT('Coef Fabricacion'!$L$43:$S$43,Volumenes!$B$9:$I$9)+SUMPRODUCT('Coef Fabricacion'!$T$43:$AA$43,Volumenes!$B$22:$I$22)</f>
        <v>121</v>
      </c>
      <c r="H25" s="19">
        <f>SUMPRODUCT('Coef Fabricacion'!$D$43:$K$43,Volumenes!$B$36:$I$36)+SUMPRODUCT('Coef Fabricacion'!$L$43:$S$43,Volumenes!$B$10:$I$10)+SUMPRODUCT('Coef Fabricacion'!$T$43:$AA$43,Volumenes!$B$23:$I$23)</f>
        <v>199</v>
      </c>
      <c r="I25" s="19">
        <f>SUMPRODUCT('Coef Fabricacion'!$D$43:$K$43,Volumenes!$B$37:$I$37)+SUMPRODUCT('Coef Fabricacion'!$L$43:$S$43,Volumenes!$B$11:$I$11)+SUMPRODUCT('Coef Fabricacion'!$T$43:$AA$43,Volumenes!$B$24:$I$24)</f>
        <v>276</v>
      </c>
      <c r="J25" s="19">
        <f>SUMPRODUCT('Coef Fabricacion'!$D$43:$K$43,Volumenes!$B$38:$I$38)+SUMPRODUCT('Coef Fabricacion'!$L$43:$S$43,Volumenes!$B$12:$I$12)+SUMPRODUCT('Coef Fabricacion'!$T$43:$AA$43,Volumenes!$B$25:$I$25)</f>
        <v>370</v>
      </c>
      <c r="K25" s="19">
        <f>SUMPRODUCT('Coef Fabricacion'!$D$43:$K$43,Volumenes!$B$39:$I$39)+SUMPRODUCT('Coef Fabricacion'!$L$43:$S$43,Volumenes!$B$13:$I$13)+SUMPRODUCT('Coef Fabricacion'!$T$43:$AA$43,Volumenes!$B$26:$I$26)</f>
        <v>468</v>
      </c>
      <c r="L25" s="19">
        <f>SUMPRODUCT('Coef Fabricacion'!$D$43:$K$43,Volumenes!$B$40:$I$40)+SUMPRODUCT('Coef Fabricacion'!$L$43:$S$43,Volumenes!$B$14:$I$14)+SUMPRODUCT('Coef Fabricacion'!$T$43:$AA$43,Volumenes!$B$27:$I$27)</f>
        <v>536</v>
      </c>
      <c r="M25" s="19">
        <f>SUMPRODUCT('Coef Fabricacion'!$D$43:$K$43,Volumenes!$B$41:$I$41)+SUMPRODUCT('Coef Fabricacion'!$L$43:$S$43,Volumenes!$B$15:$I$15)+SUMPRODUCT('Coef Fabricacion'!$T$43:$AA$43,Volumenes!$B$28:$I$28)</f>
        <v>620</v>
      </c>
      <c r="N25" s="48">
        <f t="shared" si="1"/>
        <v>8.611111111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7" t="s">
        <v>446</v>
      </c>
      <c r="B26" s="44" t="s">
        <v>447</v>
      </c>
      <c r="C26" s="15" t="s">
        <v>155</v>
      </c>
      <c r="D26" s="19">
        <f>SUMPRODUCT('Coef Fabricacion'!$D$44:$K$44,Volumenes!$B$32:$I$32)+SUMPRODUCT('Coef Fabricacion'!$L$44:$S$44,Volumenes!$B$6:$I$6)+SUMPRODUCT('Coef Fabricacion'!$T$44:$AA$44,Volumenes!$B$19:$I$19)</f>
        <v>40.5</v>
      </c>
      <c r="E26" s="19">
        <f>SUMPRODUCT('Coef Fabricacion'!$D$44:$K$44,Volumenes!$B$33:$I$33)+SUMPRODUCT('Coef Fabricacion'!$L$44:$S$44,Volumenes!$B$7:$I$7)+SUMPRODUCT('Coef Fabricacion'!$T$44:$AA$44,Volumenes!$B$20:$I$20)</f>
        <v>70.5</v>
      </c>
      <c r="F26" s="19">
        <f>SUMPRODUCT('Coef Fabricacion'!$D$44:$K$44,Volumenes!$B$34:$I$34)+SUMPRODUCT('Coef Fabricacion'!$L$44:$S$44,Volumenes!$B$8:$I$8)+SUMPRODUCT('Coef Fabricacion'!$T$44:$AA$44,Volumenes!$B$21:$I$21)</f>
        <v>108</v>
      </c>
      <c r="G26" s="19">
        <f>SUMPRODUCT('Coef Fabricacion'!$D$44:$K$44,Volumenes!$B$35:$I$35)+SUMPRODUCT('Coef Fabricacion'!$L$44:$S$44,Volumenes!$B$9:$I$9)+SUMPRODUCT('Coef Fabricacion'!$T$44:$AA$44,Volumenes!$B$22:$I$22)</f>
        <v>181.5</v>
      </c>
      <c r="H26" s="19">
        <f>SUMPRODUCT('Coef Fabricacion'!$D$44:$K$44,Volumenes!$B$36:$I$36)+SUMPRODUCT('Coef Fabricacion'!$L$44:$S$44,Volumenes!$B$10:$I$10)+SUMPRODUCT('Coef Fabricacion'!$T$44:$AA$44,Volumenes!$B$23:$I$23)</f>
        <v>298.5</v>
      </c>
      <c r="I26" s="19">
        <f>SUMPRODUCT('Coef Fabricacion'!$D$44:$K$44,Volumenes!$B$37:$I$37)+SUMPRODUCT('Coef Fabricacion'!$L$44:$S$44,Volumenes!$B$11:$I$11)+SUMPRODUCT('Coef Fabricacion'!$T$44:$AA$44,Volumenes!$B$24:$I$24)</f>
        <v>414</v>
      </c>
      <c r="J26" s="19">
        <f>SUMPRODUCT('Coef Fabricacion'!$D$44:$K$44,Volumenes!$B$38:$I$38)+SUMPRODUCT('Coef Fabricacion'!$L$44:$S$44,Volumenes!$B$12:$I$12)+SUMPRODUCT('Coef Fabricacion'!$T$44:$AA$44,Volumenes!$B$25:$I$25)</f>
        <v>555</v>
      </c>
      <c r="K26" s="19">
        <f>SUMPRODUCT('Coef Fabricacion'!$D$44:$K$44,Volumenes!$B$39:$I$39)+SUMPRODUCT('Coef Fabricacion'!$L$44:$S$44,Volumenes!$B$13:$I$13)+SUMPRODUCT('Coef Fabricacion'!$T$44:$AA$44,Volumenes!$B$26:$I$26)</f>
        <v>702</v>
      </c>
      <c r="L26" s="19">
        <f>SUMPRODUCT('Coef Fabricacion'!$D$44:$K$44,Volumenes!$B$40:$I$40)+SUMPRODUCT('Coef Fabricacion'!$L$44:$S$44,Volumenes!$B$14:$I$14)+SUMPRODUCT('Coef Fabricacion'!$T$44:$AA$44,Volumenes!$B$27:$I$27)</f>
        <v>804</v>
      </c>
      <c r="M26" s="19">
        <f>SUMPRODUCT('Coef Fabricacion'!$D$44:$K$44,Volumenes!$B$41:$I$41)+SUMPRODUCT('Coef Fabricacion'!$L$44:$S$44,Volumenes!$B$15:$I$15)+SUMPRODUCT('Coef Fabricacion'!$T$44:$AA$44,Volumenes!$B$28:$I$28)</f>
        <v>930</v>
      </c>
      <c r="N26" s="48">
        <f t="shared" si="1"/>
        <v>8.611111111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7" t="s">
        <v>450</v>
      </c>
      <c r="B27" s="44" t="s">
        <v>451</v>
      </c>
      <c r="C27" s="15" t="s">
        <v>155</v>
      </c>
      <c r="D27" s="19">
        <f>SUMPRODUCT('Coef Fabricacion'!$D$45:$K$45,Volumenes!$B$32:$I$32)+SUMPRODUCT('Coef Fabricacion'!$L$45:$S$45,Volumenes!$B$6:$I$6)+SUMPRODUCT('Coef Fabricacion'!$T$45:$AA$45,Volumenes!$B$19:$I$19)</f>
        <v>158.7433948</v>
      </c>
      <c r="E27" s="19">
        <f>SUMPRODUCT('Coef Fabricacion'!$D$45:$K$45,Volumenes!$B$33:$I$33)+SUMPRODUCT('Coef Fabricacion'!$L$45:$S$45,Volumenes!$B$7:$I$7)+SUMPRODUCT('Coef Fabricacion'!$T$45:$AA$45,Volumenes!$B$20:$I$20)</f>
        <v>260.9444515</v>
      </c>
      <c r="F27" s="19">
        <f>SUMPRODUCT('Coef Fabricacion'!$D$45:$K$45,Volumenes!$B$34:$I$34)+SUMPRODUCT('Coef Fabricacion'!$L$45:$S$45,Volumenes!$B$8:$I$8)+SUMPRODUCT('Coef Fabricacion'!$T$45:$AA$45,Volumenes!$B$21:$I$21)</f>
        <v>513.9930837</v>
      </c>
      <c r="G27" s="19">
        <f>SUMPRODUCT('Coef Fabricacion'!$D$45:$K$45,Volumenes!$B$35:$I$35)+SUMPRODUCT('Coef Fabricacion'!$L$45:$S$45,Volumenes!$B$9:$I$9)+SUMPRODUCT('Coef Fabricacion'!$T$45:$AA$45,Volumenes!$B$22:$I$22)</f>
        <v>1075.451013</v>
      </c>
      <c r="H27" s="19">
        <f>SUMPRODUCT('Coef Fabricacion'!$D$45:$K$45,Volumenes!$B$36:$I$36)+SUMPRODUCT('Coef Fabricacion'!$L$45:$S$45,Volumenes!$B$10:$I$10)+SUMPRODUCT('Coef Fabricacion'!$T$45:$AA$45,Volumenes!$B$23:$I$23)</f>
        <v>1862.893577</v>
      </c>
      <c r="I27" s="19">
        <f>SUMPRODUCT('Coef Fabricacion'!$D$45:$K$45,Volumenes!$B$37:$I$37)+SUMPRODUCT('Coef Fabricacion'!$L$45:$S$45,Volumenes!$B$11:$I$11)+SUMPRODUCT('Coef Fabricacion'!$T$45:$AA$45,Volumenes!$B$24:$I$24)</f>
        <v>2616.801028</v>
      </c>
      <c r="J27" s="19">
        <f>SUMPRODUCT('Coef Fabricacion'!$D$45:$K$45,Volumenes!$B$38:$I$38)+SUMPRODUCT('Coef Fabricacion'!$L$45:$S$45,Volumenes!$B$12:$I$12)+SUMPRODUCT('Coef Fabricacion'!$T$45:$AA$45,Volumenes!$B$25:$I$25)</f>
        <v>3588.357357</v>
      </c>
      <c r="K27" s="19">
        <f>SUMPRODUCT('Coef Fabricacion'!$D$45:$K$45,Volumenes!$B$39:$I$39)+SUMPRODUCT('Coef Fabricacion'!$L$45:$S$45,Volumenes!$B$13:$I$13)+SUMPRODUCT('Coef Fabricacion'!$T$45:$AA$45,Volumenes!$B$26:$I$26)</f>
        <v>4574.393401</v>
      </c>
      <c r="L27" s="19">
        <f>SUMPRODUCT('Coef Fabricacion'!$D$45:$K$45,Volumenes!$B$40:$I$40)+SUMPRODUCT('Coef Fabricacion'!$L$45:$S$45,Volumenes!$B$14:$I$14)+SUMPRODUCT('Coef Fabricacion'!$T$45:$AA$45,Volumenes!$B$27:$I$27)</f>
        <v>5178.031611</v>
      </c>
      <c r="M27" s="19">
        <f>SUMPRODUCT('Coef Fabricacion'!$D$45:$K$45,Volumenes!$B$41:$I$41)+SUMPRODUCT('Coef Fabricacion'!$L$45:$S$45,Volumenes!$B$15:$I$15)+SUMPRODUCT('Coef Fabricacion'!$T$45:$AA$45,Volumenes!$B$28:$I$28)</f>
        <v>5982.476692</v>
      </c>
      <c r="N27" s="48">
        <f t="shared" si="1"/>
        <v>11.63921633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7" t="s">
        <v>457</v>
      </c>
      <c r="B28" s="44" t="s">
        <v>458</v>
      </c>
      <c r="C28" s="15" t="s">
        <v>155</v>
      </c>
      <c r="D28" s="19">
        <f>SUMPRODUCT('Coef Fabricacion'!$D$46:$K$46,Volumenes!$B$32:$I$32)+SUMPRODUCT('Coef Fabricacion'!$L$46:$S$46,Volumenes!$B$6:$I$6)+SUMPRODUCT('Coef Fabricacion'!$T$46:$AA$46,Volumenes!$B$19:$I$19)</f>
        <v>57.32171744</v>
      </c>
      <c r="E28" s="19">
        <f>SUMPRODUCT('Coef Fabricacion'!$D$46:$K$46,Volumenes!$B$33:$I$33)+SUMPRODUCT('Coef Fabricacion'!$L$46:$S$46,Volumenes!$B$7:$I$7)+SUMPRODUCT('Coef Fabricacion'!$T$46:$AA$46,Volumenes!$B$20:$I$20)</f>
        <v>98.47917355</v>
      </c>
      <c r="F28" s="19">
        <f>SUMPRODUCT('Coef Fabricacion'!$D$46:$K$46,Volumenes!$B$34:$I$34)+SUMPRODUCT('Coef Fabricacion'!$L$46:$S$46,Volumenes!$B$8:$I$8)+SUMPRODUCT('Coef Fabricacion'!$T$46:$AA$46,Volumenes!$B$21:$I$21)</f>
        <v>151.9409146</v>
      </c>
      <c r="G28" s="19">
        <f>SUMPRODUCT('Coef Fabricacion'!$D$46:$K$46,Volumenes!$B$35:$I$35)+SUMPRODUCT('Coef Fabricacion'!$L$46:$S$46,Volumenes!$B$9:$I$9)+SUMPRODUCT('Coef Fabricacion'!$T$46:$AA$46,Volumenes!$B$22:$I$22)</f>
        <v>254.7150931</v>
      </c>
      <c r="H28" s="19">
        <f>SUMPRODUCT('Coef Fabricacion'!$D$46:$K$46,Volumenes!$B$36:$I$36)+SUMPRODUCT('Coef Fabricacion'!$L$46:$S$46,Volumenes!$B$10:$I$10)+SUMPRODUCT('Coef Fabricacion'!$T$46:$AA$46,Volumenes!$B$23:$I$23)</f>
        <v>420.2799536</v>
      </c>
      <c r="I28" s="19">
        <f>SUMPRODUCT('Coef Fabricacion'!$D$46:$K$46,Volumenes!$B$37:$I$37)+SUMPRODUCT('Coef Fabricacion'!$L$46:$S$46,Volumenes!$B$11:$I$11)+SUMPRODUCT('Coef Fabricacion'!$T$46:$AA$46,Volumenes!$B$24:$I$24)</f>
        <v>584.7491039</v>
      </c>
      <c r="J28" s="19">
        <f>SUMPRODUCT('Coef Fabricacion'!$D$46:$K$46,Volumenes!$B$38:$I$38)+SUMPRODUCT('Coef Fabricacion'!$L$46:$S$46,Volumenes!$B$12:$I$12)+SUMPRODUCT('Coef Fabricacion'!$T$46:$AA$46,Volumenes!$B$25:$I$25)</f>
        <v>782.0522643</v>
      </c>
      <c r="K28" s="19">
        <f>SUMPRODUCT('Coef Fabricacion'!$D$46:$K$46,Volumenes!$B$39:$I$39)+SUMPRODUCT('Coef Fabricacion'!$L$46:$S$46,Volumenes!$B$13:$I$13)+SUMPRODUCT('Coef Fabricacion'!$T$46:$AA$46,Volumenes!$B$26:$I$26)</f>
        <v>987.5104061</v>
      </c>
      <c r="L28" s="19">
        <f>SUMPRODUCT('Coef Fabricacion'!$D$46:$K$46,Volumenes!$B$40:$I$40)+SUMPRODUCT('Coef Fabricacion'!$L$46:$S$46,Volumenes!$B$14:$I$14)+SUMPRODUCT('Coef Fabricacion'!$T$46:$AA$46,Volumenes!$B$27:$I$27)</f>
        <v>1131.737152</v>
      </c>
      <c r="M28" s="19">
        <f>SUMPRODUCT('Coef Fabricacion'!$D$46:$K$46,Volumenes!$B$41:$I$41)+SUMPRODUCT('Coef Fabricacion'!$L$46:$S$46,Volumenes!$B$15:$I$15)+SUMPRODUCT('Coef Fabricacion'!$T$46:$AA$46,Volumenes!$B$28:$I$28)</f>
        <v>1308.265178</v>
      </c>
      <c r="N28" s="48">
        <f t="shared" si="1"/>
        <v>8.610354764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7" t="s">
        <v>461</v>
      </c>
      <c r="B29" s="44" t="s">
        <v>462</v>
      </c>
      <c r="C29" s="15" t="s">
        <v>310</v>
      </c>
      <c r="D29" s="27">
        <f>SUMPRODUCT('Coef Fabricacion'!$D$47:$K$47,Volumenes!$B$32:$I$32)+SUMPRODUCT('Coef Fabricacion'!$L$47:$S$47,Volumenes!$B$6:$I$6)+SUMPRODUCT('Coef Fabricacion'!$T$47:$AA$47,Volumenes!$B$19:$I$19)</f>
        <v>201.5552857</v>
      </c>
      <c r="E29" s="27">
        <f>SUMPRODUCT('Coef Fabricacion'!$D$47:$K$47,Volumenes!$B$33:$I$33)+SUMPRODUCT('Coef Fabricacion'!$L$47:$S$47,Volumenes!$B$7:$I$7)+SUMPRODUCT('Coef Fabricacion'!$T$47:$AA$47,Volumenes!$B$20:$I$20)</f>
        <v>333.0580822</v>
      </c>
      <c r="F29" s="27">
        <f>SUMPRODUCT('Coef Fabricacion'!$D$47:$K$47,Volumenes!$B$34:$I$34)+SUMPRODUCT('Coef Fabricacion'!$L$47:$S$47,Volumenes!$B$8:$I$8)+SUMPRODUCT('Coef Fabricacion'!$T$47:$AA$47,Volumenes!$B$21:$I$21)</f>
        <v>638.0950323</v>
      </c>
      <c r="G29" s="27">
        <f>SUMPRODUCT('Coef Fabricacion'!$D$47:$K$47,Volumenes!$B$35:$I$35)+SUMPRODUCT('Coef Fabricacion'!$L$47:$S$47,Volumenes!$B$9:$I$9)+SUMPRODUCT('Coef Fabricacion'!$T$47:$AA$47,Volumenes!$B$22:$I$22)</f>
        <v>1307.957833</v>
      </c>
      <c r="H29" s="27">
        <f>SUMPRODUCT('Coef Fabricacion'!$D$47:$K$47,Volumenes!$B$36:$I$36)+SUMPRODUCT('Coef Fabricacion'!$L$47:$S$47,Volumenes!$B$10:$I$10)+SUMPRODUCT('Coef Fabricacion'!$T$47:$AA$47,Volumenes!$B$23:$I$23)</f>
        <v>2256.772842</v>
      </c>
      <c r="I29" s="27">
        <f>SUMPRODUCT('Coef Fabricacion'!$D$47:$K$47,Volumenes!$B$37:$I$37)+SUMPRODUCT('Coef Fabricacion'!$L$47:$S$47,Volumenes!$B$11:$I$11)+SUMPRODUCT('Coef Fabricacion'!$T$47:$AA$47,Volumenes!$B$24:$I$24)</f>
        <v>3167.81927</v>
      </c>
      <c r="J29" s="27">
        <f>SUMPRODUCT('Coef Fabricacion'!$D$47:$K$47,Volumenes!$B$38:$I$38)+SUMPRODUCT('Coef Fabricacion'!$L$47:$S$47,Volumenes!$B$12:$I$12)+SUMPRODUCT('Coef Fabricacion'!$T$47:$AA$47,Volumenes!$B$25:$I$25)</f>
        <v>4335.322155</v>
      </c>
      <c r="K29" s="27">
        <f>SUMPRODUCT('Coef Fabricacion'!$D$47:$K$47,Volumenes!$B$39:$I$39)+SUMPRODUCT('Coef Fabricacion'!$L$47:$S$47,Volumenes!$B$13:$I$13)+SUMPRODUCT('Coef Fabricacion'!$T$47:$AA$47,Volumenes!$B$26:$I$26)</f>
        <v>5522.437954</v>
      </c>
      <c r="L29" s="27">
        <f>SUMPRODUCT('Coef Fabricacion'!$D$47:$K$47,Volumenes!$B$40:$I$40)+SUMPRODUCT('Coef Fabricacion'!$L$47:$S$47,Volumenes!$B$14:$I$14)+SUMPRODUCT('Coef Fabricacion'!$T$47:$AA$47,Volumenes!$B$27:$I$27)</f>
        <v>6257.196238</v>
      </c>
      <c r="M29" s="27">
        <f>SUMPRODUCT('Coef Fabricacion'!$D$47:$K$47,Volumenes!$B$41:$I$41)+SUMPRODUCT('Coef Fabricacion'!$L$47:$S$47,Volumenes!$B$15:$I$15)+SUMPRODUCT('Coef Fabricacion'!$T$47:$AA$47,Volumenes!$B$28:$I$28)</f>
        <v>7229.541785</v>
      </c>
      <c r="N29" s="48">
        <f t="shared" si="1"/>
        <v>11.32988257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7" t="s">
        <v>473</v>
      </c>
      <c r="B30" s="44" t="s">
        <v>474</v>
      </c>
      <c r="C30" s="15" t="s">
        <v>224</v>
      </c>
      <c r="D30" s="19">
        <f>SUMPRODUCT('Coef Fabricacion'!$D$48:$K$48,Volumenes!$B$32:$I$32)+SUMPRODUCT('Coef Fabricacion'!$L$48:$S$48,Volumenes!$B$6:$I$6)+SUMPRODUCT('Coef Fabricacion'!$T$48:$AA$48,Volumenes!$B$19:$I$19)</f>
        <v>54.01627807</v>
      </c>
      <c r="E30" s="19">
        <f>SUMPRODUCT('Coef Fabricacion'!$D$48:$K$48,Volumenes!$B$33:$I$33)+SUMPRODUCT('Coef Fabricacion'!$L$48:$S$48,Volumenes!$B$7:$I$7)+SUMPRODUCT('Coef Fabricacion'!$T$48:$AA$48,Volumenes!$B$20:$I$20)</f>
        <v>89.85590627</v>
      </c>
      <c r="F30" s="19">
        <f>SUMPRODUCT('Coef Fabricacion'!$D$48:$K$48,Volumenes!$B$34:$I$34)+SUMPRODUCT('Coef Fabricacion'!$L$48:$S$48,Volumenes!$B$8:$I$8)+SUMPRODUCT('Coef Fabricacion'!$T$48:$AA$48,Volumenes!$B$21:$I$21)</f>
        <v>166.4834996</v>
      </c>
      <c r="G30" s="19">
        <f>SUMPRODUCT('Coef Fabricacion'!$D$48:$K$48,Volumenes!$B$35:$I$35)+SUMPRODUCT('Coef Fabricacion'!$L$48:$S$48,Volumenes!$B$9:$I$9)+SUMPRODUCT('Coef Fabricacion'!$T$48:$AA$48,Volumenes!$B$22:$I$22)</f>
        <v>332.5415265</v>
      </c>
      <c r="H30" s="19">
        <f>SUMPRODUCT('Coef Fabricacion'!$D$48:$K$48,Volumenes!$B$36:$I$36)+SUMPRODUCT('Coef Fabricacion'!$L$48:$S$48,Volumenes!$B$10:$I$10)+SUMPRODUCT('Coef Fabricacion'!$T$48:$AA$48,Volumenes!$B$23:$I$23)</f>
        <v>570.7933827</v>
      </c>
      <c r="I30" s="19">
        <f>SUMPRODUCT('Coef Fabricacion'!$D$48:$K$48,Volumenes!$B$37:$I$37)+SUMPRODUCT('Coef Fabricacion'!$L$48:$S$48,Volumenes!$B$11:$I$11)+SUMPRODUCT('Coef Fabricacion'!$T$48:$AA$48,Volumenes!$B$24:$I$24)</f>
        <v>800.387533</v>
      </c>
      <c r="J30" s="19">
        <f>SUMPRODUCT('Coef Fabricacion'!$D$48:$K$48,Volumenes!$B$38:$I$38)+SUMPRODUCT('Coef Fabricacion'!$L$48:$S$48,Volumenes!$B$12:$I$12)+SUMPRODUCT('Coef Fabricacion'!$T$48:$AA$48,Volumenes!$B$25:$I$25)</f>
        <v>1092.602405</v>
      </c>
      <c r="K30" s="19">
        <f>SUMPRODUCT('Coef Fabricacion'!$D$48:$K$48,Volumenes!$B$39:$I$39)+SUMPRODUCT('Coef Fabricacion'!$L$48:$S$48,Volumenes!$B$13:$I$13)+SUMPRODUCT('Coef Fabricacion'!$T$48:$AA$48,Volumenes!$B$26:$I$26)</f>
        <v>1390.475952</v>
      </c>
      <c r="L30" s="19">
        <f>SUMPRODUCT('Coef Fabricacion'!$D$48:$K$48,Volumenes!$B$40:$I$40)+SUMPRODUCT('Coef Fabricacion'!$L$48:$S$48,Volumenes!$B$14:$I$14)+SUMPRODUCT('Coef Fabricacion'!$T$48:$AA$48,Volumenes!$B$27:$I$27)</f>
        <v>1577.442191</v>
      </c>
      <c r="M30" s="19">
        <f>SUMPRODUCT('Coef Fabricacion'!$D$48:$K$48,Volumenes!$B$41:$I$41)+SUMPRODUCT('Coef Fabricacion'!$L$48:$S$48,Volumenes!$B$15:$I$15)+SUMPRODUCT('Coef Fabricacion'!$T$48:$AA$48,Volumenes!$B$28:$I$28)</f>
        <v>1822.685468</v>
      </c>
      <c r="N30" s="48">
        <f t="shared" si="1"/>
        <v>10.94814484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7" t="s">
        <v>483</v>
      </c>
      <c r="B31" s="44" t="s">
        <v>484</v>
      </c>
      <c r="C31" s="15" t="s">
        <v>224</v>
      </c>
      <c r="D31" s="19">
        <f>SUMPRODUCT('Coef Fabricacion'!$D$49:$K$49,Volumenes!$B$32:$I$32)+SUMPRODUCT('Coef Fabricacion'!$L$49:$S$49,Volumenes!$B$6:$I$6)+SUMPRODUCT('Coef Fabricacion'!$T$49:$AA$49,Volumenes!$B$19:$I$19)</f>
        <v>46.38666667</v>
      </c>
      <c r="E31" s="19">
        <f>SUMPRODUCT('Coef Fabricacion'!$D$49:$K$49,Volumenes!$B$33:$I$33)+SUMPRODUCT('Coef Fabricacion'!$L$49:$S$49,Volumenes!$B$7:$I$7)+SUMPRODUCT('Coef Fabricacion'!$T$49:$AA$49,Volumenes!$B$20:$I$20)</f>
        <v>73.08666667</v>
      </c>
      <c r="F31" s="19">
        <f>SUMPRODUCT('Coef Fabricacion'!$D$49:$K$49,Volumenes!$B$34:$I$34)+SUMPRODUCT('Coef Fabricacion'!$L$49:$S$49,Volumenes!$B$8:$I$8)+SUMPRODUCT('Coef Fabricacion'!$T$49:$AA$49,Volumenes!$B$21:$I$21)</f>
        <v>153.8466667</v>
      </c>
      <c r="G31" s="19">
        <f>SUMPRODUCT('Coef Fabricacion'!$D$49:$K$49,Volumenes!$B$35:$I$35)+SUMPRODUCT('Coef Fabricacion'!$L$49:$S$49,Volumenes!$B$9:$I$9)+SUMPRODUCT('Coef Fabricacion'!$T$49:$AA$49,Volumenes!$B$22:$I$22)</f>
        <v>339.72</v>
      </c>
      <c r="H31" s="19">
        <f>SUMPRODUCT('Coef Fabricacion'!$D$49:$K$49,Volumenes!$B$36:$I$36)+SUMPRODUCT('Coef Fabricacion'!$L$49:$S$49,Volumenes!$B$10:$I$10)+SUMPRODUCT('Coef Fabricacion'!$T$49:$AA$49,Volumenes!$B$23:$I$23)</f>
        <v>592.6866667</v>
      </c>
      <c r="I31" s="19">
        <f>SUMPRODUCT('Coef Fabricacion'!$D$49:$K$49,Volumenes!$B$37:$I$37)+SUMPRODUCT('Coef Fabricacion'!$L$49:$S$49,Volumenes!$B$11:$I$11)+SUMPRODUCT('Coef Fabricacion'!$T$49:$AA$49,Volumenes!$B$24:$I$24)</f>
        <v>832.6666667</v>
      </c>
      <c r="J31" s="19">
        <f>SUMPRODUCT('Coef Fabricacion'!$D$49:$K$49,Volumenes!$B$38:$I$38)+SUMPRODUCT('Coef Fabricacion'!$L$49:$S$49,Volumenes!$B$12:$I$12)+SUMPRODUCT('Coef Fabricacion'!$T$49:$AA$49,Volumenes!$B$25:$I$25)</f>
        <v>1149.02</v>
      </c>
      <c r="K31" s="19">
        <f>SUMPRODUCT('Coef Fabricacion'!$D$49:$K$49,Volumenes!$B$39:$I$39)+SUMPRODUCT('Coef Fabricacion'!$L$49:$S$49,Volumenes!$B$13:$I$13)+SUMPRODUCT('Coef Fabricacion'!$T$49:$AA$49,Volumenes!$B$26:$I$26)</f>
        <v>1468.613333</v>
      </c>
      <c r="L31" s="19">
        <f>SUMPRODUCT('Coef Fabricacion'!$D$49:$K$49,Volumenes!$B$40:$I$40)+SUMPRODUCT('Coef Fabricacion'!$L$49:$S$49,Volumenes!$B$14:$I$14)+SUMPRODUCT('Coef Fabricacion'!$T$49:$AA$49,Volumenes!$B$27:$I$27)</f>
        <v>1657.72</v>
      </c>
      <c r="M31" s="19">
        <f>SUMPRODUCT('Coef Fabricacion'!$D$49:$K$49,Volumenes!$B$41:$I$41)+SUMPRODUCT('Coef Fabricacion'!$L$49:$S$49,Volumenes!$B$15:$I$15)+SUMPRODUCT('Coef Fabricacion'!$T$49:$AA$49,Volumenes!$B$28:$I$28)</f>
        <v>1915.553333</v>
      </c>
      <c r="N31" s="48">
        <f t="shared" si="1"/>
        <v>12.45105516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7" t="s">
        <v>494</v>
      </c>
      <c r="B32" s="44" t="s">
        <v>495</v>
      </c>
      <c r="C32" s="15" t="s">
        <v>155</v>
      </c>
      <c r="D32" s="19">
        <f>SUMPRODUCT('Coef Fabricacion'!$D$50:$K$50,Volumenes!$B$32:$I$32)+SUMPRODUCT('Coef Fabricacion'!$L$50:$S$50,Volumenes!$B$6:$I$6)+SUMPRODUCT('Coef Fabricacion'!$T$50:$AA$50,Volumenes!$B$19:$I$19)</f>
        <v>195.2955665</v>
      </c>
      <c r="E32" s="19">
        <f>SUMPRODUCT('Coef Fabricacion'!$D$50:$K$50,Volumenes!$B$33:$I$33)+SUMPRODUCT('Coef Fabricacion'!$L$50:$S$50,Volumenes!$B$7:$I$7)+SUMPRODUCT('Coef Fabricacion'!$T$50:$AA$50,Volumenes!$B$20:$I$20)</f>
        <v>349.729064</v>
      </c>
      <c r="F32" s="19">
        <f>SUMPRODUCT('Coef Fabricacion'!$D$50:$K$50,Volumenes!$B$34:$I$34)+SUMPRODUCT('Coef Fabricacion'!$L$50:$S$50,Volumenes!$B$8:$I$8)+SUMPRODUCT('Coef Fabricacion'!$T$50:$AA$50,Volumenes!$B$21:$I$21)</f>
        <v>606.1330049</v>
      </c>
      <c r="G32" s="19">
        <f>SUMPRODUCT('Coef Fabricacion'!$D$50:$K$50,Volumenes!$B$35:$I$35)+SUMPRODUCT('Coef Fabricacion'!$L$50:$S$50,Volumenes!$B$9:$I$9)+SUMPRODUCT('Coef Fabricacion'!$T$50:$AA$50,Volumenes!$B$22:$I$22)</f>
        <v>1122.635468</v>
      </c>
      <c r="H32" s="19">
        <f>SUMPRODUCT('Coef Fabricacion'!$D$50:$K$50,Volumenes!$B$36:$I$36)+SUMPRODUCT('Coef Fabricacion'!$L$50:$S$50,Volumenes!$B$10:$I$10)+SUMPRODUCT('Coef Fabricacion'!$T$50:$AA$50,Volumenes!$B$23:$I$23)</f>
        <v>1905.738916</v>
      </c>
      <c r="I32" s="19">
        <f>SUMPRODUCT('Coef Fabricacion'!$D$50:$K$50,Volumenes!$B$37:$I$37)+SUMPRODUCT('Coef Fabricacion'!$L$50:$S$50,Volumenes!$B$11:$I$11)+SUMPRODUCT('Coef Fabricacion'!$T$50:$AA$50,Volumenes!$B$24:$I$24)</f>
        <v>2675.837438</v>
      </c>
      <c r="J32" s="19">
        <f>SUMPRODUCT('Coef Fabricacion'!$D$50:$K$50,Volumenes!$B$38:$I$38)+SUMPRODUCT('Coef Fabricacion'!$L$50:$S$50,Volumenes!$B$12:$I$12)+SUMPRODUCT('Coef Fabricacion'!$T$50:$AA$50,Volumenes!$B$25:$I$25)</f>
        <v>3607.758621</v>
      </c>
      <c r="K32" s="19">
        <f>SUMPRODUCT('Coef Fabricacion'!$D$50:$K$50,Volumenes!$B$39:$I$39)+SUMPRODUCT('Coef Fabricacion'!$L$50:$S$50,Volumenes!$B$13:$I$13)+SUMPRODUCT('Coef Fabricacion'!$T$50:$AA$50,Volumenes!$B$26:$I$26)</f>
        <v>4567.906404</v>
      </c>
      <c r="L32" s="19">
        <f>SUMPRODUCT('Coef Fabricacion'!$D$50:$K$50,Volumenes!$B$40:$I$40)+SUMPRODUCT('Coef Fabricacion'!$L$50:$S$50,Volumenes!$B$14:$I$14)+SUMPRODUCT('Coef Fabricacion'!$T$50:$AA$50,Volumenes!$B$27:$I$27)</f>
        <v>5215.492611</v>
      </c>
      <c r="M32" s="19">
        <f>SUMPRODUCT('Coef Fabricacion'!$D$50:$K$50,Volumenes!$B$41:$I$41)+SUMPRODUCT('Coef Fabricacion'!$L$50:$S$50,Volumenes!$B$15:$I$15)+SUMPRODUCT('Coef Fabricacion'!$T$50:$AA$50,Volumenes!$B$28:$I$28)</f>
        <v>6030.44335</v>
      </c>
      <c r="N32" s="48">
        <f t="shared" si="1"/>
        <v>9.949043033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7" t="s">
        <v>499</v>
      </c>
      <c r="B33" s="44" t="s">
        <v>500</v>
      </c>
      <c r="C33" s="15" t="s">
        <v>322</v>
      </c>
      <c r="D33" s="19">
        <f>SUMPRODUCT('Coef Fabricacion'!$D$51:$K$51,Volumenes!$B$32:$I$32)+SUMPRODUCT('Coef Fabricacion'!$L$51:$S$51,Volumenes!$B$6:$I$6)+SUMPRODUCT('Coef Fabricacion'!$T$51:$AA$51,Volumenes!$B$19:$I$19)</f>
        <v>9.682519317</v>
      </c>
      <c r="E33" s="19">
        <f>SUMPRODUCT('Coef Fabricacion'!$D$51:$K$51,Volumenes!$B$33:$I$33)+SUMPRODUCT('Coef Fabricacion'!$L$51:$S$51,Volumenes!$B$7:$I$7)+SUMPRODUCT('Coef Fabricacion'!$T$51:$AA$51,Volumenes!$B$20:$I$20)</f>
        <v>15.99143979</v>
      </c>
      <c r="F33" s="19">
        <f>SUMPRODUCT('Coef Fabricacion'!$D$51:$K$51,Volumenes!$B$34:$I$34)+SUMPRODUCT('Coef Fabricacion'!$L$51:$S$51,Volumenes!$B$8:$I$8)+SUMPRODUCT('Coef Fabricacion'!$T$51:$AA$51,Volumenes!$B$21:$I$21)</f>
        <v>31.08776636</v>
      </c>
      <c r="G33" s="19">
        <f>SUMPRODUCT('Coef Fabricacion'!$D$51:$K$51,Volumenes!$B$35:$I$35)+SUMPRODUCT('Coef Fabricacion'!$L$51:$S$51,Volumenes!$B$9:$I$9)+SUMPRODUCT('Coef Fabricacion'!$T$51:$AA$51,Volumenes!$B$22:$I$22)</f>
        <v>64.26549719</v>
      </c>
      <c r="H33" s="19">
        <f>SUMPRODUCT('Coef Fabricacion'!$D$51:$K$51,Volumenes!$B$36:$I$36)+SUMPRODUCT('Coef Fabricacion'!$L$51:$S$51,Volumenes!$B$10:$I$10)+SUMPRODUCT('Coef Fabricacion'!$T$51:$AA$51,Volumenes!$B$23:$I$23)</f>
        <v>111.2054358</v>
      </c>
      <c r="I33" s="19">
        <f>SUMPRODUCT('Coef Fabricacion'!$D$51:$K$51,Volumenes!$B$37:$I$37)+SUMPRODUCT('Coef Fabricacion'!$L$51:$S$51,Volumenes!$B$11:$I$11)+SUMPRODUCT('Coef Fabricacion'!$T$51:$AA$51,Volumenes!$B$24:$I$24)</f>
        <v>156.2108567</v>
      </c>
      <c r="J33" s="19">
        <f>SUMPRODUCT('Coef Fabricacion'!$D$51:$K$51,Volumenes!$B$38:$I$38)+SUMPRODUCT('Coef Fabricacion'!$L$51:$S$51,Volumenes!$B$12:$I$12)+SUMPRODUCT('Coef Fabricacion'!$T$51:$AA$51,Volumenes!$B$25:$I$25)</f>
        <v>213.9488797</v>
      </c>
      <c r="K33" s="19">
        <f>SUMPRODUCT('Coef Fabricacion'!$D$51:$K$51,Volumenes!$B$39:$I$39)+SUMPRODUCT('Coef Fabricacion'!$L$51:$S$51,Volumenes!$B$13:$I$13)+SUMPRODUCT('Coef Fabricacion'!$T$51:$AA$51,Volumenes!$B$26:$I$26)</f>
        <v>272.5725469</v>
      </c>
      <c r="L33" s="19">
        <f>SUMPRODUCT('Coef Fabricacion'!$D$51:$K$51,Volumenes!$B$40:$I$40)+SUMPRODUCT('Coef Fabricacion'!$L$51:$S$51,Volumenes!$B$14:$I$14)+SUMPRODUCT('Coef Fabricacion'!$T$51:$AA$51,Volumenes!$B$27:$I$27)</f>
        <v>308.6290458</v>
      </c>
      <c r="M33" s="19">
        <f>SUMPRODUCT('Coef Fabricacion'!$D$51:$K$51,Volumenes!$B$41:$I$41)+SUMPRODUCT('Coef Fabricacion'!$L$51:$S$51,Volumenes!$B$15:$I$15)+SUMPRODUCT('Coef Fabricacion'!$T$51:$AA$51,Volumenes!$B$28:$I$28)</f>
        <v>356.4430542</v>
      </c>
      <c r="N33" s="48">
        <f t="shared" si="1"/>
        <v>11.46570165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7" t="s">
        <v>506</v>
      </c>
      <c r="B34" s="44" t="s">
        <v>507</v>
      </c>
      <c r="C34" s="15" t="s">
        <v>322</v>
      </c>
      <c r="D34" s="19">
        <f>SUMPRODUCT('Coef Fabricacion'!$D$52:$K$52,Volumenes!$B$32:$I$32)+SUMPRODUCT('Coef Fabricacion'!$L$52:$S$52,Volumenes!$B$6:$I$6)+SUMPRODUCT('Coef Fabricacion'!$T$52:$AA$52,Volumenes!$B$19:$I$19)</f>
        <v>9.682519317</v>
      </c>
      <c r="E34" s="19">
        <f>SUMPRODUCT('Coef Fabricacion'!$D$52:$K$52,Volumenes!$B$33:$I$33)+SUMPRODUCT('Coef Fabricacion'!$L$52:$S$52,Volumenes!$B$7:$I$7)+SUMPRODUCT('Coef Fabricacion'!$T$52:$AA$52,Volumenes!$B$20:$I$20)</f>
        <v>15.99143979</v>
      </c>
      <c r="F34" s="19">
        <f>SUMPRODUCT('Coef Fabricacion'!$D$52:$K$52,Volumenes!$B$34:$I$34)+SUMPRODUCT('Coef Fabricacion'!$L$52:$S$52,Volumenes!$B$8:$I$8)+SUMPRODUCT('Coef Fabricacion'!$T$52:$AA$52,Volumenes!$B$21:$I$21)</f>
        <v>31.08776636</v>
      </c>
      <c r="G34" s="19">
        <f>SUMPRODUCT('Coef Fabricacion'!$D$52:$K$52,Volumenes!$B$35:$I$35)+SUMPRODUCT('Coef Fabricacion'!$L$52:$S$52,Volumenes!$B$9:$I$9)+SUMPRODUCT('Coef Fabricacion'!$T$52:$AA$52,Volumenes!$B$22:$I$22)</f>
        <v>64.26549719</v>
      </c>
      <c r="H34" s="19">
        <f>SUMPRODUCT('Coef Fabricacion'!$D$52:$K$52,Volumenes!$B$36:$I$36)+SUMPRODUCT('Coef Fabricacion'!$L$52:$S$52,Volumenes!$B$10:$I$10)+SUMPRODUCT('Coef Fabricacion'!$T$52:$AA$52,Volumenes!$B$23:$I$23)</f>
        <v>111.2054358</v>
      </c>
      <c r="I34" s="19">
        <f>SUMPRODUCT('Coef Fabricacion'!$D$52:$K$52,Volumenes!$B$37:$I$37)+SUMPRODUCT('Coef Fabricacion'!$L$52:$S$52,Volumenes!$B$11:$I$11)+SUMPRODUCT('Coef Fabricacion'!$T$52:$AA$52,Volumenes!$B$24:$I$24)</f>
        <v>156.2108567</v>
      </c>
      <c r="J34" s="19">
        <f>SUMPRODUCT('Coef Fabricacion'!$D$52:$K$52,Volumenes!$B$38:$I$38)+SUMPRODUCT('Coef Fabricacion'!$L$52:$S$52,Volumenes!$B$12:$I$12)+SUMPRODUCT('Coef Fabricacion'!$T$52:$AA$52,Volumenes!$B$25:$I$25)</f>
        <v>213.9488797</v>
      </c>
      <c r="K34" s="19">
        <f>SUMPRODUCT('Coef Fabricacion'!$D$52:$K$52,Volumenes!$B$39:$I$39)+SUMPRODUCT('Coef Fabricacion'!$L$52:$S$52,Volumenes!$B$13:$I$13)+SUMPRODUCT('Coef Fabricacion'!$T$52:$AA$52,Volumenes!$B$26:$I$26)</f>
        <v>272.5725469</v>
      </c>
      <c r="L34" s="19">
        <f>SUMPRODUCT('Coef Fabricacion'!$D$52:$K$52,Volumenes!$B$40:$I$40)+SUMPRODUCT('Coef Fabricacion'!$L$52:$S$52,Volumenes!$B$14:$I$14)+SUMPRODUCT('Coef Fabricacion'!$T$52:$AA$52,Volumenes!$B$27:$I$27)</f>
        <v>308.6290458</v>
      </c>
      <c r="M34" s="19">
        <f>SUMPRODUCT('Coef Fabricacion'!$D$52:$K$52,Volumenes!$B$41:$I$41)+SUMPRODUCT('Coef Fabricacion'!$L$52:$S$52,Volumenes!$B$15:$I$15)+SUMPRODUCT('Coef Fabricacion'!$T$52:$AA$52,Volumenes!$B$28:$I$28)</f>
        <v>356.4430542</v>
      </c>
      <c r="N34" s="48">
        <f t="shared" si="1"/>
        <v>11.46570165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7" t="s">
        <v>509</v>
      </c>
      <c r="B35" s="44" t="s">
        <v>510</v>
      </c>
      <c r="C35" s="15" t="s">
        <v>155</v>
      </c>
      <c r="D35" s="19">
        <f>SUMPRODUCT('Coef Fabricacion'!$D$53:$K$53,Volumenes!$B$32:$I$32)+SUMPRODUCT('Coef Fabricacion'!$L$53:$S$53,Volumenes!$B$6:$I$6)+SUMPRODUCT('Coef Fabricacion'!$T$53:$AA$53,Volumenes!$B$19:$I$19)</f>
        <v>135.5552704</v>
      </c>
      <c r="E35" s="19">
        <f>SUMPRODUCT('Coef Fabricacion'!$D$53:$K$53,Volumenes!$B$33:$I$33)+SUMPRODUCT('Coef Fabricacion'!$L$53:$S$53,Volumenes!$B$7:$I$7)+SUMPRODUCT('Coef Fabricacion'!$T$53:$AA$53,Volumenes!$B$20:$I$20)</f>
        <v>223.880157</v>
      </c>
      <c r="F35" s="19">
        <f>SUMPRODUCT('Coef Fabricacion'!$D$53:$K$53,Volumenes!$B$34:$I$34)+SUMPRODUCT('Coef Fabricacion'!$L$53:$S$53,Volumenes!$B$8:$I$8)+SUMPRODUCT('Coef Fabricacion'!$T$53:$AA$53,Volumenes!$B$21:$I$21)</f>
        <v>435.2287291</v>
      </c>
      <c r="G35" s="19">
        <f>SUMPRODUCT('Coef Fabricacion'!$D$53:$K$53,Volumenes!$B$35:$I$35)+SUMPRODUCT('Coef Fabricacion'!$L$53:$S$53,Volumenes!$B$9:$I$9)+SUMPRODUCT('Coef Fabricacion'!$T$53:$AA$53,Volumenes!$B$22:$I$22)</f>
        <v>899.7169607</v>
      </c>
      <c r="H35" s="19">
        <f>SUMPRODUCT('Coef Fabricacion'!$D$53:$K$53,Volumenes!$B$36:$I$36)+SUMPRODUCT('Coef Fabricacion'!$L$53:$S$53,Volumenes!$B$10:$I$10)+SUMPRODUCT('Coef Fabricacion'!$T$53:$AA$53,Volumenes!$B$23:$I$23)</f>
        <v>1556.876101</v>
      </c>
      <c r="I35" s="19">
        <f>SUMPRODUCT('Coef Fabricacion'!$D$53:$K$53,Volumenes!$B$37:$I$37)+SUMPRODUCT('Coef Fabricacion'!$L$53:$S$53,Volumenes!$B$11:$I$11)+SUMPRODUCT('Coef Fabricacion'!$T$53:$AA$53,Volumenes!$B$24:$I$24)</f>
        <v>2186.951993</v>
      </c>
      <c r="J35" s="19">
        <f>SUMPRODUCT('Coef Fabricacion'!$D$53:$K$53,Volumenes!$B$38:$I$38)+SUMPRODUCT('Coef Fabricacion'!$L$53:$S$53,Volumenes!$B$12:$I$12)+SUMPRODUCT('Coef Fabricacion'!$T$53:$AA$53,Volumenes!$B$25:$I$25)</f>
        <v>2995.284316</v>
      </c>
      <c r="K35" s="19">
        <f>SUMPRODUCT('Coef Fabricacion'!$D$53:$K$53,Volumenes!$B$39:$I$39)+SUMPRODUCT('Coef Fabricacion'!$L$53:$S$53,Volumenes!$B$13:$I$13)+SUMPRODUCT('Coef Fabricacion'!$T$53:$AA$53,Volumenes!$B$26:$I$26)</f>
        <v>3816.015657</v>
      </c>
      <c r="L35" s="19">
        <f>SUMPRODUCT('Coef Fabricacion'!$D$53:$K$53,Volumenes!$B$40:$I$40)+SUMPRODUCT('Coef Fabricacion'!$L$53:$S$53,Volumenes!$B$14:$I$14)+SUMPRODUCT('Coef Fabricacion'!$T$53:$AA$53,Volumenes!$B$27:$I$27)</f>
        <v>4320.806642</v>
      </c>
      <c r="M35" s="19">
        <f>SUMPRODUCT('Coef Fabricacion'!$D$53:$K$53,Volumenes!$B$41:$I$41)+SUMPRODUCT('Coef Fabricacion'!$L$53:$S$53,Volumenes!$B$15:$I$15)+SUMPRODUCT('Coef Fabricacion'!$T$53:$AA$53,Volumenes!$B$28:$I$28)</f>
        <v>4990.202758</v>
      </c>
      <c r="N35" s="48">
        <f t="shared" si="1"/>
        <v>11.46570165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7" t="s">
        <v>512</v>
      </c>
      <c r="B36" s="44" t="s">
        <v>513</v>
      </c>
      <c r="C36" s="15" t="s">
        <v>224</v>
      </c>
      <c r="D36" s="19">
        <f>SUMPRODUCT('Coef Fabricacion'!$D$54:$K$54,Volumenes!$B$32:$I$32)+SUMPRODUCT('Coef Fabricacion'!$L$54:$S$54,Volumenes!$B$6:$I$6)+SUMPRODUCT('Coef Fabricacion'!$T$54:$AA$54,Volumenes!$B$19:$I$19)</f>
        <v>136.44</v>
      </c>
      <c r="E36" s="19">
        <f>SUMPRODUCT('Coef Fabricacion'!$D$54:$K$54,Volumenes!$B$33:$I$33)+SUMPRODUCT('Coef Fabricacion'!$L$54:$S$54,Volumenes!$B$7:$I$7)+SUMPRODUCT('Coef Fabricacion'!$T$54:$AA$54,Volumenes!$B$20:$I$20)</f>
        <v>214.6</v>
      </c>
      <c r="F36" s="19">
        <f>SUMPRODUCT('Coef Fabricacion'!$D$54:$K$54,Volumenes!$B$34:$I$34)+SUMPRODUCT('Coef Fabricacion'!$L$54:$S$54,Volumenes!$B$8:$I$8)+SUMPRODUCT('Coef Fabricacion'!$T$54:$AA$54,Volumenes!$B$21:$I$21)</f>
        <v>454.34</v>
      </c>
      <c r="G36" s="19">
        <f>SUMPRODUCT('Coef Fabricacion'!$D$54:$K$54,Volumenes!$B$35:$I$35)+SUMPRODUCT('Coef Fabricacion'!$L$54:$S$54,Volumenes!$B$9:$I$9)+SUMPRODUCT('Coef Fabricacion'!$T$54:$AA$54,Volumenes!$B$22:$I$22)</f>
        <v>1007.1</v>
      </c>
      <c r="H36" s="19">
        <f>SUMPRODUCT('Coef Fabricacion'!$D$54:$K$54,Volumenes!$B$36:$I$36)+SUMPRODUCT('Coef Fabricacion'!$L$54:$S$54,Volumenes!$B$10:$I$10)+SUMPRODUCT('Coef Fabricacion'!$T$54:$AA$54,Volumenes!$B$23:$I$23)</f>
        <v>1758.14</v>
      </c>
      <c r="I36" s="19">
        <f>SUMPRODUCT('Coef Fabricacion'!$D$54:$K$54,Volumenes!$B$37:$I$37)+SUMPRODUCT('Coef Fabricacion'!$L$54:$S$54,Volumenes!$B$11:$I$11)+SUMPRODUCT('Coef Fabricacion'!$T$54:$AA$54,Volumenes!$B$24:$I$24)</f>
        <v>2470.26</v>
      </c>
      <c r="J36" s="19">
        <f>SUMPRODUCT('Coef Fabricacion'!$D$54:$K$54,Volumenes!$B$38:$I$38)+SUMPRODUCT('Coef Fabricacion'!$L$54:$S$54,Volumenes!$B$12:$I$12)+SUMPRODUCT('Coef Fabricacion'!$T$54:$AA$54,Volumenes!$B$25:$I$25)</f>
        <v>3409.98</v>
      </c>
      <c r="K36" s="19">
        <f>SUMPRODUCT('Coef Fabricacion'!$D$54:$K$54,Volumenes!$B$39:$I$39)+SUMPRODUCT('Coef Fabricacion'!$L$54:$S$54,Volumenes!$B$13:$I$13)+SUMPRODUCT('Coef Fabricacion'!$T$54:$AA$54,Volumenes!$B$26:$I$26)</f>
        <v>4359.04</v>
      </c>
      <c r="L36" s="19">
        <f>SUMPRODUCT('Coef Fabricacion'!$D$54:$K$54,Volumenes!$B$40:$I$40)+SUMPRODUCT('Coef Fabricacion'!$L$54:$S$54,Volumenes!$B$14:$I$14)+SUMPRODUCT('Coef Fabricacion'!$T$54:$AA$54,Volumenes!$B$27:$I$27)</f>
        <v>4919.52</v>
      </c>
      <c r="M36" s="19">
        <f>SUMPRODUCT('Coef Fabricacion'!$D$54:$K$54,Volumenes!$B$41:$I$41)+SUMPRODUCT('Coef Fabricacion'!$L$54:$S$54,Volumenes!$B$15:$I$15)+SUMPRODUCT('Coef Fabricacion'!$T$54:$AA$54,Volumenes!$B$28:$I$28)</f>
        <v>5684.66</v>
      </c>
      <c r="N36" s="48">
        <f t="shared" si="1"/>
        <v>12.51190738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7" t="s">
        <v>496</v>
      </c>
      <c r="B37" s="44" t="s">
        <v>497</v>
      </c>
      <c r="C37" s="15" t="s">
        <v>155</v>
      </c>
      <c r="D37" s="19">
        <f>SUMPRODUCT('Coef Fabricacion'!$D$55:$K$55,Volumenes!$B$32:$I$32)+SUMPRODUCT('Coef Fabricacion'!$L$55:$S$55,Volumenes!$B$6:$I$6)+SUMPRODUCT('Coef Fabricacion'!$T$55:$AA$55,Volumenes!$B$19:$I$19)+SUMPRODUCT('Coef Recargas'!$D$29:$T$29,Volumenes!$B$45:$R$45)</f>
        <v>25781.49</v>
      </c>
      <c r="E37" s="19">
        <f>SUMPRODUCT('Coef Fabricacion'!$D$55:$K$55,Volumenes!$B$33:$I$33)+SUMPRODUCT('Coef Fabricacion'!$L$55:$S$55,Volumenes!$B$7:$I$7)+SUMPRODUCT('Coef Fabricacion'!$T$55:$AA$55,Volumenes!$B$20:$I$20)+SUMPRODUCT('Coef Recargas'!$D$29:$T$29,Volumenes!$B$46:$R$46)</f>
        <v>47812.42</v>
      </c>
      <c r="F37" s="19">
        <f>SUMPRODUCT('Coef Fabricacion'!$D$55:$K$55,Volumenes!$B$34:$I$34)+SUMPRODUCT('Coef Fabricacion'!$L$55:$S$55,Volumenes!$B$8:$I$8)+SUMPRODUCT('Coef Fabricacion'!$T$55:$AA$55,Volumenes!$B$21:$I$21)+SUMPRODUCT('Coef Recargas'!$D$29:$T$29,Volumenes!$B$47:$R$47)</f>
        <v>67924.27</v>
      </c>
      <c r="G37" s="19">
        <f>SUMPRODUCT('Coef Fabricacion'!$D$55:$K$55,Volumenes!$B$35:$I$35)+SUMPRODUCT('Coef Fabricacion'!$L$55:$S$55,Volumenes!$B$9:$I$9)+SUMPRODUCT('Coef Fabricacion'!$T$55:$AA$55,Volumenes!$B$22:$I$22)+SUMPRODUCT('Coef Recargas'!$D$29:$T$29,Volumenes!$B$48:$R$48)</f>
        <v>98613.245</v>
      </c>
      <c r="H37" s="19">
        <f>SUMPRODUCT('Coef Fabricacion'!$D$55:$K$55,Volumenes!$B$36:$I$36)+SUMPRODUCT('Coef Fabricacion'!$L$55:$S$55,Volumenes!$B$10:$I$10)+SUMPRODUCT('Coef Fabricacion'!$T$55:$AA$55,Volumenes!$B$23:$I$23)+SUMPRODUCT('Coef Recargas'!$D$29:$T$29,Volumenes!$B$49:$R$49)</f>
        <v>151284.91</v>
      </c>
      <c r="I37" s="19">
        <f>SUMPRODUCT('Coef Fabricacion'!$D$55:$K$55,Volumenes!$B$37:$I$37)+SUMPRODUCT('Coef Fabricacion'!$L$55:$S$55,Volumenes!$B$11:$I$11)+SUMPRODUCT('Coef Fabricacion'!$T$55:$AA$55,Volumenes!$B$24:$I$24)+SUMPRODUCT('Coef Recargas'!$D$29:$T$29,Volumenes!$B$50:$R$50)</f>
        <v>203459.075</v>
      </c>
      <c r="J37" s="19">
        <f>SUMPRODUCT('Coef Fabricacion'!$D$55:$K$55,Volumenes!$B$38:$I$38)+SUMPRODUCT('Coef Fabricacion'!$L$55:$S$55,Volumenes!$B$12:$I$12)+SUMPRODUCT('Coef Fabricacion'!$T$55:$AA$55,Volumenes!$B$25:$I$25)+SUMPRODUCT('Coef Recargas'!$D$29:$T$29,Volumenes!$B$51:$R$51)</f>
        <v>259470.955</v>
      </c>
      <c r="K37" s="19">
        <f>SUMPRODUCT('Coef Fabricacion'!$D$55:$K$55,Volumenes!$B$39:$I$39)+SUMPRODUCT('Coef Fabricacion'!$L$55:$S$55,Volumenes!$B$13:$I$13)+SUMPRODUCT('Coef Fabricacion'!$T$55:$AA$55,Volumenes!$B$26:$I$26)+SUMPRODUCT('Coef Recargas'!$D$29:$T$29,Volumenes!$B$52:$R$52)</f>
        <v>313626.195</v>
      </c>
      <c r="L37" s="19">
        <f>SUMPRODUCT('Coef Fabricacion'!$D$55:$K$55,Volumenes!$B$40:$I$40)+SUMPRODUCT('Coef Fabricacion'!$L$55:$S$55,Volumenes!$B$14:$I$14)+SUMPRODUCT('Coef Fabricacion'!$T$55:$AA$55,Volumenes!$B$27:$I$27)+SUMPRODUCT('Coef Recargas'!$D$29:$T$29,Volumenes!$B$53:$R$53)</f>
        <v>357370.005</v>
      </c>
      <c r="M37" s="19">
        <f>SUMPRODUCT('Coef Fabricacion'!$D$55:$K$55,Volumenes!$B$41:$I$41)+SUMPRODUCT('Coef Fabricacion'!$L$55:$S$55,Volumenes!$B$15:$I$15)+SUMPRODUCT('Coef Fabricacion'!$T$55:$AA$55,Volumenes!$B$28:$I$28)+SUMPRODUCT('Coef Recargas'!$D$29:$T$29,Volumenes!$B$54:$R$54)</f>
        <v>403509.98</v>
      </c>
      <c r="N37" s="48">
        <f t="shared" si="1"/>
        <v>5.940586185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7" t="s">
        <v>503</v>
      </c>
      <c r="B38" s="44" t="s">
        <v>504</v>
      </c>
      <c r="C38" s="15" t="s">
        <v>310</v>
      </c>
      <c r="D38" s="27">
        <f>SUMPRODUCT('Coef Fabricacion'!$D$56:$K$56,Volumenes!$B$32:$I$32)+SUMPRODUCT('Coef Fabricacion'!$L$56:$S$56,Volumenes!$B$6:$I$6)+SUMPRODUCT('Coef Fabricacion'!$T$56:$AA$56,Volumenes!$B$19:$I$19)+SUMPRODUCT('Coef Recargas'!$D$30:$T$30,Volumenes!$B$45:$R$45)</f>
        <v>211.3558947</v>
      </c>
      <c r="E38" s="27">
        <f>SUMPRODUCT('Coef Fabricacion'!$D$56:$K$56,Volumenes!$B$33:$I$33)+SUMPRODUCT('Coef Fabricacion'!$L$56:$S$56,Volumenes!$B$7:$I$7)+SUMPRODUCT('Coef Fabricacion'!$T$56:$AA$56,Volumenes!$B$20:$I$20)+SUMPRODUCT('Coef Recargas'!$D$30:$T$30,Volumenes!$B$46:$R$46)</f>
        <v>485.2942105</v>
      </c>
      <c r="F38" s="27">
        <f>SUMPRODUCT('Coef Fabricacion'!$D$56:$K$56,Volumenes!$B$34:$I$34)+SUMPRODUCT('Coef Fabricacion'!$L$56:$S$56,Volumenes!$B$8:$I$8)+SUMPRODUCT('Coef Fabricacion'!$T$56:$AA$56,Volumenes!$B$21:$I$21)+SUMPRODUCT('Coef Recargas'!$D$30:$T$30,Volumenes!$B$47:$R$47)</f>
        <v>807.0807368</v>
      </c>
      <c r="G38" s="27">
        <f>SUMPRODUCT('Coef Fabricacion'!$D$56:$K$56,Volumenes!$B$35:$I$35)+SUMPRODUCT('Coef Fabricacion'!$L$56:$S$56,Volumenes!$B$9:$I$9)+SUMPRODUCT('Coef Fabricacion'!$T$56:$AA$56,Volumenes!$B$22:$I$22)+SUMPRODUCT('Coef Recargas'!$D$30:$T$30,Volumenes!$B$48:$R$48)</f>
        <v>1310.298789</v>
      </c>
      <c r="H38" s="27">
        <f>SUMPRODUCT('Coef Fabricacion'!$D$56:$K$56,Volumenes!$B$36:$I$36)+SUMPRODUCT('Coef Fabricacion'!$L$56:$S$56,Volumenes!$B$10:$I$10)+SUMPRODUCT('Coef Fabricacion'!$T$56:$AA$56,Volumenes!$B$23:$I$23)+SUMPRODUCT('Coef Recargas'!$D$30:$T$30,Volumenes!$B$49:$R$49)</f>
        <v>1956.600105</v>
      </c>
      <c r="I38" s="27">
        <f>SUMPRODUCT('Coef Fabricacion'!$D$56:$K$56,Volumenes!$B$37:$I$37)+SUMPRODUCT('Coef Fabricacion'!$L$56:$S$56,Volumenes!$B$11:$I$11)+SUMPRODUCT('Coef Fabricacion'!$T$56:$AA$56,Volumenes!$B$24:$I$24)+SUMPRODUCT('Coef Recargas'!$D$30:$T$30,Volumenes!$B$50:$R$50)</f>
        <v>2624.990684</v>
      </c>
      <c r="J38" s="27">
        <f>SUMPRODUCT('Coef Fabricacion'!$D$56:$K$56,Volumenes!$B$38:$I$38)+SUMPRODUCT('Coef Fabricacion'!$L$56:$S$56,Volumenes!$B$12:$I$12)+SUMPRODUCT('Coef Fabricacion'!$T$56:$AA$56,Volumenes!$B$25:$I$25)+SUMPRODUCT('Coef Recargas'!$D$30:$T$30,Volumenes!$B$51:$R$51)</f>
        <v>3293.112474</v>
      </c>
      <c r="K38" s="27">
        <f>SUMPRODUCT('Coef Fabricacion'!$D$56:$K$56,Volumenes!$B$39:$I$39)+SUMPRODUCT('Coef Fabricacion'!$L$56:$S$56,Volumenes!$B$13:$I$13)+SUMPRODUCT('Coef Fabricacion'!$T$56:$AA$56,Volumenes!$B$26:$I$26)+SUMPRODUCT('Coef Recargas'!$D$30:$T$30,Volumenes!$B$52:$R$52)</f>
        <v>3846.299632</v>
      </c>
      <c r="L38" s="27">
        <f>SUMPRODUCT('Coef Fabricacion'!$D$56:$K$56,Volumenes!$B$40:$I$40)+SUMPRODUCT('Coef Fabricacion'!$L$56:$S$56,Volumenes!$B$14:$I$14)+SUMPRODUCT('Coef Fabricacion'!$T$56:$AA$56,Volumenes!$B$27:$I$27)+SUMPRODUCT('Coef Recargas'!$D$30:$T$30,Volumenes!$B$53:$R$53)</f>
        <v>4279.102579</v>
      </c>
      <c r="M38" s="27">
        <f>SUMPRODUCT('Coef Fabricacion'!$D$56:$K$56,Volumenes!$B$41:$I$41)+SUMPRODUCT('Coef Fabricacion'!$L$56:$S$56,Volumenes!$B$15:$I$15)+SUMPRODUCT('Coef Fabricacion'!$T$56:$AA$56,Volumenes!$B$28:$I$28)+SUMPRODUCT('Coef Recargas'!$D$30:$T$30,Volumenes!$B$54:$R$54)</f>
        <v>4730.379368</v>
      </c>
      <c r="N38" s="48">
        <f t="shared" si="1"/>
        <v>5.861098094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7" t="s">
        <v>516</v>
      </c>
      <c r="B39" s="44" t="s">
        <v>517</v>
      </c>
      <c r="C39" s="15" t="s">
        <v>155</v>
      </c>
      <c r="D39" s="19">
        <f>SUMPRODUCT('Coef Recargas'!$D$31:$T$31,Volumenes!$B$45:$R$45)</f>
        <v>2.5</v>
      </c>
      <c r="E39" s="19">
        <f>SUMPRODUCT('Coef Recargas'!$D$31:$T$31,Volumenes!$B$46:$R$46)</f>
        <v>20</v>
      </c>
      <c r="F39" s="19">
        <f>SUMPRODUCT('Coef Recargas'!$D$31:$T$31,Volumenes!$B$47:$R$47)</f>
        <v>37.5</v>
      </c>
      <c r="G39" s="19">
        <f>SUMPRODUCT('Coef Recargas'!$D$31:$T$31,Volumenes!$B$48:$R$48)</f>
        <v>68.75</v>
      </c>
      <c r="H39" s="19">
        <f>SUMPRODUCT('Coef Recargas'!$D$31:$T$31,Volumenes!$B$49:$R$49)</f>
        <v>93.75</v>
      </c>
      <c r="I39" s="19">
        <f>SUMPRODUCT('Coef Recargas'!$D$31:$T$31,Volumenes!$B$50:$R$50)</f>
        <v>125</v>
      </c>
      <c r="J39" s="19">
        <f>SUMPRODUCT('Coef Recargas'!$D$31:$T$31,Volumenes!$B$51:$R$51)</f>
        <v>157.5</v>
      </c>
      <c r="K39" s="19">
        <f>SUMPRODUCT('Coef Recargas'!$D$31:$T$31,Volumenes!$B$52:$R$52)</f>
        <v>175</v>
      </c>
      <c r="L39" s="19">
        <f>SUMPRODUCT('Coef Recargas'!$D$31:$T$31,Volumenes!$B$53:$R$53)</f>
        <v>191.25</v>
      </c>
      <c r="M39" s="19">
        <f>SUMPRODUCT('Coef Recargas'!$D$31:$T$31,Volumenes!$B$54:$R$54)</f>
        <v>206.25</v>
      </c>
      <c r="N39" s="48">
        <f t="shared" si="1"/>
        <v>5.5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7" t="s">
        <v>519</v>
      </c>
      <c r="B40" s="44" t="s">
        <v>520</v>
      </c>
      <c r="C40" s="15" t="s">
        <v>155</v>
      </c>
      <c r="D40" s="19">
        <f>SUMPRODUCT('Coef Recargas'!$D$32:$T$32,Volumenes!$B$45:$R$45)</f>
        <v>6</v>
      </c>
      <c r="E40" s="19">
        <f>SUMPRODUCT('Coef Recargas'!$D$32:$T$32,Volumenes!$B$46:$R$46)</f>
        <v>48</v>
      </c>
      <c r="F40" s="19">
        <f>SUMPRODUCT('Coef Recargas'!$D$32:$T$32,Volumenes!$B$47:$R$47)</f>
        <v>90</v>
      </c>
      <c r="G40" s="19">
        <f>SUMPRODUCT('Coef Recargas'!$D$32:$T$32,Volumenes!$B$48:$R$48)</f>
        <v>153</v>
      </c>
      <c r="H40" s="19">
        <f>SUMPRODUCT('Coef Recargas'!$D$32:$T$32,Volumenes!$B$49:$R$49)</f>
        <v>210</v>
      </c>
      <c r="I40" s="19">
        <f>SUMPRODUCT('Coef Recargas'!$D$32:$T$32,Volumenes!$B$50:$R$50)</f>
        <v>261</v>
      </c>
      <c r="J40" s="19">
        <f>SUMPRODUCT('Coef Recargas'!$D$32:$T$32,Volumenes!$B$51:$R$51)</f>
        <v>336</v>
      </c>
      <c r="K40" s="19">
        <f>SUMPRODUCT('Coef Recargas'!$D$32:$T$32,Volumenes!$B$52:$R$52)</f>
        <v>378</v>
      </c>
      <c r="L40" s="19">
        <f>SUMPRODUCT('Coef Recargas'!$D$32:$T$32,Volumenes!$B$53:$R$53)</f>
        <v>414</v>
      </c>
      <c r="M40" s="19">
        <f>SUMPRODUCT('Coef Recargas'!$D$32:$T$32,Volumenes!$B$54:$R$54)</f>
        <v>450</v>
      </c>
      <c r="N40" s="48">
        <f t="shared" si="1"/>
        <v>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7" t="s">
        <v>521</v>
      </c>
      <c r="B41" s="44" t="s">
        <v>522</v>
      </c>
      <c r="C41" s="15" t="s">
        <v>155</v>
      </c>
      <c r="D41" s="19">
        <f>SUMPRODUCT('Coef Recargas'!$D$33:$T$33,Volumenes!$B$45:$R$45)</f>
        <v>201.355</v>
      </c>
      <c r="E41" s="19">
        <f>SUMPRODUCT('Coef Recargas'!$D$33:$T$33,Volumenes!$B$46:$R$46)</f>
        <v>872.795</v>
      </c>
      <c r="F41" s="19">
        <f>SUMPRODUCT('Coef Recargas'!$D$33:$T$33,Volumenes!$B$47:$R$47)</f>
        <v>1949.255</v>
      </c>
      <c r="G41" s="19">
        <f>SUMPRODUCT('Coef Recargas'!$D$33:$T$33,Volumenes!$B$48:$R$48)</f>
        <v>3614.38</v>
      </c>
      <c r="H41" s="19">
        <f>SUMPRODUCT('Coef Recargas'!$D$33:$T$33,Volumenes!$B$49:$R$49)</f>
        <v>5215.98</v>
      </c>
      <c r="I41" s="19">
        <f>SUMPRODUCT('Coef Recargas'!$D$33:$T$33,Volumenes!$B$50:$R$50)</f>
        <v>6939.625</v>
      </c>
      <c r="J41" s="19">
        <f>SUMPRODUCT('Coef Recargas'!$D$33:$T$33,Volumenes!$B$51:$R$51)</f>
        <v>8536.22</v>
      </c>
      <c r="K41" s="19">
        <f>SUMPRODUCT('Coef Recargas'!$D$33:$T$33,Volumenes!$B$52:$R$52)</f>
        <v>9528.365</v>
      </c>
      <c r="L41" s="19">
        <f>SUMPRODUCT('Coef Recargas'!$D$33:$T$33,Volumenes!$B$53:$R$53)</f>
        <v>10314.92</v>
      </c>
      <c r="M41" s="19">
        <f>SUMPRODUCT('Coef Recargas'!$D$33:$T$33,Volumenes!$B$54:$R$54)</f>
        <v>11114.18</v>
      </c>
      <c r="N41" s="48">
        <f t="shared" si="1"/>
        <v>5.701757851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7" t="s">
        <v>529</v>
      </c>
      <c r="B42" s="44" t="s">
        <v>530</v>
      </c>
      <c r="C42" s="15" t="s">
        <v>155</v>
      </c>
      <c r="D42" s="19">
        <f>SUMPRODUCT('Coef Recargas'!$D$34:$T$34,Volumenes!$B$45:$R$45)</f>
        <v>11.025</v>
      </c>
      <c r="E42" s="19">
        <f>SUMPRODUCT('Coef Recargas'!$D$34:$T$34,Volumenes!$B$46:$R$46)</f>
        <v>69.825</v>
      </c>
      <c r="F42" s="19">
        <f>SUMPRODUCT('Coef Recargas'!$D$34:$T$34,Volumenes!$B$47:$R$47)</f>
        <v>145.1625</v>
      </c>
      <c r="G42" s="19">
        <f>SUMPRODUCT('Coef Recargas'!$D$34:$T$34,Volumenes!$B$48:$R$48)</f>
        <v>251.7375</v>
      </c>
      <c r="H42" s="19">
        <f>SUMPRODUCT('Coef Recargas'!$D$34:$T$34,Volumenes!$B$49:$R$49)</f>
        <v>361.9875</v>
      </c>
      <c r="I42" s="19">
        <f>SUMPRODUCT('Coef Recargas'!$D$34:$T$34,Volumenes!$B$50:$R$50)</f>
        <v>475.9125</v>
      </c>
      <c r="J42" s="19">
        <f>SUMPRODUCT('Coef Recargas'!$D$34:$T$34,Volumenes!$B$51:$R$51)</f>
        <v>595.35</v>
      </c>
      <c r="K42" s="19">
        <f>SUMPRODUCT('Coef Recargas'!$D$34:$T$34,Volumenes!$B$52:$R$52)</f>
        <v>674.3625</v>
      </c>
      <c r="L42" s="19">
        <f>SUMPRODUCT('Coef Recargas'!$D$34:$T$34,Volumenes!$B$53:$R$53)</f>
        <v>736.8375</v>
      </c>
      <c r="M42" s="19">
        <f>SUMPRODUCT('Coef Recargas'!$D$34:$T$34,Volumenes!$B$54:$R$54)</f>
        <v>801.15</v>
      </c>
      <c r="N42" s="48">
        <f t="shared" si="1"/>
        <v>5.518987342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7" t="s">
        <v>535</v>
      </c>
      <c r="B43" s="44" t="s">
        <v>536</v>
      </c>
      <c r="C43" s="15" t="s">
        <v>310</v>
      </c>
      <c r="D43" s="27">
        <f>SUMPRODUCT('Coef Recargas'!$D$35:$T$35,Volumenes!$B$45:$R$45)</f>
        <v>0.042</v>
      </c>
      <c r="E43" s="27">
        <f>SUMPRODUCT('Coef Recargas'!$D$35:$T$35,Volumenes!$B$46:$R$46)</f>
        <v>0.266</v>
      </c>
      <c r="F43" s="27">
        <f>SUMPRODUCT('Coef Recargas'!$D$35:$T$35,Volumenes!$B$47:$R$47)</f>
        <v>0.553</v>
      </c>
      <c r="G43" s="27">
        <f>SUMPRODUCT('Coef Recargas'!$D$35:$T$35,Volumenes!$B$48:$R$48)</f>
        <v>0.959</v>
      </c>
      <c r="H43" s="27">
        <f>SUMPRODUCT('Coef Recargas'!$D$35:$T$35,Volumenes!$B$49:$R$49)</f>
        <v>1.379</v>
      </c>
      <c r="I43" s="27">
        <f>SUMPRODUCT('Coef Recargas'!$D$35:$T$35,Volumenes!$B$50:$R$50)</f>
        <v>1.813</v>
      </c>
      <c r="J43" s="27">
        <f>SUMPRODUCT('Coef Recargas'!$D$35:$T$35,Volumenes!$B$51:$R$51)</f>
        <v>2.268</v>
      </c>
      <c r="K43" s="27">
        <f>SUMPRODUCT('Coef Recargas'!$D$35:$T$35,Volumenes!$B$52:$R$52)</f>
        <v>2.569</v>
      </c>
      <c r="L43" s="27">
        <f>SUMPRODUCT('Coef Recargas'!$D$35:$T$35,Volumenes!$B$53:$R$53)</f>
        <v>2.807</v>
      </c>
      <c r="M43" s="27">
        <f>SUMPRODUCT('Coef Recargas'!$D$35:$T$35,Volumenes!$B$54:$R$54)</f>
        <v>3.052</v>
      </c>
      <c r="N43" s="48">
        <f t="shared" si="1"/>
        <v>5.518987342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7" t="s">
        <v>541</v>
      </c>
      <c r="B44" s="44" t="s">
        <v>542</v>
      </c>
      <c r="C44" s="15" t="s">
        <v>322</v>
      </c>
      <c r="D44" s="19">
        <f>SUMPRODUCT('Coef Recargas'!$D$36:$T$36,Volumenes!$B$45:$R$45)</f>
        <v>16.8</v>
      </c>
      <c r="E44" s="19">
        <f>SUMPRODUCT('Coef Recargas'!$D$36:$T$36,Volumenes!$B$46:$R$46)</f>
        <v>120</v>
      </c>
      <c r="F44" s="19">
        <f>SUMPRODUCT('Coef Recargas'!$D$36:$T$36,Volumenes!$B$47:$R$47)</f>
        <v>233.4</v>
      </c>
      <c r="G44" s="19">
        <f>SUMPRODUCT('Coef Recargas'!$D$36:$T$36,Volumenes!$B$48:$R$48)</f>
        <v>396.6</v>
      </c>
      <c r="H44" s="19">
        <f>SUMPRODUCT('Coef Recargas'!$D$36:$T$36,Volumenes!$B$49:$R$49)</f>
        <v>564</v>
      </c>
      <c r="I44" s="19">
        <f>SUMPRODUCT('Coef Recargas'!$D$36:$T$36,Volumenes!$B$50:$R$50)</f>
        <v>726</v>
      </c>
      <c r="J44" s="19">
        <f>SUMPRODUCT('Coef Recargas'!$D$36:$T$36,Volumenes!$B$51:$R$51)</f>
        <v>890.4</v>
      </c>
      <c r="K44" s="19">
        <f>SUMPRODUCT('Coef Recargas'!$D$36:$T$36,Volumenes!$B$52:$R$52)</f>
        <v>1009.8</v>
      </c>
      <c r="L44" s="19">
        <f>SUMPRODUCT('Coef Recargas'!$D$36:$T$36,Volumenes!$B$53:$R$53)</f>
        <v>1098.6</v>
      </c>
      <c r="M44" s="19">
        <f>SUMPRODUCT('Coef Recargas'!$D$36:$T$36,Volumenes!$B$54:$R$54)</f>
        <v>1191</v>
      </c>
      <c r="N44" s="48">
        <f t="shared" si="1"/>
        <v>5.102827763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7" t="s">
        <v>551</v>
      </c>
      <c r="B45" s="44" t="s">
        <v>552</v>
      </c>
      <c r="C45" s="15" t="s">
        <v>322</v>
      </c>
      <c r="D45" s="19">
        <f>SUMPRODUCT('Coef Recargas'!$D$37:$T$37,Volumenes!$B$45:$R$45)</f>
        <v>168</v>
      </c>
      <c r="E45" s="19">
        <f>SUMPRODUCT('Coef Recargas'!$D$37:$T$37,Volumenes!$B$46:$R$46)</f>
        <v>690</v>
      </c>
      <c r="F45" s="19">
        <f>SUMPRODUCT('Coef Recargas'!$D$37:$T$37,Volumenes!$B$47:$R$47)</f>
        <v>1536</v>
      </c>
      <c r="G45" s="19">
        <f>SUMPRODUCT('Coef Recargas'!$D$37:$T$37,Volumenes!$B$48:$R$48)</f>
        <v>2790</v>
      </c>
      <c r="H45" s="19">
        <f>SUMPRODUCT('Coef Recargas'!$D$37:$T$37,Volumenes!$B$49:$R$49)</f>
        <v>4026</v>
      </c>
      <c r="I45" s="19">
        <f>SUMPRODUCT('Coef Recargas'!$D$37:$T$37,Volumenes!$B$50:$R$50)</f>
        <v>5340</v>
      </c>
      <c r="J45" s="19">
        <f>SUMPRODUCT('Coef Recargas'!$D$37:$T$37,Volumenes!$B$51:$R$51)</f>
        <v>6570</v>
      </c>
      <c r="K45" s="19">
        <f>SUMPRODUCT('Coef Recargas'!$D$37:$T$37,Volumenes!$B$52:$R$52)</f>
        <v>7350</v>
      </c>
      <c r="L45" s="19">
        <f>SUMPRODUCT('Coef Recargas'!$D$37:$T$37,Volumenes!$B$53:$R$53)</f>
        <v>7950</v>
      </c>
      <c r="M45" s="19">
        <f>SUMPRODUCT('Coef Recargas'!$D$37:$T$37,Volumenes!$B$54:$R$54)</f>
        <v>8562</v>
      </c>
      <c r="N45" s="48">
        <f t="shared" si="1"/>
        <v>5.57421875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7" t="s">
        <v>523</v>
      </c>
      <c r="B46" s="44" t="s">
        <v>524</v>
      </c>
      <c r="C46" s="15" t="s">
        <v>224</v>
      </c>
      <c r="D46" s="19">
        <f>SUMPRODUCT('Coef Fabricacion'!$D$57:$K$57,Volumenes!$B$32:$I$32)+SUMPRODUCT('Coef Fabricacion'!$L$57:$S$57,Volumenes!$B$6:$I$6)+SUMPRODUCT('Coef Fabricacion'!$T$57:$AA$57,Volumenes!$B$19:$I$19)+SUMPRODUCT('Coef Recargas'!$D$38:$T$38,Volumenes!$B$45:$R$45)</f>
        <v>4214.7</v>
      </c>
      <c r="E46" s="19">
        <f>SUMPRODUCT('Coef Fabricacion'!$D$57:$K$57,Volumenes!$B$33:$I$33)+SUMPRODUCT('Coef Fabricacion'!$L$57:$S$57,Volumenes!$B$7:$I$7)+SUMPRODUCT('Coef Fabricacion'!$T$57:$AA$57,Volumenes!$B$20:$I$20)+SUMPRODUCT('Coef Recargas'!$D$38:$T$38,Volumenes!$B$46:$R$46)</f>
        <v>6171.33</v>
      </c>
      <c r="F46" s="19">
        <f>SUMPRODUCT('Coef Fabricacion'!$D$57:$K$57,Volumenes!$B$34:$I$34)+SUMPRODUCT('Coef Fabricacion'!$L$57:$S$57,Volumenes!$B$8:$I$8)+SUMPRODUCT('Coef Fabricacion'!$T$57:$AA$57,Volumenes!$B$21:$I$21)+SUMPRODUCT('Coef Recargas'!$D$38:$T$38,Volumenes!$B$47:$R$47)</f>
        <v>7165.77</v>
      </c>
      <c r="G46" s="19">
        <f>SUMPRODUCT('Coef Fabricacion'!$D$57:$K$57,Volumenes!$B$35:$I$35)+SUMPRODUCT('Coef Fabricacion'!$L$57:$S$57,Volumenes!$B$9:$I$9)+SUMPRODUCT('Coef Fabricacion'!$T$57:$AA$57,Volumenes!$B$22:$I$22)+SUMPRODUCT('Coef Recargas'!$D$38:$T$38,Volumenes!$B$48:$R$48)</f>
        <v>9042.7</v>
      </c>
      <c r="H46" s="19">
        <f>SUMPRODUCT('Coef Fabricacion'!$D$57:$K$57,Volumenes!$B$36:$I$36)+SUMPRODUCT('Coef Fabricacion'!$L$57:$S$57,Volumenes!$B$10:$I$10)+SUMPRODUCT('Coef Fabricacion'!$T$57:$AA$57,Volumenes!$B$23:$I$23)+SUMPRODUCT('Coef Recargas'!$D$38:$T$38,Volumenes!$B$49:$R$49)</f>
        <v>13546.59</v>
      </c>
      <c r="I46" s="19">
        <f>SUMPRODUCT('Coef Fabricacion'!$D$57:$K$57,Volumenes!$B$37:$I$37)+SUMPRODUCT('Coef Fabricacion'!$L$57:$S$57,Volumenes!$B$11:$I$11)+SUMPRODUCT('Coef Fabricacion'!$T$57:$AA$57,Volumenes!$B$24:$I$24)+SUMPRODUCT('Coef Recargas'!$D$38:$T$38,Volumenes!$B$50:$R$50)</f>
        <v>16825.97</v>
      </c>
      <c r="J46" s="19">
        <f>SUMPRODUCT('Coef Fabricacion'!$D$57:$K$57,Volumenes!$B$38:$I$38)+SUMPRODUCT('Coef Fabricacion'!$L$57:$S$57,Volumenes!$B$12:$I$12)+SUMPRODUCT('Coef Fabricacion'!$T$57:$AA$57,Volumenes!$B$25:$I$25)+SUMPRODUCT('Coef Recargas'!$D$38:$T$38,Volumenes!$B$51:$R$51)</f>
        <v>21849.23</v>
      </c>
      <c r="K46" s="19">
        <f>SUMPRODUCT('Coef Fabricacion'!$D$57:$K$57,Volumenes!$B$39:$I$39)+SUMPRODUCT('Coef Fabricacion'!$L$57:$S$57,Volumenes!$B$13:$I$13)+SUMPRODUCT('Coef Fabricacion'!$T$57:$AA$57,Volumenes!$B$26:$I$26)+SUMPRODUCT('Coef Recargas'!$D$38:$T$38,Volumenes!$B$52:$R$52)</f>
        <v>26892.61</v>
      </c>
      <c r="L46" s="19">
        <f>SUMPRODUCT('Coef Fabricacion'!$D$57:$K$57,Volumenes!$B$40:$I$40)+SUMPRODUCT('Coef Fabricacion'!$L$57:$S$57,Volumenes!$B$14:$I$14)+SUMPRODUCT('Coef Fabricacion'!$T$57:$AA$57,Volumenes!$B$27:$I$27)+SUMPRODUCT('Coef Recargas'!$D$38:$T$38,Volumenes!$B$53:$R$53)</f>
        <v>30459.82</v>
      </c>
      <c r="M46" s="19">
        <f>SUMPRODUCT('Coef Fabricacion'!$D$57:$K$57,Volumenes!$B$41:$I$41)+SUMPRODUCT('Coef Fabricacion'!$L$57:$S$57,Volumenes!$B$15:$I$15)+SUMPRODUCT('Coef Fabricacion'!$T$57:$AA$57,Volumenes!$B$28:$I$28)+SUMPRODUCT('Coef Recargas'!$D$38:$T$38,Volumenes!$B$54:$R$54)</f>
        <v>34089.18</v>
      </c>
      <c r="N46" s="48">
        <f t="shared" si="1"/>
        <v>4.757224974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7" t="s">
        <v>527</v>
      </c>
      <c r="B47" s="44" t="s">
        <v>528</v>
      </c>
      <c r="C47" s="15" t="s">
        <v>224</v>
      </c>
      <c r="D47" s="19">
        <f>SUMPRODUCT('Coef Fabricacion'!$D$58:$K$58,Volumenes!$B$32:$I$32)+SUMPRODUCT('Coef Fabricacion'!$L$58:$S$58,Volumenes!$B$6:$I$6)+SUMPRODUCT('Coef Fabricacion'!$T$58:$AA$58,Volumenes!$B$19:$I$19)+SUMPRODUCT('Coef Recargas'!$D$39:$T$39,Volumenes!$B$45:$R$45)</f>
        <v>2670.57</v>
      </c>
      <c r="E47" s="19">
        <f>SUMPRODUCT('Coef Fabricacion'!$D$58:$K$58,Volumenes!$B$33:$I$33)+SUMPRODUCT('Coef Fabricacion'!$L$58:$S$58,Volumenes!$B$7:$I$7)+SUMPRODUCT('Coef Fabricacion'!$T$58:$AA$58,Volumenes!$B$20:$I$20)+SUMPRODUCT('Coef Recargas'!$D$39:$T$39,Volumenes!$B$46:$R$46)</f>
        <v>4844.72</v>
      </c>
      <c r="F47" s="19">
        <f>SUMPRODUCT('Coef Fabricacion'!$D$58:$K$58,Volumenes!$B$34:$I$34)+SUMPRODUCT('Coef Fabricacion'!$L$58:$S$58,Volumenes!$B$8:$I$8)+SUMPRODUCT('Coef Fabricacion'!$T$58:$AA$58,Volumenes!$B$21:$I$21)+SUMPRODUCT('Coef Recargas'!$D$39:$T$39,Volumenes!$B$47:$R$47)</f>
        <v>6586.75</v>
      </c>
      <c r="G47" s="19">
        <f>SUMPRODUCT('Coef Fabricacion'!$D$58:$K$58,Volumenes!$B$35:$I$35)+SUMPRODUCT('Coef Fabricacion'!$L$58:$S$58,Volumenes!$B$9:$I$9)+SUMPRODUCT('Coef Fabricacion'!$T$58:$AA$58,Volumenes!$B$22:$I$22)+SUMPRODUCT('Coef Recargas'!$D$39:$T$39,Volumenes!$B$48:$R$48)</f>
        <v>9156.6</v>
      </c>
      <c r="H47" s="19">
        <f>SUMPRODUCT('Coef Fabricacion'!$D$58:$K$58,Volumenes!$B$36:$I$36)+SUMPRODUCT('Coef Fabricacion'!$L$58:$S$58,Volumenes!$B$10:$I$10)+SUMPRODUCT('Coef Fabricacion'!$T$58:$AA$58,Volumenes!$B$23:$I$23)+SUMPRODUCT('Coef Recargas'!$D$39:$T$39,Volumenes!$B$49:$R$49)</f>
        <v>14418</v>
      </c>
      <c r="I47" s="19">
        <f>SUMPRODUCT('Coef Fabricacion'!$D$58:$K$58,Volumenes!$B$37:$I$37)+SUMPRODUCT('Coef Fabricacion'!$L$58:$S$58,Volumenes!$B$11:$I$11)+SUMPRODUCT('Coef Fabricacion'!$T$58:$AA$58,Volumenes!$B$24:$I$24)+SUMPRODUCT('Coef Recargas'!$D$39:$T$39,Volumenes!$B$50:$R$50)</f>
        <v>19639.12</v>
      </c>
      <c r="J47" s="19">
        <f>SUMPRODUCT('Coef Fabricacion'!$D$58:$K$58,Volumenes!$B$38:$I$38)+SUMPRODUCT('Coef Fabricacion'!$L$58:$S$58,Volumenes!$B$12:$I$12)+SUMPRODUCT('Coef Fabricacion'!$T$58:$AA$58,Volumenes!$B$25:$I$25)+SUMPRODUCT('Coef Recargas'!$D$39:$T$39,Volumenes!$B$51:$R$51)</f>
        <v>25221.87</v>
      </c>
      <c r="K47" s="19">
        <f>SUMPRODUCT('Coef Fabricacion'!$D$58:$K$58,Volumenes!$B$39:$I$39)+SUMPRODUCT('Coef Fabricacion'!$L$58:$S$58,Volumenes!$B$13:$I$13)+SUMPRODUCT('Coef Fabricacion'!$T$58:$AA$58,Volumenes!$B$26:$I$26)+SUMPRODUCT('Coef Recargas'!$D$39:$T$39,Volumenes!$B$52:$R$52)</f>
        <v>31104.15</v>
      </c>
      <c r="L47" s="19">
        <f>SUMPRODUCT('Coef Fabricacion'!$D$58:$K$58,Volumenes!$B$40:$I$40)+SUMPRODUCT('Coef Fabricacion'!$L$58:$S$58,Volumenes!$B$14:$I$14)+SUMPRODUCT('Coef Fabricacion'!$T$58:$AA$58,Volumenes!$B$27:$I$27)+SUMPRODUCT('Coef Recargas'!$D$39:$T$39,Volumenes!$B$53:$R$53)</f>
        <v>36109.64</v>
      </c>
      <c r="M47" s="19">
        <f>SUMPRODUCT('Coef Fabricacion'!$D$58:$K$58,Volumenes!$B$41:$I$41)+SUMPRODUCT('Coef Fabricacion'!$L$58:$S$58,Volumenes!$B$15:$I$15)+SUMPRODUCT('Coef Fabricacion'!$T$58:$AA$58,Volumenes!$B$28:$I$28)+SUMPRODUCT('Coef Recargas'!$D$39:$T$39,Volumenes!$B$54:$R$54)</f>
        <v>41451.78</v>
      </c>
      <c r="N47" s="48">
        <f t="shared" si="1"/>
        <v>6.293206817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7" t="s">
        <v>532</v>
      </c>
      <c r="B48" s="44" t="s">
        <v>533</v>
      </c>
      <c r="C48" s="15" t="s">
        <v>224</v>
      </c>
      <c r="D48" s="19">
        <f>SUMPRODUCT('Coef Fabricacion'!$D$59:$K$59,Volumenes!$B$32:$I$32)+SUMPRODUCT('Coef Fabricacion'!$L$59:$S$59,Volumenes!$B$6:$I$6)+SUMPRODUCT('Coef Fabricacion'!$T$59:$AA$59,Volumenes!$B$19:$I$19)+SUMPRODUCT('Coef Recargas'!$D$40:$T$40,Volumenes!$B$45:$R$45)</f>
        <v>136.84</v>
      </c>
      <c r="E48" s="19">
        <f>SUMPRODUCT('Coef Fabricacion'!$D$59:$K$59,Volumenes!$B$33:$I$33)+SUMPRODUCT('Coef Fabricacion'!$L$59:$S$59,Volumenes!$B$7:$I$7)+SUMPRODUCT('Coef Fabricacion'!$T$59:$AA$59,Volumenes!$B$20:$I$20)+SUMPRODUCT('Coef Recargas'!$D$40:$T$40,Volumenes!$B$46:$R$46)</f>
        <v>237.41</v>
      </c>
      <c r="F48" s="19">
        <f>SUMPRODUCT('Coef Fabricacion'!$D$59:$K$59,Volumenes!$B$34:$I$34)+SUMPRODUCT('Coef Fabricacion'!$L$59:$S$59,Volumenes!$B$8:$I$8)+SUMPRODUCT('Coef Fabricacion'!$T$59:$AA$59,Volumenes!$B$21:$I$21)+SUMPRODUCT('Coef Recargas'!$D$40:$T$40,Volumenes!$B$47:$R$47)</f>
        <v>311.39</v>
      </c>
      <c r="G48" s="19">
        <f>SUMPRODUCT('Coef Fabricacion'!$D$59:$K$59,Volumenes!$B$35:$I$35)+SUMPRODUCT('Coef Fabricacion'!$L$59:$S$59,Volumenes!$B$9:$I$9)+SUMPRODUCT('Coef Fabricacion'!$T$59:$AA$59,Volumenes!$B$22:$I$22)+SUMPRODUCT('Coef Recargas'!$D$40:$T$40,Volumenes!$B$48:$R$48)</f>
        <v>418.68</v>
      </c>
      <c r="H48" s="19">
        <f>SUMPRODUCT('Coef Fabricacion'!$D$59:$K$59,Volumenes!$B$36:$I$36)+SUMPRODUCT('Coef Fabricacion'!$L$59:$S$59,Volumenes!$B$10:$I$10)+SUMPRODUCT('Coef Fabricacion'!$T$59:$AA$59,Volumenes!$B$23:$I$23)+SUMPRODUCT('Coef Recargas'!$D$40:$T$40,Volumenes!$B$49:$R$49)</f>
        <v>647.03</v>
      </c>
      <c r="I48" s="19">
        <f>SUMPRODUCT('Coef Fabricacion'!$D$59:$K$59,Volumenes!$B$37:$I$37)+SUMPRODUCT('Coef Fabricacion'!$L$59:$S$59,Volumenes!$B$11:$I$11)+SUMPRODUCT('Coef Fabricacion'!$T$59:$AA$59,Volumenes!$B$24:$I$24)+SUMPRODUCT('Coef Recargas'!$D$40:$T$40,Volumenes!$B$50:$R$50)</f>
        <v>877.68</v>
      </c>
      <c r="J48" s="19">
        <f>SUMPRODUCT('Coef Fabricacion'!$D$59:$K$59,Volumenes!$B$38:$I$38)+SUMPRODUCT('Coef Fabricacion'!$L$59:$S$59,Volumenes!$B$12:$I$12)+SUMPRODUCT('Coef Fabricacion'!$T$59:$AA$59,Volumenes!$B$25:$I$25)+SUMPRODUCT('Coef Recargas'!$D$40:$T$40,Volumenes!$B$51:$R$51)</f>
        <v>1129</v>
      </c>
      <c r="K48" s="19">
        <f>SUMPRODUCT('Coef Fabricacion'!$D$59:$K$59,Volumenes!$B$39:$I$39)+SUMPRODUCT('Coef Fabricacion'!$L$59:$S$59,Volumenes!$B$13:$I$13)+SUMPRODUCT('Coef Fabricacion'!$T$59:$AA$59,Volumenes!$B$26:$I$26)+SUMPRODUCT('Coef Recargas'!$D$40:$T$40,Volumenes!$B$52:$R$52)</f>
        <v>1395.89</v>
      </c>
      <c r="L48" s="19">
        <f>SUMPRODUCT('Coef Fabricacion'!$D$59:$K$59,Volumenes!$B$40:$I$40)+SUMPRODUCT('Coef Fabricacion'!$L$59:$S$59,Volumenes!$B$14:$I$14)+SUMPRODUCT('Coef Fabricacion'!$T$59:$AA$59,Volumenes!$B$27:$I$27)+SUMPRODUCT('Coef Recargas'!$D$40:$T$40,Volumenes!$B$53:$R$53)</f>
        <v>1621.61</v>
      </c>
      <c r="M48" s="19">
        <f>SUMPRODUCT('Coef Fabricacion'!$D$59:$K$59,Volumenes!$B$41:$I$41)+SUMPRODUCT('Coef Fabricacion'!$L$59:$S$59,Volumenes!$B$15:$I$15)+SUMPRODUCT('Coef Fabricacion'!$T$59:$AA$59,Volumenes!$B$28:$I$28)+SUMPRODUCT('Coef Recargas'!$D$40:$T$40,Volumenes!$B$54:$R$54)</f>
        <v>1864.42</v>
      </c>
      <c r="N48" s="48">
        <f t="shared" si="1"/>
        <v>5.987411285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7" t="s">
        <v>538</v>
      </c>
      <c r="B49" s="44" t="s">
        <v>539</v>
      </c>
      <c r="C49" s="15" t="s">
        <v>224</v>
      </c>
      <c r="D49" s="19">
        <f>SUMPRODUCT('Coef Fabricacion'!$D$60:$K$60,Volumenes!$B$32:$I$32)+SUMPRODUCT('Coef Fabricacion'!$L$60:$S$60,Volumenes!$B$6:$I$6)+SUMPRODUCT('Coef Fabricacion'!$T$60:$AA$60,Volumenes!$B$19:$I$19)+SUMPRODUCT('Coef Recargas'!$D$41:$T$41,Volumenes!$B$45:$R$45)</f>
        <v>7128.96</v>
      </c>
      <c r="E49" s="19">
        <f>SUMPRODUCT('Coef Fabricacion'!$D$60:$K$60,Volumenes!$B$33:$I$33)+SUMPRODUCT('Coef Fabricacion'!$L$60:$S$60,Volumenes!$B$7:$I$7)+SUMPRODUCT('Coef Fabricacion'!$T$60:$AA$60,Volumenes!$B$20:$I$20)+SUMPRODUCT('Coef Recargas'!$D$41:$T$41,Volumenes!$B$46:$R$46)</f>
        <v>11737.56</v>
      </c>
      <c r="F49" s="19">
        <f>SUMPRODUCT('Coef Fabricacion'!$D$60:$K$60,Volumenes!$B$34:$I$34)+SUMPRODUCT('Coef Fabricacion'!$L$60:$S$60,Volumenes!$B$8:$I$8)+SUMPRODUCT('Coef Fabricacion'!$T$60:$AA$60,Volumenes!$B$21:$I$21)+SUMPRODUCT('Coef Recargas'!$D$41:$T$41,Volumenes!$B$47:$R$47)</f>
        <v>15023.76</v>
      </c>
      <c r="G49" s="19">
        <f>SUMPRODUCT('Coef Fabricacion'!$D$60:$K$60,Volumenes!$B$35:$I$35)+SUMPRODUCT('Coef Fabricacion'!$L$60:$S$60,Volumenes!$B$9:$I$9)+SUMPRODUCT('Coef Fabricacion'!$T$60:$AA$60,Volumenes!$B$22:$I$22)+SUMPRODUCT('Coef Recargas'!$D$41:$T$41,Volumenes!$B$48:$R$48)</f>
        <v>20396.28</v>
      </c>
      <c r="H49" s="19">
        <f>SUMPRODUCT('Coef Fabricacion'!$D$60:$K$60,Volumenes!$B$36:$I$36)+SUMPRODUCT('Coef Fabricacion'!$L$60:$S$60,Volumenes!$B$10:$I$10)+SUMPRODUCT('Coef Fabricacion'!$T$60:$AA$60,Volumenes!$B$23:$I$23)+SUMPRODUCT('Coef Recargas'!$D$41:$T$41,Volumenes!$B$49:$R$49)</f>
        <v>31234.32</v>
      </c>
      <c r="I49" s="19">
        <f>SUMPRODUCT('Coef Fabricacion'!$D$60:$K$60,Volumenes!$B$37:$I$37)+SUMPRODUCT('Coef Fabricacion'!$L$60:$S$60,Volumenes!$B$11:$I$11)+SUMPRODUCT('Coef Fabricacion'!$T$60:$AA$60,Volumenes!$B$24:$I$24)+SUMPRODUCT('Coef Recargas'!$D$41:$T$41,Volumenes!$B$50:$R$50)</f>
        <v>40920.72</v>
      </c>
      <c r="J49" s="19">
        <f>SUMPRODUCT('Coef Fabricacion'!$D$60:$K$60,Volumenes!$B$38:$I$38)+SUMPRODUCT('Coef Fabricacion'!$L$60:$S$60,Volumenes!$B$12:$I$12)+SUMPRODUCT('Coef Fabricacion'!$T$60:$AA$60,Volumenes!$B$25:$I$25)+SUMPRODUCT('Coef Recargas'!$D$41:$T$41,Volumenes!$B$51:$R$51)</f>
        <v>52648.6</v>
      </c>
      <c r="K49" s="19">
        <f>SUMPRODUCT('Coef Fabricacion'!$D$60:$K$60,Volumenes!$B$39:$I$39)+SUMPRODUCT('Coef Fabricacion'!$L$60:$S$60,Volumenes!$B$13:$I$13)+SUMPRODUCT('Coef Fabricacion'!$T$60:$AA$60,Volumenes!$B$26:$I$26)+SUMPRODUCT('Coef Recargas'!$D$41:$T$41,Volumenes!$B$52:$R$52)</f>
        <v>64460.4</v>
      </c>
      <c r="L49" s="19">
        <f>SUMPRODUCT('Coef Fabricacion'!$D$60:$K$60,Volumenes!$B$40:$I$40)+SUMPRODUCT('Coef Fabricacion'!$L$60:$S$60,Volumenes!$B$14:$I$14)+SUMPRODUCT('Coef Fabricacion'!$T$60:$AA$60,Volumenes!$B$27:$I$27)+SUMPRODUCT('Coef Recargas'!$D$41:$T$41,Volumenes!$B$53:$R$53)</f>
        <v>73639.52</v>
      </c>
      <c r="M49" s="19">
        <f>SUMPRODUCT('Coef Fabricacion'!$D$60:$K$60,Volumenes!$B$41:$I$41)+SUMPRODUCT('Coef Fabricacion'!$L$60:$S$60,Volumenes!$B$15:$I$15)+SUMPRODUCT('Coef Fabricacion'!$T$60:$AA$60,Volumenes!$B$28:$I$28)+SUMPRODUCT('Coef Recargas'!$D$41:$T$41,Volumenes!$B$54:$R$54)</f>
        <v>83242.68</v>
      </c>
      <c r="N49" s="48">
        <f t="shared" si="1"/>
        <v>5.540735475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7" t="s">
        <v>544</v>
      </c>
      <c r="B50" s="44" t="s">
        <v>545</v>
      </c>
      <c r="C50" s="15" t="s">
        <v>224</v>
      </c>
      <c r="D50" s="19">
        <f>SUMPRODUCT('Coef Fabricacion'!$D$61:$K$61,Volumenes!$B$32:$I$32)+SUMPRODUCT('Coef Fabricacion'!$L$61:$S$61,Volumenes!$B$6:$I$6)+SUMPRODUCT('Coef Fabricacion'!$T$61:$AA$61,Volumenes!$B$19:$I$19)+SUMPRODUCT('Coef Recargas'!$D$42:$T$42,Volumenes!$B$45:$R$45)</f>
        <v>2670.57</v>
      </c>
      <c r="E50" s="19">
        <f>SUMPRODUCT('Coef Fabricacion'!$D$61:$K$61,Volumenes!$B$33:$I$33)+SUMPRODUCT('Coef Fabricacion'!$L$61:$S$61,Volumenes!$B$7:$I$7)+SUMPRODUCT('Coef Fabricacion'!$T$61:$AA$61,Volumenes!$B$20:$I$20)+SUMPRODUCT('Coef Recargas'!$D$42:$T$42,Volumenes!$B$46:$R$46)</f>
        <v>4844.72</v>
      </c>
      <c r="F50" s="19">
        <f>SUMPRODUCT('Coef Fabricacion'!$D$61:$K$61,Volumenes!$B$34:$I$34)+SUMPRODUCT('Coef Fabricacion'!$L$61:$S$61,Volumenes!$B$8:$I$8)+SUMPRODUCT('Coef Fabricacion'!$T$61:$AA$61,Volumenes!$B$21:$I$21)+SUMPRODUCT('Coef Recargas'!$D$42:$T$42,Volumenes!$B$47:$R$47)</f>
        <v>6586.75</v>
      </c>
      <c r="G50" s="19">
        <f>SUMPRODUCT('Coef Fabricacion'!$D$61:$K$61,Volumenes!$B$35:$I$35)+SUMPRODUCT('Coef Fabricacion'!$L$61:$S$61,Volumenes!$B$9:$I$9)+SUMPRODUCT('Coef Fabricacion'!$T$61:$AA$61,Volumenes!$B$22:$I$22)+SUMPRODUCT('Coef Recargas'!$D$42:$T$42,Volumenes!$B$48:$R$48)</f>
        <v>9156.6</v>
      </c>
      <c r="H50" s="19">
        <f>SUMPRODUCT('Coef Fabricacion'!$D$61:$K$61,Volumenes!$B$36:$I$36)+SUMPRODUCT('Coef Fabricacion'!$L$61:$S$61,Volumenes!$B$10:$I$10)+SUMPRODUCT('Coef Fabricacion'!$T$61:$AA$61,Volumenes!$B$23:$I$23)+SUMPRODUCT('Coef Recargas'!$D$42:$T$42,Volumenes!$B$49:$R$49)</f>
        <v>14418</v>
      </c>
      <c r="I50" s="19">
        <f>SUMPRODUCT('Coef Fabricacion'!$D$61:$K$61,Volumenes!$B$37:$I$37)+SUMPRODUCT('Coef Fabricacion'!$L$61:$S$61,Volumenes!$B$11:$I$11)+SUMPRODUCT('Coef Fabricacion'!$T$61:$AA$61,Volumenes!$B$24:$I$24)+SUMPRODUCT('Coef Recargas'!$D$42:$T$42,Volumenes!$B$50:$R$50)</f>
        <v>19639.12</v>
      </c>
      <c r="J50" s="19">
        <f>SUMPRODUCT('Coef Fabricacion'!$D$61:$K$61,Volumenes!$B$38:$I$38)+SUMPRODUCT('Coef Fabricacion'!$L$61:$S$61,Volumenes!$B$12:$I$12)+SUMPRODUCT('Coef Fabricacion'!$T$61:$AA$61,Volumenes!$B$25:$I$25)+SUMPRODUCT('Coef Recargas'!$D$42:$T$42,Volumenes!$B$51:$R$51)</f>
        <v>25221.87</v>
      </c>
      <c r="K50" s="19">
        <f>SUMPRODUCT('Coef Fabricacion'!$D$61:$K$61,Volumenes!$B$39:$I$39)+SUMPRODUCT('Coef Fabricacion'!$L$61:$S$61,Volumenes!$B$13:$I$13)+SUMPRODUCT('Coef Fabricacion'!$T$61:$AA$61,Volumenes!$B$26:$I$26)+SUMPRODUCT('Coef Recargas'!$D$42:$T$42,Volumenes!$B$52:$R$52)</f>
        <v>31104.15</v>
      </c>
      <c r="L50" s="19">
        <f>SUMPRODUCT('Coef Fabricacion'!$D$61:$K$61,Volumenes!$B$40:$I$40)+SUMPRODUCT('Coef Fabricacion'!$L$61:$S$61,Volumenes!$B$14:$I$14)+SUMPRODUCT('Coef Fabricacion'!$T$61:$AA$61,Volumenes!$B$27:$I$27)+SUMPRODUCT('Coef Recargas'!$D$42:$T$42,Volumenes!$B$53:$R$53)</f>
        <v>36109.64</v>
      </c>
      <c r="M50" s="19">
        <f>SUMPRODUCT('Coef Fabricacion'!$D$61:$K$61,Volumenes!$B$41:$I$41)+SUMPRODUCT('Coef Fabricacion'!$L$61:$S$61,Volumenes!$B$15:$I$15)+SUMPRODUCT('Coef Fabricacion'!$T$61:$AA$61,Volumenes!$B$28:$I$28)+SUMPRODUCT('Coef Recargas'!$D$42:$T$42,Volumenes!$B$54:$R$54)</f>
        <v>41451.78</v>
      </c>
      <c r="N50" s="48">
        <f t="shared" si="1"/>
        <v>6.293206817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7" t="s">
        <v>547</v>
      </c>
      <c r="B51" s="44" t="s">
        <v>548</v>
      </c>
      <c r="C51" s="15" t="s">
        <v>224</v>
      </c>
      <c r="D51" s="19">
        <f>SUMPRODUCT('Coef Fabricacion'!$D$62:$K$62,Volumenes!$B$32:$I$32)+SUMPRODUCT('Coef Fabricacion'!$L$62:$S$62,Volumenes!$B$6:$I$6)+SUMPRODUCT('Coef Fabricacion'!$T$62:$AA$62,Volumenes!$B$19:$I$19)+SUMPRODUCT('Coef Recargas'!$D$43:$T$43,Volumenes!$B$45:$R$45)</f>
        <v>136.84</v>
      </c>
      <c r="E51" s="19">
        <f>SUMPRODUCT('Coef Fabricacion'!$D$62:$K$62,Volumenes!$B$33:$I$33)+SUMPRODUCT('Coef Fabricacion'!$L$62:$S$62,Volumenes!$B$7:$I$7)+SUMPRODUCT('Coef Fabricacion'!$T$62:$AA$62,Volumenes!$B$20:$I$20)+SUMPRODUCT('Coef Recargas'!$D$43:$T$43,Volumenes!$B$46:$R$46)</f>
        <v>237.41</v>
      </c>
      <c r="F51" s="19">
        <f>SUMPRODUCT('Coef Fabricacion'!$D$62:$K$62,Volumenes!$B$34:$I$34)+SUMPRODUCT('Coef Fabricacion'!$L$62:$S$62,Volumenes!$B$8:$I$8)+SUMPRODUCT('Coef Fabricacion'!$T$62:$AA$62,Volumenes!$B$21:$I$21)+SUMPRODUCT('Coef Recargas'!$D$43:$T$43,Volumenes!$B$47:$R$47)</f>
        <v>311.39</v>
      </c>
      <c r="G51" s="19">
        <f>SUMPRODUCT('Coef Fabricacion'!$D$62:$K$62,Volumenes!$B$35:$I$35)+SUMPRODUCT('Coef Fabricacion'!$L$62:$S$62,Volumenes!$B$9:$I$9)+SUMPRODUCT('Coef Fabricacion'!$T$62:$AA$62,Volumenes!$B$22:$I$22)+SUMPRODUCT('Coef Recargas'!$D$43:$T$43,Volumenes!$B$48:$R$48)</f>
        <v>418.68</v>
      </c>
      <c r="H51" s="19">
        <f>SUMPRODUCT('Coef Fabricacion'!$D$62:$K$62,Volumenes!$B$36:$I$36)+SUMPRODUCT('Coef Fabricacion'!$L$62:$S$62,Volumenes!$B$10:$I$10)+SUMPRODUCT('Coef Fabricacion'!$T$62:$AA$62,Volumenes!$B$23:$I$23)+SUMPRODUCT('Coef Recargas'!$D$43:$T$43,Volumenes!$B$49:$R$49)</f>
        <v>647.03</v>
      </c>
      <c r="I51" s="19">
        <f>SUMPRODUCT('Coef Fabricacion'!$D$62:$K$62,Volumenes!$B$37:$I$37)+SUMPRODUCT('Coef Fabricacion'!$L$62:$S$62,Volumenes!$B$11:$I$11)+SUMPRODUCT('Coef Fabricacion'!$T$62:$AA$62,Volumenes!$B$24:$I$24)+SUMPRODUCT('Coef Recargas'!$D$43:$T$43,Volumenes!$B$50:$R$50)</f>
        <v>877.68</v>
      </c>
      <c r="J51" s="19">
        <f>SUMPRODUCT('Coef Fabricacion'!$D$62:$K$62,Volumenes!$B$38:$I$38)+SUMPRODUCT('Coef Fabricacion'!$L$62:$S$62,Volumenes!$B$12:$I$12)+SUMPRODUCT('Coef Fabricacion'!$T$62:$AA$62,Volumenes!$B$25:$I$25)+SUMPRODUCT('Coef Recargas'!$D$43:$T$43,Volumenes!$B$51:$R$51)</f>
        <v>1129</v>
      </c>
      <c r="K51" s="19">
        <f>SUMPRODUCT('Coef Fabricacion'!$D$62:$K$62,Volumenes!$B$39:$I$39)+SUMPRODUCT('Coef Fabricacion'!$L$62:$S$62,Volumenes!$B$13:$I$13)+SUMPRODUCT('Coef Fabricacion'!$T$62:$AA$62,Volumenes!$B$26:$I$26)+SUMPRODUCT('Coef Recargas'!$D$43:$T$43,Volumenes!$B$52:$R$52)</f>
        <v>1395.89</v>
      </c>
      <c r="L51" s="19">
        <f>SUMPRODUCT('Coef Fabricacion'!$D$62:$K$62,Volumenes!$B$40:$I$40)+SUMPRODUCT('Coef Fabricacion'!$L$62:$S$62,Volumenes!$B$14:$I$14)+SUMPRODUCT('Coef Fabricacion'!$T$62:$AA$62,Volumenes!$B$27:$I$27)+SUMPRODUCT('Coef Recargas'!$D$43:$T$43,Volumenes!$B$53:$R$53)</f>
        <v>1621.61</v>
      </c>
      <c r="M51" s="19">
        <f>SUMPRODUCT('Coef Fabricacion'!$D$62:$K$62,Volumenes!$B$41:$I$41)+SUMPRODUCT('Coef Fabricacion'!$L$62:$S$62,Volumenes!$B$15:$I$15)+SUMPRODUCT('Coef Fabricacion'!$T$62:$AA$62,Volumenes!$B$28:$I$28)+SUMPRODUCT('Coef Recargas'!$D$43:$T$43,Volumenes!$B$54:$R$54)</f>
        <v>1864.42</v>
      </c>
      <c r="N51" s="48">
        <f t="shared" si="1"/>
        <v>5.987411285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7" t="s">
        <v>554</v>
      </c>
      <c r="B52" s="44" t="s">
        <v>555</v>
      </c>
      <c r="C52" s="15" t="s">
        <v>224</v>
      </c>
      <c r="D52" s="19">
        <f>SUMPRODUCT('Coef Fabricacion'!$D$63:$K$63,Volumenes!$B$32:$I$32)+SUMPRODUCT('Coef Fabricacion'!$L$63:$S$63,Volumenes!$B$6:$I$6)+SUMPRODUCT('Coef Fabricacion'!$T$63:$AA$63,Volumenes!$B$19:$I$19)+SUMPRODUCT('Coef Recargas'!$D$44:$T$44,Volumenes!$B$45:$R$45)</f>
        <v>2698.9</v>
      </c>
      <c r="E52" s="19">
        <f>SUMPRODUCT('Coef Fabricacion'!$D$63:$K$63,Volumenes!$B$33:$I$33)+SUMPRODUCT('Coef Fabricacion'!$L$63:$S$63,Volumenes!$B$7:$I$7)+SUMPRODUCT('Coef Fabricacion'!$T$63:$AA$63,Volumenes!$B$20:$I$20)+SUMPRODUCT('Coef Recargas'!$D$44:$T$44,Volumenes!$B$46:$R$46)</f>
        <v>4960.1</v>
      </c>
      <c r="F52" s="19">
        <f>SUMPRODUCT('Coef Fabricacion'!$D$63:$K$63,Volumenes!$B$34:$I$34)+SUMPRODUCT('Coef Fabricacion'!$L$63:$S$63,Volumenes!$B$8:$I$8)+SUMPRODUCT('Coef Fabricacion'!$T$63:$AA$63,Volumenes!$B$21:$I$21)+SUMPRODUCT('Coef Recargas'!$D$44:$T$44,Volumenes!$B$47:$R$47)</f>
        <v>6848</v>
      </c>
      <c r="G52" s="19">
        <f>SUMPRODUCT('Coef Fabricacion'!$D$63:$K$63,Volumenes!$B$35:$I$35)+SUMPRODUCT('Coef Fabricacion'!$L$63:$S$63,Volumenes!$B$9:$I$9)+SUMPRODUCT('Coef Fabricacion'!$T$63:$AA$63,Volumenes!$B$22:$I$22)+SUMPRODUCT('Coef Recargas'!$D$44:$T$44,Volumenes!$B$48:$R$48)</f>
        <v>9647.1</v>
      </c>
      <c r="H52" s="19">
        <f>SUMPRODUCT('Coef Fabricacion'!$D$63:$K$63,Volumenes!$B$36:$I$36)+SUMPRODUCT('Coef Fabricacion'!$L$63:$S$63,Volumenes!$B$10:$I$10)+SUMPRODUCT('Coef Fabricacion'!$T$63:$AA$63,Volumenes!$B$23:$I$23)+SUMPRODUCT('Coef Recargas'!$D$44:$T$44,Volumenes!$B$49:$R$49)</f>
        <v>15125.15</v>
      </c>
      <c r="I52" s="19">
        <f>SUMPRODUCT('Coef Fabricacion'!$D$63:$K$63,Volumenes!$B$37:$I$37)+SUMPRODUCT('Coef Fabricacion'!$L$63:$S$63,Volumenes!$B$11:$I$11)+SUMPRODUCT('Coef Fabricacion'!$T$63:$AA$63,Volumenes!$B$24:$I$24)+SUMPRODUCT('Coef Recargas'!$D$44:$T$44,Volumenes!$B$50:$R$50)</f>
        <v>20578.9</v>
      </c>
      <c r="J52" s="19">
        <f>SUMPRODUCT('Coef Fabricacion'!$D$63:$K$63,Volumenes!$B$38:$I$38)+SUMPRODUCT('Coef Fabricacion'!$L$63:$S$63,Volumenes!$B$12:$I$12)+SUMPRODUCT('Coef Fabricacion'!$T$63:$AA$63,Volumenes!$B$25:$I$25)+SUMPRODUCT('Coef Recargas'!$D$44:$T$44,Volumenes!$B$51:$R$51)</f>
        <v>26374.05</v>
      </c>
      <c r="K52" s="19">
        <f>SUMPRODUCT('Coef Fabricacion'!$D$63:$K$63,Volumenes!$B$39:$I$39)+SUMPRODUCT('Coef Fabricacion'!$L$63:$S$63,Volumenes!$B$13:$I$13)+SUMPRODUCT('Coef Fabricacion'!$T$63:$AA$63,Volumenes!$B$26:$I$26)+SUMPRODUCT('Coef Recargas'!$D$44:$T$44,Volumenes!$B$52:$R$52)</f>
        <v>32383.55</v>
      </c>
      <c r="L52" s="19">
        <f>SUMPRODUCT('Coef Fabricacion'!$D$63:$K$63,Volumenes!$B$40:$I$40)+SUMPRODUCT('Coef Fabricacion'!$L$63:$S$63,Volumenes!$B$14:$I$14)+SUMPRODUCT('Coef Fabricacion'!$T$63:$AA$63,Volumenes!$B$27:$I$27)+SUMPRODUCT('Coef Recargas'!$D$44:$T$44,Volumenes!$B$53:$R$53)</f>
        <v>37491.6</v>
      </c>
      <c r="M52" s="19">
        <f>SUMPRODUCT('Coef Fabricacion'!$D$63:$K$63,Volumenes!$B$41:$I$41)+SUMPRODUCT('Coef Fabricacion'!$L$63:$S$63,Volumenes!$B$15:$I$15)+SUMPRODUCT('Coef Fabricacion'!$T$63:$AA$63,Volumenes!$B$28:$I$28)+SUMPRODUCT('Coef Recargas'!$D$44:$T$44,Volumenes!$B$54:$R$54)</f>
        <v>42938</v>
      </c>
      <c r="N52" s="48">
        <f t="shared" si="1"/>
        <v>6.270151869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7" t="s">
        <v>558</v>
      </c>
      <c r="B53" s="44" t="s">
        <v>559</v>
      </c>
      <c r="C53" s="15" t="s">
        <v>224</v>
      </c>
      <c r="D53" s="19">
        <f>SUMPRODUCT('Coef Fabricacion'!$D$64:$K$64,Volumenes!$B$32:$I$32)+SUMPRODUCT('Coef Fabricacion'!$L$64:$S$64,Volumenes!$B$6:$I$6)+SUMPRODUCT('Coef Fabricacion'!$T$64:$AA$64,Volumenes!$B$19:$I$19)+SUMPRODUCT('Coef Recargas'!$D$45:$T$45,Volumenes!$B$45:$R$45)</f>
        <v>137.4</v>
      </c>
      <c r="E53" s="19">
        <f>SUMPRODUCT('Coef Fabricacion'!$D$64:$K$64,Volumenes!$B$33:$I$33)+SUMPRODUCT('Coef Fabricacion'!$L$64:$S$64,Volumenes!$B$7:$I$7)+SUMPRODUCT('Coef Fabricacion'!$T$64:$AA$64,Volumenes!$B$20:$I$20)+SUMPRODUCT('Coef Recargas'!$D$45:$T$45,Volumenes!$B$46:$R$46)</f>
        <v>240.35</v>
      </c>
      <c r="F53" s="19">
        <f>SUMPRODUCT('Coef Fabricacion'!$D$64:$K$64,Volumenes!$B$34:$I$34)+SUMPRODUCT('Coef Fabricacion'!$L$64:$S$64,Volumenes!$B$8:$I$8)+SUMPRODUCT('Coef Fabricacion'!$T$64:$AA$64,Volumenes!$B$21:$I$21)+SUMPRODUCT('Coef Recargas'!$D$45:$T$45,Volumenes!$B$47:$R$47)</f>
        <v>317.65</v>
      </c>
      <c r="G53" s="19">
        <f>SUMPRODUCT('Coef Fabricacion'!$D$64:$K$64,Volumenes!$B$35:$I$35)+SUMPRODUCT('Coef Fabricacion'!$L$64:$S$64,Volumenes!$B$9:$I$9)+SUMPRODUCT('Coef Fabricacion'!$T$64:$AA$64,Volumenes!$B$22:$I$22)+SUMPRODUCT('Coef Recargas'!$D$45:$T$45,Volumenes!$B$48:$R$48)</f>
        <v>429.8</v>
      </c>
      <c r="H53" s="19">
        <f>SUMPRODUCT('Coef Fabricacion'!$D$64:$K$64,Volumenes!$B$36:$I$36)+SUMPRODUCT('Coef Fabricacion'!$L$64:$S$64,Volumenes!$B$10:$I$10)+SUMPRODUCT('Coef Fabricacion'!$T$64:$AA$64,Volumenes!$B$23:$I$23)+SUMPRODUCT('Coef Recargas'!$D$45:$T$45,Volumenes!$B$49:$R$49)</f>
        <v>663.05</v>
      </c>
      <c r="I53" s="19">
        <f>SUMPRODUCT('Coef Fabricacion'!$D$64:$K$64,Volumenes!$B$37:$I$37)+SUMPRODUCT('Coef Fabricacion'!$L$64:$S$64,Volumenes!$B$11:$I$11)+SUMPRODUCT('Coef Fabricacion'!$T$64:$AA$64,Volumenes!$B$24:$I$24)+SUMPRODUCT('Coef Recargas'!$D$45:$T$45,Volumenes!$B$50:$R$50)</f>
        <v>898.8</v>
      </c>
      <c r="J53" s="19">
        <f>SUMPRODUCT('Coef Fabricacion'!$D$64:$K$64,Volumenes!$B$38:$I$38)+SUMPRODUCT('Coef Fabricacion'!$L$64:$S$64,Volumenes!$B$12:$I$12)+SUMPRODUCT('Coef Fabricacion'!$T$64:$AA$64,Volumenes!$B$25:$I$25)+SUMPRODUCT('Coef Recargas'!$D$45:$T$45,Volumenes!$B$51:$R$51)</f>
        <v>1155</v>
      </c>
      <c r="K53" s="19">
        <f>SUMPRODUCT('Coef Fabricacion'!$D$64:$K$64,Volumenes!$B$39:$I$39)+SUMPRODUCT('Coef Fabricacion'!$L$64:$S$64,Volumenes!$B$13:$I$13)+SUMPRODUCT('Coef Fabricacion'!$T$64:$AA$64,Volumenes!$B$26:$I$26)+SUMPRODUCT('Coef Recargas'!$D$45:$T$45,Volumenes!$B$52:$R$52)</f>
        <v>1425.15</v>
      </c>
      <c r="L53" s="19">
        <f>SUMPRODUCT('Coef Fabricacion'!$D$64:$K$64,Volumenes!$B$40:$I$40)+SUMPRODUCT('Coef Fabricacion'!$L$64:$S$64,Volumenes!$B$14:$I$14)+SUMPRODUCT('Coef Fabricacion'!$T$64:$AA$64,Volumenes!$B$27:$I$27)+SUMPRODUCT('Coef Recargas'!$D$45:$T$45,Volumenes!$B$53:$R$53)</f>
        <v>1653.35</v>
      </c>
      <c r="M53" s="19">
        <f>SUMPRODUCT('Coef Fabricacion'!$D$64:$K$64,Volumenes!$B$41:$I$41)+SUMPRODUCT('Coef Fabricacion'!$L$64:$S$64,Volumenes!$B$15:$I$15)+SUMPRODUCT('Coef Fabricacion'!$T$64:$AA$64,Volumenes!$B$28:$I$28)+SUMPRODUCT('Coef Recargas'!$D$45:$T$45,Volumenes!$B$54:$R$54)</f>
        <v>1898.7</v>
      </c>
      <c r="N53" s="48">
        <f t="shared" si="1"/>
        <v>5.977333543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7" t="s">
        <v>560</v>
      </c>
      <c r="B54" s="44" t="s">
        <v>561</v>
      </c>
      <c r="C54" s="15" t="s">
        <v>224</v>
      </c>
      <c r="D54" s="19">
        <f>SUMPRODUCT('Coef Fabricacion'!$D$65:$K$65,Volumenes!$B$32:$I$32)+SUMPRODUCT('Coef Fabricacion'!$L$65:$S$65,Volumenes!$B$6:$I$6)+SUMPRODUCT('Coef Fabricacion'!$T$65:$AA$65,Volumenes!$B$19:$I$19)+SUMPRODUCT('Coef Recargas'!$D$46:$T$46,Volumenes!$B$45:$R$45)</f>
        <v>18324.1</v>
      </c>
      <c r="E54" s="19">
        <f>SUMPRODUCT('Coef Fabricacion'!$D$65:$K$65,Volumenes!$B$33:$I$33)+SUMPRODUCT('Coef Fabricacion'!$L$65:$S$65,Volumenes!$B$7:$I$7)+SUMPRODUCT('Coef Fabricacion'!$T$65:$AA$65,Volumenes!$B$20:$I$20)+SUMPRODUCT('Coef Recargas'!$D$46:$T$46,Volumenes!$B$46:$R$46)</f>
        <v>41834</v>
      </c>
      <c r="F54" s="19">
        <f>SUMPRODUCT('Coef Fabricacion'!$D$65:$K$65,Volumenes!$B$34:$I$34)+SUMPRODUCT('Coef Fabricacion'!$L$65:$S$65,Volumenes!$B$8:$I$8)+SUMPRODUCT('Coef Fabricacion'!$T$65:$AA$65,Volumenes!$B$21:$I$21)+SUMPRODUCT('Coef Recargas'!$D$46:$T$46,Volumenes!$B$47:$R$47)</f>
        <v>66604.8</v>
      </c>
      <c r="G54" s="19">
        <f>SUMPRODUCT('Coef Fabricacion'!$D$65:$K$65,Volumenes!$B$35:$I$35)+SUMPRODUCT('Coef Fabricacion'!$L$65:$S$65,Volumenes!$B$9:$I$9)+SUMPRODUCT('Coef Fabricacion'!$T$65:$AA$65,Volumenes!$B$22:$I$22)+SUMPRODUCT('Coef Recargas'!$D$46:$T$46,Volumenes!$B$48:$R$48)</f>
        <v>108559.6</v>
      </c>
      <c r="H54" s="19">
        <f>SUMPRODUCT('Coef Fabricacion'!$D$65:$K$65,Volumenes!$B$36:$I$36)+SUMPRODUCT('Coef Fabricacion'!$L$65:$S$65,Volumenes!$B$10:$I$10)+SUMPRODUCT('Coef Fabricacion'!$T$65:$AA$65,Volumenes!$B$23:$I$23)+SUMPRODUCT('Coef Recargas'!$D$46:$T$46,Volumenes!$B$49:$R$49)</f>
        <v>162335</v>
      </c>
      <c r="I54" s="19">
        <f>SUMPRODUCT('Coef Fabricacion'!$D$65:$K$65,Volumenes!$B$37:$I$37)+SUMPRODUCT('Coef Fabricacion'!$L$65:$S$65,Volumenes!$B$11:$I$11)+SUMPRODUCT('Coef Fabricacion'!$T$65:$AA$65,Volumenes!$B$24:$I$24)+SUMPRODUCT('Coef Recargas'!$D$46:$T$46,Volumenes!$B$50:$R$50)</f>
        <v>217958.2</v>
      </c>
      <c r="J54" s="19">
        <f>SUMPRODUCT('Coef Fabricacion'!$D$65:$K$65,Volumenes!$B$38:$I$38)+SUMPRODUCT('Coef Fabricacion'!$L$65:$S$65,Volumenes!$B$12:$I$12)+SUMPRODUCT('Coef Fabricacion'!$T$65:$AA$65,Volumenes!$B$25:$I$25)+SUMPRODUCT('Coef Recargas'!$D$46:$T$46,Volumenes!$B$51:$R$51)</f>
        <v>274460.8</v>
      </c>
      <c r="K54" s="19">
        <f>SUMPRODUCT('Coef Fabricacion'!$D$65:$K$65,Volumenes!$B$39:$I$39)+SUMPRODUCT('Coef Fabricacion'!$L$65:$S$65,Volumenes!$B$13:$I$13)+SUMPRODUCT('Coef Fabricacion'!$T$65:$AA$65,Volumenes!$B$26:$I$26)+SUMPRODUCT('Coef Recargas'!$D$46:$T$46,Volumenes!$B$52:$R$52)</f>
        <v>321474.9</v>
      </c>
      <c r="L54" s="19">
        <f>SUMPRODUCT('Coef Fabricacion'!$D$65:$K$65,Volumenes!$B$40:$I$40)+SUMPRODUCT('Coef Fabricacion'!$L$65:$S$65,Volumenes!$B$14:$I$14)+SUMPRODUCT('Coef Fabricacion'!$T$65:$AA$65,Volumenes!$B$27:$I$27)+SUMPRODUCT('Coef Recargas'!$D$46:$T$46,Volumenes!$B$53:$R$53)</f>
        <v>354330.9</v>
      </c>
      <c r="M54" s="19">
        <f>SUMPRODUCT('Coef Fabricacion'!$D$65:$K$65,Volumenes!$B$41:$I$41)+SUMPRODUCT('Coef Fabricacion'!$L$65:$S$65,Volumenes!$B$15:$I$15)+SUMPRODUCT('Coef Fabricacion'!$T$65:$AA$65,Volumenes!$B$28:$I$28)+SUMPRODUCT('Coef Recargas'!$D$46:$T$46,Volumenes!$B$54:$R$54)</f>
        <v>388342</v>
      </c>
      <c r="N54" s="48">
        <f t="shared" si="1"/>
        <v>5.830540742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7" t="s">
        <v>563</v>
      </c>
      <c r="B55" s="44" t="s">
        <v>564</v>
      </c>
      <c r="C55" s="15" t="s">
        <v>224</v>
      </c>
      <c r="D55" s="19">
        <f>SUMPRODUCT('Coef Fabricacion'!$D$66:$K$66,Volumenes!$B$32:$I$32)+SUMPRODUCT('Coef Fabricacion'!$L$66:$S$66,Volumenes!$B$6:$I$6)+SUMPRODUCT('Coef Fabricacion'!$T$66:$AA$66,Volumenes!$B$19:$I$19)+SUMPRODUCT('Coef Recargas'!$D$47:$T$47,Volumenes!$B$45:$R$45)</f>
        <v>9294</v>
      </c>
      <c r="E55" s="19">
        <f>SUMPRODUCT('Coef Fabricacion'!$D$66:$K$66,Volumenes!$B$33:$I$33)+SUMPRODUCT('Coef Fabricacion'!$L$66:$S$66,Volumenes!$B$7:$I$7)+SUMPRODUCT('Coef Fabricacion'!$T$66:$AA$66,Volumenes!$B$20:$I$20)+SUMPRODUCT('Coef Recargas'!$D$47:$T$47,Volumenes!$B$46:$R$46)</f>
        <v>21463</v>
      </c>
      <c r="F55" s="19">
        <f>SUMPRODUCT('Coef Fabricacion'!$D$66:$K$66,Volumenes!$B$34:$I$34)+SUMPRODUCT('Coef Fabricacion'!$L$66:$S$66,Volumenes!$B$8:$I$8)+SUMPRODUCT('Coef Fabricacion'!$T$66:$AA$66,Volumenes!$B$21:$I$21)+SUMPRODUCT('Coef Recargas'!$D$47:$T$47,Volumenes!$B$47:$R$47)</f>
        <v>34540</v>
      </c>
      <c r="G55" s="19">
        <f>SUMPRODUCT('Coef Fabricacion'!$D$66:$K$66,Volumenes!$B$35:$I$35)+SUMPRODUCT('Coef Fabricacion'!$L$66:$S$66,Volumenes!$B$9:$I$9)+SUMPRODUCT('Coef Fabricacion'!$T$66:$AA$66,Volumenes!$B$22:$I$22)+SUMPRODUCT('Coef Recargas'!$D$47:$T$47,Volumenes!$B$48:$R$48)</f>
        <v>56599</v>
      </c>
      <c r="H55" s="19">
        <f>SUMPRODUCT('Coef Fabricacion'!$D$66:$K$66,Volumenes!$B$36:$I$36)+SUMPRODUCT('Coef Fabricacion'!$L$66:$S$66,Volumenes!$B$10:$I$10)+SUMPRODUCT('Coef Fabricacion'!$T$66:$AA$66,Volumenes!$B$23:$I$23)+SUMPRODUCT('Coef Recargas'!$D$47:$T$47,Volumenes!$B$49:$R$49)</f>
        <v>84515</v>
      </c>
      <c r="I55" s="19">
        <f>SUMPRODUCT('Coef Fabricacion'!$D$66:$K$66,Volumenes!$B$37:$I$37)+SUMPRODUCT('Coef Fabricacion'!$L$66:$S$66,Volumenes!$B$11:$I$11)+SUMPRODUCT('Coef Fabricacion'!$T$66:$AA$66,Volumenes!$B$24:$I$24)+SUMPRODUCT('Coef Recargas'!$D$47:$T$47,Volumenes!$B$50:$R$50)</f>
        <v>113429</v>
      </c>
      <c r="J55" s="19">
        <f>SUMPRODUCT('Coef Fabricacion'!$D$66:$K$66,Volumenes!$B$38:$I$38)+SUMPRODUCT('Coef Fabricacion'!$L$66:$S$66,Volumenes!$B$12:$I$12)+SUMPRODUCT('Coef Fabricacion'!$T$66:$AA$66,Volumenes!$B$25:$I$25)+SUMPRODUCT('Coef Recargas'!$D$47:$T$47,Volumenes!$B$51:$R$51)</f>
        <v>142693</v>
      </c>
      <c r="K55" s="19">
        <f>SUMPRODUCT('Coef Fabricacion'!$D$66:$K$66,Volumenes!$B$39:$I$39)+SUMPRODUCT('Coef Fabricacion'!$L$66:$S$66,Volumenes!$B$13:$I$13)+SUMPRODUCT('Coef Fabricacion'!$T$66:$AA$66,Volumenes!$B$26:$I$26)+SUMPRODUCT('Coef Recargas'!$D$47:$T$47,Volumenes!$B$52:$R$52)</f>
        <v>166813</v>
      </c>
      <c r="L55" s="19">
        <f>SUMPRODUCT('Coef Fabricacion'!$D$66:$K$66,Volumenes!$B$40:$I$40)+SUMPRODUCT('Coef Fabricacion'!$L$66:$S$66,Volumenes!$B$14:$I$14)+SUMPRODUCT('Coef Fabricacion'!$T$66:$AA$66,Volumenes!$B$27:$I$27)+SUMPRODUCT('Coef Recargas'!$D$47:$T$47,Volumenes!$B$53:$R$53)</f>
        <v>183735</v>
      </c>
      <c r="M55" s="19">
        <f>SUMPRODUCT('Coef Fabricacion'!$D$66:$K$66,Volumenes!$B$41:$I$41)+SUMPRODUCT('Coef Fabricacion'!$L$66:$S$66,Volumenes!$B$15:$I$15)+SUMPRODUCT('Coef Fabricacion'!$T$66:$AA$66,Volumenes!$B$28:$I$28)+SUMPRODUCT('Coef Recargas'!$D$47:$T$47,Volumenes!$B$54:$R$54)</f>
        <v>201243</v>
      </c>
      <c r="N55" s="48">
        <f t="shared" si="1"/>
        <v>5.826375217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7" t="s">
        <v>566</v>
      </c>
      <c r="B56" s="44" t="s">
        <v>567</v>
      </c>
      <c r="C56" s="15" t="s">
        <v>224</v>
      </c>
      <c r="D56" s="19">
        <f>SUMPRODUCT('Coef Fabricacion'!$D$67:$K$67,Volumenes!$B$32:$I$32)+SUMPRODUCT('Coef Fabricacion'!$L$67:$S$67,Volumenes!$B$6:$I$6)+SUMPRODUCT('Coef Fabricacion'!$T$67:$AA$67,Volumenes!$B$19:$I$19)</f>
        <v>6822</v>
      </c>
      <c r="E56" s="19">
        <f>SUMPRODUCT('Coef Fabricacion'!$D$67:$K$67,Volumenes!$B$33:$I$33)+SUMPRODUCT('Coef Fabricacion'!$L$67:$S$67,Volumenes!$B$7:$I$7)+SUMPRODUCT('Coef Fabricacion'!$T$67:$AA$67,Volumenes!$B$20:$I$20)</f>
        <v>10730</v>
      </c>
      <c r="F56" s="19">
        <f>SUMPRODUCT('Coef Fabricacion'!$D$67:$K$67,Volumenes!$B$34:$I$34)+SUMPRODUCT('Coef Fabricacion'!$L$67:$S$67,Volumenes!$B$8:$I$8)+SUMPRODUCT('Coef Fabricacion'!$T$67:$AA$67,Volumenes!$B$21:$I$21)</f>
        <v>13186</v>
      </c>
      <c r="G56" s="19">
        <f>SUMPRODUCT('Coef Fabricacion'!$D$67:$K$67,Volumenes!$B$35:$I$35)+SUMPRODUCT('Coef Fabricacion'!$L$67:$S$67,Volumenes!$B$9:$I$9)+SUMPRODUCT('Coef Fabricacion'!$T$67:$AA$67,Volumenes!$B$22:$I$22)</f>
        <v>17149</v>
      </c>
      <c r="H56" s="19">
        <f>SUMPRODUCT('Coef Fabricacion'!$D$67:$K$67,Volumenes!$B$36:$I$36)+SUMPRODUCT('Coef Fabricacion'!$L$67:$S$67,Volumenes!$B$10:$I$10)+SUMPRODUCT('Coef Fabricacion'!$T$67:$AA$67,Volumenes!$B$23:$I$23)</f>
        <v>26415</v>
      </c>
      <c r="I56" s="19">
        <f>SUMPRODUCT('Coef Fabricacion'!$D$67:$K$67,Volumenes!$B$37:$I$37)+SUMPRODUCT('Coef Fabricacion'!$L$67:$S$67,Volumenes!$B$11:$I$11)+SUMPRODUCT('Coef Fabricacion'!$T$67:$AA$67,Volumenes!$B$24:$I$24)</f>
        <v>34350</v>
      </c>
      <c r="J56" s="19">
        <f>SUMPRODUCT('Coef Fabricacion'!$D$67:$K$67,Volumenes!$B$38:$I$38)+SUMPRODUCT('Coef Fabricacion'!$L$67:$S$67,Volumenes!$B$12:$I$12)+SUMPRODUCT('Coef Fabricacion'!$T$67:$AA$67,Volumenes!$B$25:$I$25)</f>
        <v>44441</v>
      </c>
      <c r="K56" s="19">
        <f>SUMPRODUCT('Coef Fabricacion'!$D$67:$K$67,Volumenes!$B$39:$I$39)+SUMPRODUCT('Coef Fabricacion'!$L$67:$S$67,Volumenes!$B$13:$I$13)+SUMPRODUCT('Coef Fabricacion'!$T$67:$AA$67,Volumenes!$B$26:$I$26)</f>
        <v>55000</v>
      </c>
      <c r="L56" s="19">
        <f>SUMPRODUCT('Coef Fabricacion'!$D$67:$K$67,Volumenes!$B$40:$I$40)+SUMPRODUCT('Coef Fabricacion'!$L$67:$S$67,Volumenes!$B$14:$I$14)+SUMPRODUCT('Coef Fabricacion'!$T$67:$AA$67,Volumenes!$B$27:$I$27)</f>
        <v>63348</v>
      </c>
      <c r="M56" s="19">
        <f>SUMPRODUCT('Coef Fabricacion'!$D$67:$K$67,Volumenes!$B$41:$I$41)+SUMPRODUCT('Coef Fabricacion'!$L$67:$S$67,Volumenes!$B$15:$I$15)+SUMPRODUCT('Coef Fabricacion'!$T$67:$AA$67,Volumenes!$B$28:$I$28)</f>
        <v>72090</v>
      </c>
      <c r="N56" s="48">
        <f t="shared" si="1"/>
        <v>5.467162142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7" t="s">
        <v>569</v>
      </c>
      <c r="B57" s="44" t="s">
        <v>570</v>
      </c>
      <c r="C57" s="15" t="s">
        <v>224</v>
      </c>
      <c r="D57" s="19">
        <f>SUMPRODUCT('Coef Fabricacion'!$D$68:$K$68,Volumenes!$B$32:$I$32)+SUMPRODUCT('Coef Fabricacion'!$L$68:$S$68,Volumenes!$B$6:$I$6)+SUMPRODUCT('Coef Fabricacion'!$T$68:$AA$68,Volumenes!$B$19:$I$19)</f>
        <v>136</v>
      </c>
      <c r="E57" s="19">
        <f>SUMPRODUCT('Coef Fabricacion'!$D$68:$K$68,Volumenes!$B$33:$I$33)+SUMPRODUCT('Coef Fabricacion'!$L$68:$S$68,Volumenes!$B$7:$I$7)+SUMPRODUCT('Coef Fabricacion'!$T$68:$AA$68,Volumenes!$B$20:$I$20)</f>
        <v>233</v>
      </c>
      <c r="F57" s="19">
        <f>SUMPRODUCT('Coef Fabricacion'!$D$68:$K$68,Volumenes!$B$34:$I$34)+SUMPRODUCT('Coef Fabricacion'!$L$68:$S$68,Volumenes!$B$8:$I$8)+SUMPRODUCT('Coef Fabricacion'!$T$68:$AA$68,Volumenes!$B$21:$I$21)</f>
        <v>302</v>
      </c>
      <c r="G57" s="19">
        <f>SUMPRODUCT('Coef Fabricacion'!$D$68:$K$68,Volumenes!$B$35:$I$35)+SUMPRODUCT('Coef Fabricacion'!$L$68:$S$68,Volumenes!$B$9:$I$9)+SUMPRODUCT('Coef Fabricacion'!$T$68:$AA$68,Volumenes!$B$22:$I$22)</f>
        <v>402</v>
      </c>
      <c r="H57" s="19">
        <f>SUMPRODUCT('Coef Fabricacion'!$D$68:$K$68,Volumenes!$B$36:$I$36)+SUMPRODUCT('Coef Fabricacion'!$L$68:$S$68,Volumenes!$B$10:$I$10)+SUMPRODUCT('Coef Fabricacion'!$T$68:$AA$68,Volumenes!$B$23:$I$23)</f>
        <v>623</v>
      </c>
      <c r="I57" s="19">
        <f>SUMPRODUCT('Coef Fabricacion'!$D$68:$K$68,Volumenes!$B$37:$I$37)+SUMPRODUCT('Coef Fabricacion'!$L$68:$S$68,Volumenes!$B$11:$I$11)+SUMPRODUCT('Coef Fabricacion'!$T$68:$AA$68,Volumenes!$B$24:$I$24)</f>
        <v>846</v>
      </c>
      <c r="J57" s="19">
        <f>SUMPRODUCT('Coef Fabricacion'!$D$68:$K$68,Volumenes!$B$38:$I$38)+SUMPRODUCT('Coef Fabricacion'!$L$68:$S$68,Volumenes!$B$12:$I$12)+SUMPRODUCT('Coef Fabricacion'!$T$68:$AA$68,Volumenes!$B$25:$I$25)</f>
        <v>1090</v>
      </c>
      <c r="K57" s="19">
        <f>SUMPRODUCT('Coef Fabricacion'!$D$68:$K$68,Volumenes!$B$39:$I$39)+SUMPRODUCT('Coef Fabricacion'!$L$68:$S$68,Volumenes!$B$13:$I$13)+SUMPRODUCT('Coef Fabricacion'!$T$68:$AA$68,Volumenes!$B$26:$I$26)</f>
        <v>1352</v>
      </c>
      <c r="L57" s="19">
        <f>SUMPRODUCT('Coef Fabricacion'!$D$68:$K$68,Volumenes!$B$40:$I$40)+SUMPRODUCT('Coef Fabricacion'!$L$68:$S$68,Volumenes!$B$14:$I$14)+SUMPRODUCT('Coef Fabricacion'!$T$68:$AA$68,Volumenes!$B$27:$I$27)</f>
        <v>1574</v>
      </c>
      <c r="M57" s="19">
        <f>SUMPRODUCT('Coef Fabricacion'!$D$68:$K$68,Volumenes!$B$41:$I$41)+SUMPRODUCT('Coef Fabricacion'!$L$68:$S$68,Volumenes!$B$15:$I$15)+SUMPRODUCT('Coef Fabricacion'!$T$68:$AA$68,Volumenes!$B$28:$I$28)</f>
        <v>1813</v>
      </c>
      <c r="N57" s="48">
        <f t="shared" si="1"/>
        <v>6.003311258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7" t="s">
        <v>571</v>
      </c>
      <c r="B58" s="44" t="s">
        <v>572</v>
      </c>
      <c r="C58" s="15" t="s">
        <v>573</v>
      </c>
      <c r="D58" s="19">
        <f>SUMPRODUCT('Coef Fabricacion'!$D$69:$K$69,Volumenes!$B$32:$I$32)+SUMPRODUCT('Coef Fabricacion'!$L$69:$S$69,Volumenes!$B$6:$I$6)+SUMPRODUCT('Coef Fabricacion'!$T$69:$AA$69,Volumenes!$B$19:$I$19)</f>
        <v>136</v>
      </c>
      <c r="E58" s="19">
        <f>SUMPRODUCT('Coef Fabricacion'!$D$69:$K$69,Volumenes!$B$33:$I$33)+SUMPRODUCT('Coef Fabricacion'!$L$69:$S$69,Volumenes!$B$7:$I$7)+SUMPRODUCT('Coef Fabricacion'!$T$69:$AA$69,Volumenes!$B$20:$I$20)</f>
        <v>233</v>
      </c>
      <c r="F58" s="19">
        <f>SUMPRODUCT('Coef Fabricacion'!$D$69:$K$69,Volumenes!$B$34:$I$34)+SUMPRODUCT('Coef Fabricacion'!$L$69:$S$69,Volumenes!$B$8:$I$8)+SUMPRODUCT('Coef Fabricacion'!$T$69:$AA$69,Volumenes!$B$21:$I$21)</f>
        <v>302</v>
      </c>
      <c r="G58" s="19">
        <f>SUMPRODUCT('Coef Fabricacion'!$D$69:$K$69,Volumenes!$B$35:$I$35)+SUMPRODUCT('Coef Fabricacion'!$L$69:$S$69,Volumenes!$B$9:$I$9)+SUMPRODUCT('Coef Fabricacion'!$T$69:$AA$69,Volumenes!$B$22:$I$22)</f>
        <v>402</v>
      </c>
      <c r="H58" s="19">
        <f>SUMPRODUCT('Coef Fabricacion'!$D$69:$K$69,Volumenes!$B$36:$I$36)+SUMPRODUCT('Coef Fabricacion'!$L$69:$S$69,Volumenes!$B$10:$I$10)+SUMPRODUCT('Coef Fabricacion'!$T$69:$AA$69,Volumenes!$B$23:$I$23)</f>
        <v>623</v>
      </c>
      <c r="I58" s="19">
        <f>SUMPRODUCT('Coef Fabricacion'!$D$69:$K$69,Volumenes!$B$37:$I$37)+SUMPRODUCT('Coef Fabricacion'!$L$69:$S$69,Volumenes!$B$11:$I$11)+SUMPRODUCT('Coef Fabricacion'!$T$69:$AA$69,Volumenes!$B$24:$I$24)</f>
        <v>846</v>
      </c>
      <c r="J58" s="19">
        <f>SUMPRODUCT('Coef Fabricacion'!$D$69:$K$69,Volumenes!$B$38:$I$38)+SUMPRODUCT('Coef Fabricacion'!$L$69:$S$69,Volumenes!$B$12:$I$12)+SUMPRODUCT('Coef Fabricacion'!$T$69:$AA$69,Volumenes!$B$25:$I$25)</f>
        <v>1090</v>
      </c>
      <c r="K58" s="19">
        <f>SUMPRODUCT('Coef Fabricacion'!$D$69:$K$69,Volumenes!$B$39:$I$39)+SUMPRODUCT('Coef Fabricacion'!$L$69:$S$69,Volumenes!$B$13:$I$13)+SUMPRODUCT('Coef Fabricacion'!$T$69:$AA$69,Volumenes!$B$26:$I$26)</f>
        <v>1352</v>
      </c>
      <c r="L58" s="19">
        <f>SUMPRODUCT('Coef Fabricacion'!$D$69:$K$69,Volumenes!$B$40:$I$40)+SUMPRODUCT('Coef Fabricacion'!$L$69:$S$69,Volumenes!$B$14:$I$14)+SUMPRODUCT('Coef Fabricacion'!$T$69:$AA$69,Volumenes!$B$27:$I$27)</f>
        <v>1574</v>
      </c>
      <c r="M58" s="19">
        <f>SUMPRODUCT('Coef Fabricacion'!$D$69:$K$69,Volumenes!$B$41:$I$41)+SUMPRODUCT('Coef Fabricacion'!$L$69:$S$69,Volumenes!$B$15:$I$15)+SUMPRODUCT('Coef Fabricacion'!$T$69:$AA$69,Volumenes!$B$28:$I$28)</f>
        <v>1813</v>
      </c>
      <c r="N58" s="48">
        <f t="shared" si="1"/>
        <v>6.003311258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7" t="s">
        <v>588</v>
      </c>
      <c r="B59" s="44" t="s">
        <v>589</v>
      </c>
      <c r="C59" s="15" t="s">
        <v>224</v>
      </c>
      <c r="D59" s="19">
        <f>SUMPRODUCT('Coef Recargas'!$D$48:$T$48,Volumenes!$B$45:$R$45)</f>
        <v>68.95</v>
      </c>
      <c r="E59" s="19">
        <f>SUMPRODUCT('Coef Recargas'!$D$48:$T$48,Volumenes!$B$46:$R$46)</f>
        <v>280.7</v>
      </c>
      <c r="F59" s="19">
        <f>SUMPRODUCT('Coef Recargas'!$D$48:$T$48,Volumenes!$B$47:$R$47)</f>
        <v>638.75</v>
      </c>
      <c r="G59" s="19">
        <f>SUMPRODUCT('Coef Recargas'!$D$48:$T$48,Volumenes!$B$48:$R$48)</f>
        <v>1200.85</v>
      </c>
      <c r="H59" s="19">
        <f>SUMPRODUCT('Coef Recargas'!$D$48:$T$48,Volumenes!$B$49:$R$49)</f>
        <v>1733.55</v>
      </c>
      <c r="I59" s="19">
        <f>SUMPRODUCT('Coef Recargas'!$D$48:$T$48,Volumenes!$B$50:$R$50)</f>
        <v>2305.45</v>
      </c>
      <c r="J59" s="19">
        <f>SUMPRODUCT('Coef Recargas'!$D$48:$T$48,Volumenes!$B$51:$R$51)</f>
        <v>2828</v>
      </c>
      <c r="K59" s="19">
        <f>SUMPRODUCT('Coef Recargas'!$D$48:$T$48,Volumenes!$B$52:$R$52)</f>
        <v>3143</v>
      </c>
      <c r="L59" s="19">
        <f>SUMPRODUCT('Coef Recargas'!$D$48:$T$48,Volumenes!$B$53:$R$53)</f>
        <v>3397.1</v>
      </c>
      <c r="M59" s="19">
        <f>SUMPRODUCT('Coef Recargas'!$D$48:$T$48,Volumenes!$B$54:$R$54)</f>
        <v>3655.4</v>
      </c>
      <c r="N59" s="48">
        <f t="shared" si="1"/>
        <v>5.722739726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7" t="s">
        <v>575</v>
      </c>
      <c r="B60" s="44" t="s">
        <v>576</v>
      </c>
      <c r="C60" s="15" t="s">
        <v>224</v>
      </c>
      <c r="D60" s="19">
        <f>SUMPRODUCT('Coef Fabricacion'!$D$70:$K$70,Volumenes!$B$32:$I$32)+SUMPRODUCT('Coef Fabricacion'!$L$70:$S$70,Volumenes!$B$6:$I$6)+SUMPRODUCT('Coef Fabricacion'!$T$70:$AA$70,Volumenes!$B$19:$I$19)</f>
        <v>6958</v>
      </c>
      <c r="E60" s="19">
        <f>SUMPRODUCT('Coef Fabricacion'!$D$70:$K$70,Volumenes!$B$33:$I$33)+SUMPRODUCT('Coef Fabricacion'!$L$70:$S$70,Volumenes!$B$7:$I$7)+SUMPRODUCT('Coef Fabricacion'!$T$70:$AA$70,Volumenes!$B$20:$I$20)</f>
        <v>10963</v>
      </c>
      <c r="F60" s="19">
        <f>SUMPRODUCT('Coef Fabricacion'!$D$70:$K$70,Volumenes!$B$34:$I$34)+SUMPRODUCT('Coef Fabricacion'!$L$70:$S$70,Volumenes!$B$8:$I$8)+SUMPRODUCT('Coef Fabricacion'!$T$70:$AA$70,Volumenes!$B$21:$I$21)</f>
        <v>13488</v>
      </c>
      <c r="G60" s="19">
        <f>SUMPRODUCT('Coef Fabricacion'!$D$70:$K$70,Volumenes!$B$35:$I$35)+SUMPRODUCT('Coef Fabricacion'!$L$70:$S$70,Volumenes!$B$9:$I$9)+SUMPRODUCT('Coef Fabricacion'!$T$70:$AA$70,Volumenes!$B$22:$I$22)</f>
        <v>17551</v>
      </c>
      <c r="H60" s="19">
        <f>SUMPRODUCT('Coef Fabricacion'!$D$70:$K$70,Volumenes!$B$36:$I$36)+SUMPRODUCT('Coef Fabricacion'!$L$70:$S$70,Volumenes!$B$10:$I$10)+SUMPRODUCT('Coef Fabricacion'!$T$70:$AA$70,Volumenes!$B$23:$I$23)</f>
        <v>27038</v>
      </c>
      <c r="I60" s="19">
        <f>SUMPRODUCT('Coef Fabricacion'!$D$70:$K$70,Volumenes!$B$37:$I$37)+SUMPRODUCT('Coef Fabricacion'!$L$70:$S$70,Volumenes!$B$11:$I$11)+SUMPRODUCT('Coef Fabricacion'!$T$70:$AA$70,Volumenes!$B$24:$I$24)</f>
        <v>35196</v>
      </c>
      <c r="J60" s="19">
        <f>SUMPRODUCT('Coef Fabricacion'!$D$70:$K$70,Volumenes!$B$38:$I$38)+SUMPRODUCT('Coef Fabricacion'!$L$70:$S$70,Volumenes!$B$12:$I$12)+SUMPRODUCT('Coef Fabricacion'!$T$70:$AA$70,Volumenes!$B$25:$I$25)</f>
        <v>45531</v>
      </c>
      <c r="K60" s="19">
        <f>SUMPRODUCT('Coef Fabricacion'!$D$70:$K$70,Volumenes!$B$39:$I$39)+SUMPRODUCT('Coef Fabricacion'!$L$70:$S$70,Volumenes!$B$13:$I$13)+SUMPRODUCT('Coef Fabricacion'!$T$70:$AA$70,Volumenes!$B$26:$I$26)</f>
        <v>56352</v>
      </c>
      <c r="L60" s="19">
        <f>SUMPRODUCT('Coef Fabricacion'!$D$70:$K$70,Volumenes!$B$40:$I$40)+SUMPRODUCT('Coef Fabricacion'!$L$70:$S$70,Volumenes!$B$14:$I$14)+SUMPRODUCT('Coef Fabricacion'!$T$70:$AA$70,Volumenes!$B$27:$I$27)</f>
        <v>64922</v>
      </c>
      <c r="M60" s="19">
        <f>SUMPRODUCT('Coef Fabricacion'!$D$70:$K$70,Volumenes!$B$41:$I$41)+SUMPRODUCT('Coef Fabricacion'!$L$70:$S$70,Volumenes!$B$15:$I$15)+SUMPRODUCT('Coef Fabricacion'!$T$70:$AA$70,Volumenes!$B$28:$I$28)</f>
        <v>73903</v>
      </c>
      <c r="N60" s="48">
        <f t="shared" si="1"/>
        <v>5.479166667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7" t="s">
        <v>591</v>
      </c>
      <c r="B61" s="44" t="s">
        <v>592</v>
      </c>
      <c r="C61" s="15" t="s">
        <v>224</v>
      </c>
      <c r="D61" s="19">
        <f>SUMPRODUCT('Coef Recargas'!$D$49:$T$49,Volumenes!$B$45:$R$45)</f>
        <v>2336</v>
      </c>
      <c r="E61" s="19">
        <f>SUMPRODUCT('Coef Recargas'!$D$49:$T$49,Volumenes!$B$46:$R$46)</f>
        <v>10500</v>
      </c>
      <c r="F61" s="19">
        <f>SUMPRODUCT('Coef Recargas'!$D$49:$T$49,Volumenes!$B$47:$R$47)</f>
        <v>21052</v>
      </c>
      <c r="G61" s="19">
        <f>SUMPRODUCT('Coef Recargas'!$D$49:$T$49,Volumenes!$B$48:$R$48)</f>
        <v>39048</v>
      </c>
      <c r="H61" s="19">
        <f>SUMPRODUCT('Coef Recargas'!$D$49:$T$49,Volumenes!$B$49:$R$49)</f>
        <v>57477</v>
      </c>
      <c r="I61" s="19">
        <f>SUMPRODUCT('Coef Recargas'!$D$49:$T$49,Volumenes!$B$50:$R$50)</f>
        <v>78233</v>
      </c>
      <c r="J61" s="19">
        <f>SUMPRODUCT('Coef Recargas'!$D$49:$T$49,Volumenes!$B$51:$R$51)</f>
        <v>97162</v>
      </c>
      <c r="K61" s="19">
        <f>SUMPRODUCT('Coef Recargas'!$D$49:$T$49,Volumenes!$B$52:$R$52)</f>
        <v>110461</v>
      </c>
      <c r="L61" s="19">
        <f>SUMPRODUCT('Coef Recargas'!$D$49:$T$49,Volumenes!$B$53:$R$53)</f>
        <v>118813</v>
      </c>
      <c r="M61" s="19">
        <f>SUMPRODUCT('Coef Recargas'!$D$49:$T$49,Volumenes!$B$54:$R$54)</f>
        <v>127340</v>
      </c>
      <c r="N61" s="48">
        <f t="shared" si="1"/>
        <v>6.048831465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7" t="s">
        <v>578</v>
      </c>
      <c r="B62" s="44" t="s">
        <v>579</v>
      </c>
      <c r="C62" s="15" t="s">
        <v>224</v>
      </c>
      <c r="D62" s="19">
        <f>SUMPRODUCT('Coef Fabricacion'!$D$71:$K$71,Volumenes!$B$32:$I$32)+SUMPRODUCT('Coef Fabricacion'!$L$71:$S$71,Volumenes!$B$6:$I$6)+SUMPRODUCT('Coef Fabricacion'!$T$71:$AA$71,Volumenes!$B$19:$I$19)+SUMPRODUCT('Coef Recargas'!$D$50:$T$50,Volumenes!$B$45:$R$45)</f>
        <v>9294</v>
      </c>
      <c r="E62" s="19">
        <f>SUMPRODUCT('Coef Fabricacion'!$D$71:$K$71,Volumenes!$B$33:$I$33)+SUMPRODUCT('Coef Fabricacion'!$L$71:$S$71,Volumenes!$B$7:$I$7)+SUMPRODUCT('Coef Fabricacion'!$T$71:$AA$71,Volumenes!$B$20:$I$20)+SUMPRODUCT('Coef Recargas'!$D$50:$T$50,Volumenes!$B$46:$R$46)</f>
        <v>21463</v>
      </c>
      <c r="F62" s="19">
        <f>SUMPRODUCT('Coef Fabricacion'!$D$71:$K$71,Volumenes!$B$34:$I$34)+SUMPRODUCT('Coef Fabricacion'!$L$71:$S$71,Volumenes!$B$8:$I$8)+SUMPRODUCT('Coef Fabricacion'!$T$71:$AA$71,Volumenes!$B$21:$I$21)+SUMPRODUCT('Coef Recargas'!$D$50:$T$50,Volumenes!$B$47:$R$47)</f>
        <v>34540</v>
      </c>
      <c r="G62" s="19">
        <f>SUMPRODUCT('Coef Fabricacion'!$D$71:$K$71,Volumenes!$B$35:$I$35)+SUMPRODUCT('Coef Fabricacion'!$L$71:$S$71,Volumenes!$B$9:$I$9)+SUMPRODUCT('Coef Fabricacion'!$T$71:$AA$71,Volumenes!$B$22:$I$22)+SUMPRODUCT('Coef Recargas'!$D$50:$T$50,Volumenes!$B$48:$R$48)</f>
        <v>56599</v>
      </c>
      <c r="H62" s="19">
        <f>SUMPRODUCT('Coef Fabricacion'!$D$71:$K$71,Volumenes!$B$36:$I$36)+SUMPRODUCT('Coef Fabricacion'!$L$71:$S$71,Volumenes!$B$10:$I$10)+SUMPRODUCT('Coef Fabricacion'!$T$71:$AA$71,Volumenes!$B$23:$I$23)+SUMPRODUCT('Coef Recargas'!$D$50:$T$50,Volumenes!$B$49:$R$49)</f>
        <v>84515</v>
      </c>
      <c r="I62" s="19">
        <f>SUMPRODUCT('Coef Fabricacion'!$D$71:$K$71,Volumenes!$B$37:$I$37)+SUMPRODUCT('Coef Fabricacion'!$L$71:$S$71,Volumenes!$B$11:$I$11)+SUMPRODUCT('Coef Fabricacion'!$T$71:$AA$71,Volumenes!$B$24:$I$24)+SUMPRODUCT('Coef Recargas'!$D$50:$T$50,Volumenes!$B$50:$R$50)</f>
        <v>113429</v>
      </c>
      <c r="J62" s="19">
        <f>SUMPRODUCT('Coef Fabricacion'!$D$71:$K$71,Volumenes!$B$38:$I$38)+SUMPRODUCT('Coef Fabricacion'!$L$71:$S$71,Volumenes!$B$12:$I$12)+SUMPRODUCT('Coef Fabricacion'!$T$71:$AA$71,Volumenes!$B$25:$I$25)+SUMPRODUCT('Coef Recargas'!$D$50:$T$50,Volumenes!$B$51:$R$51)</f>
        <v>142693</v>
      </c>
      <c r="K62" s="19">
        <f>SUMPRODUCT('Coef Fabricacion'!$D$71:$K$71,Volumenes!$B$39:$I$39)+SUMPRODUCT('Coef Fabricacion'!$L$71:$S$71,Volumenes!$B$13:$I$13)+SUMPRODUCT('Coef Fabricacion'!$T$71:$AA$71,Volumenes!$B$26:$I$26)+SUMPRODUCT('Coef Recargas'!$D$50:$T$50,Volumenes!$B$52:$R$52)</f>
        <v>166813</v>
      </c>
      <c r="L62" s="19">
        <f>SUMPRODUCT('Coef Fabricacion'!$D$71:$K$71,Volumenes!$B$40:$I$40)+SUMPRODUCT('Coef Fabricacion'!$L$71:$S$71,Volumenes!$B$14:$I$14)+SUMPRODUCT('Coef Fabricacion'!$T$71:$AA$71,Volumenes!$B$27:$I$27)+SUMPRODUCT('Coef Recargas'!$D$50:$T$50,Volumenes!$B$53:$R$53)</f>
        <v>183735</v>
      </c>
      <c r="M62" s="19">
        <f>SUMPRODUCT('Coef Fabricacion'!$D$71:$K$71,Volumenes!$B$41:$I$41)+SUMPRODUCT('Coef Fabricacion'!$L$71:$S$71,Volumenes!$B$15:$I$15)+SUMPRODUCT('Coef Fabricacion'!$T$71:$AA$71,Volumenes!$B$28:$I$28)+SUMPRODUCT('Coef Recargas'!$D$50:$T$50,Volumenes!$B$54:$R$54)</f>
        <v>201243</v>
      </c>
      <c r="N62" s="48">
        <f t="shared" si="1"/>
        <v>5.826375217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7" t="s">
        <v>580</v>
      </c>
      <c r="B63" s="44" t="s">
        <v>581</v>
      </c>
      <c r="C63" s="15" t="s">
        <v>224</v>
      </c>
      <c r="D63" s="19">
        <f>SUMPRODUCT('Coef Fabricacion'!$D$72:$K$72,Volumenes!$B$32:$I$32)+SUMPRODUCT('Coef Fabricacion'!$L$72:$S$72,Volumenes!$B$6:$I$6)+SUMPRODUCT('Coef Fabricacion'!$T$72:$AA$72,Volumenes!$B$19:$I$19)</f>
        <v>3339.5</v>
      </c>
      <c r="E63" s="19">
        <f>SUMPRODUCT('Coef Fabricacion'!$D$72:$K$72,Volumenes!$B$33:$I$33)+SUMPRODUCT('Coef Fabricacion'!$L$72:$S$72,Volumenes!$B$7:$I$7)+SUMPRODUCT('Coef Fabricacion'!$T$72:$AA$72,Volumenes!$B$20:$I$20)</f>
        <v>5732.5</v>
      </c>
      <c r="F63" s="19">
        <f>SUMPRODUCT('Coef Fabricacion'!$D$72:$K$72,Volumenes!$B$34:$I$34)+SUMPRODUCT('Coef Fabricacion'!$L$72:$S$72,Volumenes!$B$8:$I$8)+SUMPRODUCT('Coef Fabricacion'!$T$72:$AA$72,Volumenes!$B$21:$I$21)</f>
        <v>7476</v>
      </c>
      <c r="G63" s="19">
        <f>SUMPRODUCT('Coef Fabricacion'!$D$72:$K$72,Volumenes!$B$35:$I$35)+SUMPRODUCT('Coef Fabricacion'!$L$72:$S$72,Volumenes!$B$9:$I$9)+SUMPRODUCT('Coef Fabricacion'!$T$72:$AA$72,Volumenes!$B$22:$I$22)</f>
        <v>10093.16667</v>
      </c>
      <c r="H63" s="19">
        <f>SUMPRODUCT('Coef Fabricacion'!$D$72:$K$72,Volumenes!$B$36:$I$36)+SUMPRODUCT('Coef Fabricacion'!$L$72:$S$72,Volumenes!$B$10:$I$10)+SUMPRODUCT('Coef Fabricacion'!$T$72:$AA$72,Volumenes!$B$23:$I$23)</f>
        <v>15847.5</v>
      </c>
      <c r="I63" s="19">
        <f>SUMPRODUCT('Coef Fabricacion'!$D$72:$K$72,Volumenes!$B$37:$I$37)+SUMPRODUCT('Coef Fabricacion'!$L$72:$S$72,Volumenes!$B$11:$I$11)+SUMPRODUCT('Coef Fabricacion'!$T$72:$AA$72,Volumenes!$B$24:$I$24)</f>
        <v>21333.33333</v>
      </c>
      <c r="J63" s="19">
        <f>SUMPRODUCT('Coef Fabricacion'!$D$72:$K$72,Volumenes!$B$38:$I$38)+SUMPRODUCT('Coef Fabricacion'!$L$72:$S$72,Volumenes!$B$12:$I$12)+SUMPRODUCT('Coef Fabricacion'!$T$72:$AA$72,Volumenes!$B$25:$I$25)</f>
        <v>27496.83333</v>
      </c>
      <c r="K63" s="19">
        <f>SUMPRODUCT('Coef Fabricacion'!$D$72:$K$72,Volumenes!$B$39:$I$39)+SUMPRODUCT('Coef Fabricacion'!$L$72:$S$72,Volumenes!$B$13:$I$13)+SUMPRODUCT('Coef Fabricacion'!$T$72:$AA$72,Volumenes!$B$26:$I$26)</f>
        <v>34056.66667</v>
      </c>
      <c r="L63" s="19">
        <f>SUMPRODUCT('Coef Fabricacion'!$D$72:$K$72,Volumenes!$B$40:$I$40)+SUMPRODUCT('Coef Fabricacion'!$L$72:$S$72,Volumenes!$B$14:$I$14)+SUMPRODUCT('Coef Fabricacion'!$T$72:$AA$72,Volumenes!$B$27:$I$27)</f>
        <v>39537.16667</v>
      </c>
      <c r="M63" s="19">
        <f>SUMPRODUCT('Coef Fabricacion'!$D$72:$K$72,Volumenes!$B$41:$I$41)+SUMPRODUCT('Coef Fabricacion'!$L$72:$S$72,Volumenes!$B$15:$I$15)+SUMPRODUCT('Coef Fabricacion'!$T$72:$AA$72,Volumenes!$B$28:$I$28)</f>
        <v>45362.5</v>
      </c>
      <c r="N63" s="48">
        <f t="shared" si="1"/>
        <v>6.067750134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7" t="s">
        <v>583</v>
      </c>
      <c r="B64" s="44" t="s">
        <v>584</v>
      </c>
      <c r="C64" s="15" t="s">
        <v>224</v>
      </c>
      <c r="D64" s="19">
        <f>SUMPRODUCT('Coef Fabricacion'!$D$73:$K$73,Volumenes!$B$32:$I$32)+SUMPRODUCT('Coef Fabricacion'!$L$73:$S$73,Volumenes!$B$6:$I$6)+SUMPRODUCT('Coef Fabricacion'!$T$73:$AA$73,Volumenes!$B$19:$I$19)</f>
        <v>41.7547619</v>
      </c>
      <c r="E64" s="19">
        <f>SUMPRODUCT('Coef Fabricacion'!$D$73:$K$73,Volumenes!$B$33:$I$33)+SUMPRODUCT('Coef Fabricacion'!$L$73:$S$73,Volumenes!$B$7:$I$7)+SUMPRODUCT('Coef Fabricacion'!$T$73:$AA$73,Volumenes!$B$20:$I$20)</f>
        <v>69.62619048</v>
      </c>
      <c r="F64" s="19">
        <f>SUMPRODUCT('Coef Fabricacion'!$D$73:$K$73,Volumenes!$B$34:$I$34)+SUMPRODUCT('Coef Fabricacion'!$L$73:$S$73,Volumenes!$B$8:$I$8)+SUMPRODUCT('Coef Fabricacion'!$T$73:$AA$73,Volumenes!$B$21:$I$21)</f>
        <v>120.0095849</v>
      </c>
      <c r="G64" s="19">
        <f>SUMPRODUCT('Coef Fabricacion'!$D$73:$K$73,Volumenes!$B$35:$I$35)+SUMPRODUCT('Coef Fabricacion'!$L$73:$S$73,Volumenes!$B$9:$I$9)+SUMPRODUCT('Coef Fabricacion'!$T$73:$AA$73,Volumenes!$B$22:$I$22)</f>
        <v>224.7184066</v>
      </c>
      <c r="H64" s="19">
        <f>SUMPRODUCT('Coef Fabricacion'!$D$73:$K$73,Volumenes!$B$36:$I$36)+SUMPRODUCT('Coef Fabricacion'!$L$73:$S$73,Volumenes!$B$10:$I$10)+SUMPRODUCT('Coef Fabricacion'!$T$73:$AA$73,Volumenes!$B$23:$I$23)</f>
        <v>382.5162012</v>
      </c>
      <c r="I64" s="19">
        <f>SUMPRODUCT('Coef Fabricacion'!$D$73:$K$73,Volumenes!$B$37:$I$37)+SUMPRODUCT('Coef Fabricacion'!$L$73:$S$73,Volumenes!$B$11:$I$11)+SUMPRODUCT('Coef Fabricacion'!$T$73:$AA$73,Volumenes!$B$24:$I$24)</f>
        <v>533.4201542</v>
      </c>
      <c r="J64" s="19">
        <f>SUMPRODUCT('Coef Fabricacion'!$D$73:$K$73,Volumenes!$B$38:$I$38)+SUMPRODUCT('Coef Fabricacion'!$L$73:$S$73,Volumenes!$B$12:$I$12)+SUMPRODUCT('Coef Fabricacion'!$T$73:$AA$73,Volumenes!$B$25:$I$25)</f>
        <v>723.3256487</v>
      </c>
      <c r="K64" s="19">
        <f>SUMPRODUCT('Coef Fabricacion'!$D$73:$K$73,Volumenes!$B$39:$I$39)+SUMPRODUCT('Coef Fabricacion'!$L$73:$S$73,Volumenes!$B$13:$I$13)+SUMPRODUCT('Coef Fabricacion'!$T$73:$AA$73,Volumenes!$B$26:$I$26)</f>
        <v>917.3548611</v>
      </c>
      <c r="L64" s="19">
        <f>SUMPRODUCT('Coef Fabricacion'!$D$73:$K$73,Volumenes!$B$40:$I$40)+SUMPRODUCT('Coef Fabricacion'!$L$73:$S$73,Volumenes!$B$14:$I$14)+SUMPRODUCT('Coef Fabricacion'!$T$73:$AA$73,Volumenes!$B$27:$I$27)</f>
        <v>1042.215194</v>
      </c>
      <c r="M64" s="19">
        <f>SUMPRODUCT('Coef Fabricacion'!$D$73:$K$73,Volumenes!$B$41:$I$41)+SUMPRODUCT('Coef Fabricacion'!$L$73:$S$73,Volumenes!$B$15:$I$15)+SUMPRODUCT('Coef Fabricacion'!$T$73:$AA$73,Volumenes!$B$28:$I$28)</f>
        <v>1201.525786</v>
      </c>
      <c r="N64" s="48">
        <f t="shared" si="1"/>
        <v>10.01191519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7" t="s">
        <v>586</v>
      </c>
      <c r="B65" s="44" t="s">
        <v>587</v>
      </c>
      <c r="C65" s="15" t="s">
        <v>224</v>
      </c>
      <c r="D65" s="19">
        <f>SUMPRODUCT('Coef Fabricacion'!$D$74:$K$74,Volumenes!$B$32:$I$32)+SUMPRODUCT('Coef Fabricacion'!$L$74:$S$74,Volumenes!$B$6:$I$6)+SUMPRODUCT('Coef Fabricacion'!$T$74:$AA$74,Volumenes!$B$19:$I$19)</f>
        <v>0</v>
      </c>
      <c r="E65" s="19">
        <f>SUMPRODUCT('Coef Fabricacion'!$D$74:$K$74,Volumenes!$B$33:$I$33)+SUMPRODUCT('Coef Fabricacion'!$L$74:$S$74,Volumenes!$B$7:$I$7)+SUMPRODUCT('Coef Fabricacion'!$T$74:$AA$74,Volumenes!$B$20:$I$20)</f>
        <v>0</v>
      </c>
      <c r="F65" s="19">
        <f>SUMPRODUCT('Coef Fabricacion'!$D$74:$K$74,Volumenes!$B$34:$I$34)+SUMPRODUCT('Coef Fabricacion'!$L$74:$S$74,Volumenes!$B$8:$I$8)+SUMPRODUCT('Coef Fabricacion'!$T$74:$AA$74,Volumenes!$B$21:$I$21)</f>
        <v>118.63721</v>
      </c>
      <c r="G65" s="19">
        <f>SUMPRODUCT('Coef Fabricacion'!$D$74:$K$74,Volumenes!$B$35:$I$35)+SUMPRODUCT('Coef Fabricacion'!$L$74:$S$74,Volumenes!$B$9:$I$9)+SUMPRODUCT('Coef Fabricacion'!$T$74:$AA$74,Volumenes!$B$22:$I$22)</f>
        <v>412.8023504</v>
      </c>
      <c r="H65" s="19">
        <f>SUMPRODUCT('Coef Fabricacion'!$D$74:$K$74,Volumenes!$B$36:$I$36)+SUMPRODUCT('Coef Fabricacion'!$L$74:$S$74,Volumenes!$B$10:$I$10)+SUMPRODUCT('Coef Fabricacion'!$T$74:$AA$74,Volumenes!$B$23:$I$23)</f>
        <v>764.6694979</v>
      </c>
      <c r="I65" s="19">
        <f>SUMPRODUCT('Coef Fabricacion'!$D$74:$K$74,Volumenes!$B$37:$I$37)+SUMPRODUCT('Coef Fabricacion'!$L$74:$S$74,Volumenes!$B$11:$I$11)+SUMPRODUCT('Coef Fabricacion'!$T$74:$AA$74,Volumenes!$B$24:$I$24)</f>
        <v>1108.722199</v>
      </c>
      <c r="J65" s="19">
        <f>SUMPRODUCT('Coef Fabricacion'!$D$74:$K$74,Volumenes!$B$38:$I$38)+SUMPRODUCT('Coef Fabricacion'!$L$74:$S$74,Volumenes!$B$12:$I$12)+SUMPRODUCT('Coef Fabricacion'!$T$74:$AA$74,Volumenes!$B$25:$I$25)</f>
        <v>1567.191735</v>
      </c>
      <c r="K65" s="19">
        <f>SUMPRODUCT('Coef Fabricacion'!$D$74:$K$74,Volumenes!$B$39:$I$39)+SUMPRODUCT('Coef Fabricacion'!$L$74:$S$74,Volumenes!$B$13:$I$13)+SUMPRODUCT('Coef Fabricacion'!$T$74:$AA$74,Volumenes!$B$26:$I$26)</f>
        <v>2026.006448</v>
      </c>
      <c r="L65" s="19">
        <f>SUMPRODUCT('Coef Fabricacion'!$D$74:$K$74,Volumenes!$B$40:$I$40)+SUMPRODUCT('Coef Fabricacion'!$L$74:$S$74,Volumenes!$B$14:$I$14)+SUMPRODUCT('Coef Fabricacion'!$T$74:$AA$74,Volumenes!$B$27:$I$27)</f>
        <v>2270.776763</v>
      </c>
      <c r="M65" s="19">
        <f>SUMPRODUCT('Coef Fabricacion'!$D$74:$K$74,Volumenes!$B$41:$I$41)+SUMPRODUCT('Coef Fabricacion'!$L$74:$S$74,Volumenes!$B$15:$I$15)+SUMPRODUCT('Coef Fabricacion'!$T$74:$AA$74,Volumenes!$B$28:$I$28)</f>
        <v>2637.758295</v>
      </c>
      <c r="N65" s="48">
        <f t="shared" si="1"/>
        <v>22.23381935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7" t="s">
        <v>598</v>
      </c>
      <c r="B66" s="44" t="s">
        <v>599</v>
      </c>
      <c r="C66" s="15" t="s">
        <v>224</v>
      </c>
      <c r="D66" s="19">
        <f>SUMPRODUCT('Coef Fabricacion'!$D$75:$K$75,Volumenes!$B$32:$I$32)+SUMPRODUCT('Coef Fabricacion'!$L$75:$S$75,Volumenes!$B$6:$I$6)+SUMPRODUCT('Coef Fabricacion'!$T$75:$AA$75,Volumenes!$B$19:$I$19)</f>
        <v>0</v>
      </c>
      <c r="E66" s="19">
        <f>SUMPRODUCT('Coef Fabricacion'!$D$75:$K$75,Volumenes!$B$33:$I$33)+SUMPRODUCT('Coef Fabricacion'!$L$75:$S$75,Volumenes!$B$7:$I$7)+SUMPRODUCT('Coef Fabricacion'!$T$75:$AA$75,Volumenes!$B$20:$I$20)</f>
        <v>0</v>
      </c>
      <c r="F66" s="19">
        <f>SUMPRODUCT('Coef Fabricacion'!$D$75:$K$75,Volumenes!$B$34:$I$34)+SUMPRODUCT('Coef Fabricacion'!$L$75:$S$75,Volumenes!$B$8:$I$8)+SUMPRODUCT('Coef Fabricacion'!$T$75:$AA$75,Volumenes!$B$21:$I$21)</f>
        <v>9589</v>
      </c>
      <c r="G66" s="19">
        <f>SUMPRODUCT('Coef Fabricacion'!$D$75:$K$75,Volumenes!$B$35:$I$35)+SUMPRODUCT('Coef Fabricacion'!$L$75:$S$75,Volumenes!$B$9:$I$9)+SUMPRODUCT('Coef Fabricacion'!$T$75:$AA$75,Volumenes!$B$22:$I$22)</f>
        <v>33407</v>
      </c>
      <c r="H66" s="19">
        <f>SUMPRODUCT('Coef Fabricacion'!$D$75:$K$75,Volumenes!$B$36:$I$36)+SUMPRODUCT('Coef Fabricacion'!$L$75:$S$75,Volumenes!$B$10:$I$10)+SUMPRODUCT('Coef Fabricacion'!$T$75:$AA$75,Volumenes!$B$23:$I$23)</f>
        <v>61865</v>
      </c>
      <c r="I66" s="19">
        <f>SUMPRODUCT('Coef Fabricacion'!$D$75:$K$75,Volumenes!$B$37:$I$37)+SUMPRODUCT('Coef Fabricacion'!$L$75:$S$75,Volumenes!$B$11:$I$11)+SUMPRODUCT('Coef Fabricacion'!$T$75:$AA$75,Volumenes!$B$24:$I$24)</f>
        <v>89704</v>
      </c>
      <c r="J66" s="19">
        <f>SUMPRODUCT('Coef Fabricacion'!$D$75:$K$75,Volumenes!$B$38:$I$38)+SUMPRODUCT('Coef Fabricacion'!$L$75:$S$75,Volumenes!$B$12:$I$12)+SUMPRODUCT('Coef Fabricacion'!$T$75:$AA$75,Volumenes!$B$25:$I$25)</f>
        <v>126822</v>
      </c>
      <c r="K66" s="19">
        <f>SUMPRODUCT('Coef Fabricacion'!$D$75:$K$75,Volumenes!$B$39:$I$39)+SUMPRODUCT('Coef Fabricacion'!$L$75:$S$75,Volumenes!$B$13:$I$13)+SUMPRODUCT('Coef Fabricacion'!$T$75:$AA$75,Volumenes!$B$26:$I$26)</f>
        <v>163940</v>
      </c>
      <c r="L66" s="19">
        <f>SUMPRODUCT('Coef Fabricacion'!$D$75:$K$75,Volumenes!$B$40:$I$40)+SUMPRODUCT('Coef Fabricacion'!$L$75:$S$75,Volumenes!$B$14:$I$14)+SUMPRODUCT('Coef Fabricacion'!$T$75:$AA$75,Volumenes!$B$27:$I$27)</f>
        <v>183736</v>
      </c>
      <c r="M66" s="19">
        <f>SUMPRODUCT('Coef Fabricacion'!$D$75:$K$75,Volumenes!$B$41:$I$41)+SUMPRODUCT('Coef Fabricacion'!$L$75:$S$75,Volumenes!$B$15:$I$15)+SUMPRODUCT('Coef Fabricacion'!$T$75:$AA$75,Volumenes!$B$28:$I$28)</f>
        <v>213430</v>
      </c>
      <c r="N66" s="48">
        <f t="shared" si="1"/>
        <v>22.25779539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7" t="s">
        <v>601</v>
      </c>
      <c r="B67" s="44" t="s">
        <v>602</v>
      </c>
      <c r="C67" s="15" t="s">
        <v>155</v>
      </c>
      <c r="D67" s="19">
        <f>SUMPRODUCT('Coef Fabricacion'!$D$76:$K$76,Volumenes!$B$32:$I$32)+SUMPRODUCT('Coef Fabricacion'!$L$76:$S$76,Volumenes!$B$6:$I$6)+SUMPRODUCT('Coef Fabricacion'!$T$76:$AA$76,Volumenes!$B$19:$I$19)</f>
        <v>14.61416667</v>
      </c>
      <c r="E67" s="19">
        <f>SUMPRODUCT('Coef Fabricacion'!$D$76:$K$76,Volumenes!$B$33:$I$33)+SUMPRODUCT('Coef Fabricacion'!$L$76:$S$76,Volumenes!$B$7:$I$7)+SUMPRODUCT('Coef Fabricacion'!$T$76:$AA$76,Volumenes!$B$20:$I$20)</f>
        <v>24.36916667</v>
      </c>
      <c r="F67" s="19">
        <f>SUMPRODUCT('Coef Fabricacion'!$D$76:$K$76,Volumenes!$B$34:$I$34)+SUMPRODUCT('Coef Fabricacion'!$L$76:$S$76,Volumenes!$B$8:$I$8)+SUMPRODUCT('Coef Fabricacion'!$T$76:$AA$76,Volumenes!$B$21:$I$21)</f>
        <v>42.0033547</v>
      </c>
      <c r="G67" s="19">
        <f>SUMPRODUCT('Coef Fabricacion'!$D$76:$K$76,Volumenes!$B$35:$I$35)+SUMPRODUCT('Coef Fabricacion'!$L$76:$S$76,Volumenes!$B$9:$I$9)+SUMPRODUCT('Coef Fabricacion'!$T$76:$AA$76,Volumenes!$B$22:$I$22)</f>
        <v>78.65144231</v>
      </c>
      <c r="H67" s="19">
        <f>SUMPRODUCT('Coef Fabricacion'!$D$76:$K$76,Volumenes!$B$36:$I$36)+SUMPRODUCT('Coef Fabricacion'!$L$76:$S$76,Volumenes!$B$10:$I$10)+SUMPRODUCT('Coef Fabricacion'!$T$76:$AA$76,Volumenes!$B$23:$I$23)</f>
        <v>133.8806704</v>
      </c>
      <c r="I67" s="19">
        <f>SUMPRODUCT('Coef Fabricacion'!$D$76:$K$76,Volumenes!$B$37:$I$37)+SUMPRODUCT('Coef Fabricacion'!$L$76:$S$76,Volumenes!$B$11:$I$11)+SUMPRODUCT('Coef Fabricacion'!$T$76:$AA$76,Volumenes!$B$24:$I$24)</f>
        <v>186.697054</v>
      </c>
      <c r="J67" s="19">
        <f>SUMPRODUCT('Coef Fabricacion'!$D$76:$K$76,Volumenes!$B$38:$I$38)+SUMPRODUCT('Coef Fabricacion'!$L$76:$S$76,Volumenes!$B$12:$I$12)+SUMPRODUCT('Coef Fabricacion'!$T$76:$AA$76,Volumenes!$B$25:$I$25)</f>
        <v>253.163977</v>
      </c>
      <c r="K67" s="19">
        <f>SUMPRODUCT('Coef Fabricacion'!$D$76:$K$76,Volumenes!$B$39:$I$39)+SUMPRODUCT('Coef Fabricacion'!$L$76:$S$76,Volumenes!$B$13:$I$13)+SUMPRODUCT('Coef Fabricacion'!$T$76:$AA$76,Volumenes!$B$26:$I$26)</f>
        <v>321.0742014</v>
      </c>
      <c r="L67" s="19">
        <f>SUMPRODUCT('Coef Fabricacion'!$D$76:$K$76,Volumenes!$B$40:$I$40)+SUMPRODUCT('Coef Fabricacion'!$L$76:$S$76,Volumenes!$B$14:$I$14)+SUMPRODUCT('Coef Fabricacion'!$T$76:$AA$76,Volumenes!$B$27:$I$27)</f>
        <v>364.7753178</v>
      </c>
      <c r="M67" s="19">
        <f>SUMPRODUCT('Coef Fabricacion'!$D$76:$K$76,Volumenes!$B$41:$I$41)+SUMPRODUCT('Coef Fabricacion'!$L$76:$S$76,Volumenes!$B$15:$I$15)+SUMPRODUCT('Coef Fabricacion'!$T$76:$AA$76,Volumenes!$B$28:$I$28)</f>
        <v>420.5340251</v>
      </c>
      <c r="N67" s="48">
        <f t="shared" si="1"/>
        <v>10.01191519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7" t="s">
        <v>604</v>
      </c>
      <c r="B68" s="44" t="s">
        <v>605</v>
      </c>
      <c r="C68" s="15" t="s">
        <v>224</v>
      </c>
      <c r="D68" s="19">
        <f>SUMPRODUCT('Coef Fabricacion'!$D$77:$K$77,Volumenes!$B$32:$I$32)+SUMPRODUCT('Coef Fabricacion'!$L$77:$S$77,Volumenes!$B$6:$I$6)+SUMPRODUCT('Coef Fabricacion'!$T$77:$AA$77,Volumenes!$B$19:$I$19)</f>
        <v>167.0190476</v>
      </c>
      <c r="E68" s="19">
        <f>SUMPRODUCT('Coef Fabricacion'!$D$77:$K$77,Volumenes!$B$33:$I$33)+SUMPRODUCT('Coef Fabricacion'!$L$77:$S$77,Volumenes!$B$7:$I$7)+SUMPRODUCT('Coef Fabricacion'!$T$77:$AA$77,Volumenes!$B$20:$I$20)</f>
        <v>278.5047619</v>
      </c>
      <c r="F68" s="19">
        <f>SUMPRODUCT('Coef Fabricacion'!$D$77:$K$77,Volumenes!$B$34:$I$34)+SUMPRODUCT('Coef Fabricacion'!$L$77:$S$77,Volumenes!$B$8:$I$8)+SUMPRODUCT('Coef Fabricacion'!$T$77:$AA$77,Volumenes!$B$21:$I$21)</f>
        <v>480.0383394</v>
      </c>
      <c r="G68" s="19">
        <f>SUMPRODUCT('Coef Fabricacion'!$D$77:$K$77,Volumenes!$B$35:$I$35)+SUMPRODUCT('Coef Fabricacion'!$L$77:$S$77,Volumenes!$B$9:$I$9)+SUMPRODUCT('Coef Fabricacion'!$T$77:$AA$77,Volumenes!$B$22:$I$22)</f>
        <v>898.8736264</v>
      </c>
      <c r="H68" s="19">
        <f>SUMPRODUCT('Coef Fabricacion'!$D$77:$K$77,Volumenes!$B$36:$I$36)+SUMPRODUCT('Coef Fabricacion'!$L$77:$S$77,Volumenes!$B$10:$I$10)+SUMPRODUCT('Coef Fabricacion'!$T$77:$AA$77,Volumenes!$B$23:$I$23)</f>
        <v>1530.064805</v>
      </c>
      <c r="I68" s="19">
        <f>SUMPRODUCT('Coef Fabricacion'!$D$77:$K$77,Volumenes!$B$37:$I$37)+SUMPRODUCT('Coef Fabricacion'!$L$77:$S$77,Volumenes!$B$11:$I$11)+SUMPRODUCT('Coef Fabricacion'!$T$77:$AA$77,Volumenes!$B$24:$I$24)</f>
        <v>2133.680617</v>
      </c>
      <c r="J68" s="19">
        <f>SUMPRODUCT('Coef Fabricacion'!$D$77:$K$77,Volumenes!$B$38:$I$38)+SUMPRODUCT('Coef Fabricacion'!$L$77:$S$77,Volumenes!$B$12:$I$12)+SUMPRODUCT('Coef Fabricacion'!$T$77:$AA$77,Volumenes!$B$25:$I$25)</f>
        <v>2893.302595</v>
      </c>
      <c r="K68" s="19">
        <f>SUMPRODUCT('Coef Fabricacion'!$D$77:$K$77,Volumenes!$B$39:$I$39)+SUMPRODUCT('Coef Fabricacion'!$L$77:$S$77,Volumenes!$B$13:$I$13)+SUMPRODUCT('Coef Fabricacion'!$T$77:$AA$77,Volumenes!$B$26:$I$26)</f>
        <v>3669.419444</v>
      </c>
      <c r="L68" s="19">
        <f>SUMPRODUCT('Coef Fabricacion'!$D$77:$K$77,Volumenes!$B$40:$I$40)+SUMPRODUCT('Coef Fabricacion'!$L$77:$S$77,Volumenes!$B$14:$I$14)+SUMPRODUCT('Coef Fabricacion'!$T$77:$AA$77,Volumenes!$B$27:$I$27)</f>
        <v>4168.860775</v>
      </c>
      <c r="M68" s="19">
        <f>SUMPRODUCT('Coef Fabricacion'!$D$77:$K$77,Volumenes!$B$41:$I$41)+SUMPRODUCT('Coef Fabricacion'!$L$77:$S$77,Volumenes!$B$15:$I$15)+SUMPRODUCT('Coef Fabricacion'!$T$77:$AA$77,Volumenes!$B$28:$I$28)</f>
        <v>4806.103144</v>
      </c>
      <c r="N68" s="48">
        <f t="shared" si="1"/>
        <v>10.01191519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7" t="s">
        <v>594</v>
      </c>
      <c r="B69" s="44" t="s">
        <v>595</v>
      </c>
      <c r="C69" s="15" t="s">
        <v>322</v>
      </c>
      <c r="D69" s="19">
        <f>SUMPRODUCT('Coef Recargas'!$D$51:$T$51,Volumenes!$B$45:$R$45)</f>
        <v>17.52</v>
      </c>
      <c r="E69" s="19">
        <f>SUMPRODUCT('Coef Recargas'!$D$51:$T$51,Volumenes!$B$46:$R$46)</f>
        <v>78.75</v>
      </c>
      <c r="F69" s="19">
        <f>SUMPRODUCT('Coef Recargas'!$D$51:$T$51,Volumenes!$B$47:$R$47)</f>
        <v>157.89</v>
      </c>
      <c r="G69" s="19">
        <f>SUMPRODUCT('Coef Recargas'!$D$51:$T$51,Volumenes!$B$48:$R$48)</f>
        <v>292.86</v>
      </c>
      <c r="H69" s="19">
        <f>SUMPRODUCT('Coef Recargas'!$D$51:$T$51,Volumenes!$B$49:$R$49)</f>
        <v>431.0775</v>
      </c>
      <c r="I69" s="19">
        <f>SUMPRODUCT('Coef Recargas'!$D$51:$T$51,Volumenes!$B$50:$R$50)</f>
        <v>586.7475</v>
      </c>
      <c r="J69" s="19">
        <f>SUMPRODUCT('Coef Recargas'!$D$51:$T$51,Volumenes!$B$51:$R$51)</f>
        <v>728.715</v>
      </c>
      <c r="K69" s="19">
        <f>SUMPRODUCT('Coef Recargas'!$D$51:$T$51,Volumenes!$B$52:$R$52)</f>
        <v>828.4575</v>
      </c>
      <c r="L69" s="19">
        <f>SUMPRODUCT('Coef Recargas'!$D$51:$T$51,Volumenes!$B$53:$R$53)</f>
        <v>891.0975</v>
      </c>
      <c r="M69" s="19">
        <f>SUMPRODUCT('Coef Recargas'!$D$51:$T$51,Volumenes!$B$54:$R$54)</f>
        <v>955.05</v>
      </c>
      <c r="N69" s="48">
        <f t="shared" si="1"/>
        <v>6.048831465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0"/>
    <col customWidth="1" min="2" max="2" width="34.0"/>
    <col customWidth="1" min="3" max="3" width="30.0"/>
    <col customWidth="1" min="4" max="4" width="24.0"/>
    <col customWidth="1" min="5" max="5" width="26.0"/>
    <col customWidth="1" min="6" max="6" width="32.0"/>
    <col customWidth="1" min="7" max="7" width="30.0"/>
    <col customWidth="1" min="8" max="8" width="9.0"/>
    <col customWidth="1" min="9" max="9" width="22.0"/>
    <col customWidth="1" min="10" max="10" width="10.0"/>
    <col customWidth="1" min="11" max="11" width="9.0"/>
    <col customWidth="1" min="12" max="12" width="12.0"/>
    <col customWidth="1" min="13" max="13" width="11.0"/>
    <col customWidth="1" min="14" max="14" width="10.0"/>
    <col customWidth="1" min="15" max="15" width="10.88"/>
    <col customWidth="1" min="16" max="16" width="9.0"/>
    <col customWidth="1" min="17" max="17" width="11.0"/>
    <col customWidth="1" min="18" max="19" width="8.0"/>
    <col customWidth="1" min="20" max="21" width="9.0"/>
    <col customWidth="1" min="22" max="22" width="11.0"/>
    <col customWidth="1" min="23" max="23" width="8.0"/>
    <col customWidth="1" min="24" max="24" width="9.0"/>
    <col customWidth="1" min="25" max="25" width="20.0"/>
    <col customWidth="1" min="26" max="27" width="8.0"/>
    <col customWidth="1" min="28" max="29" width="9.0"/>
    <col customWidth="1" min="30" max="30" width="24.0"/>
    <col customWidth="1" min="31" max="31" width="28.0"/>
    <col customWidth="1" min="32" max="32" width="26.0"/>
    <col customWidth="1" min="33" max="33" width="20.0"/>
    <col customWidth="1" min="34" max="34" width="32.0"/>
    <col customWidth="1" min="35" max="35" width="11.0"/>
    <col customWidth="1" min="36" max="36" width="38.0"/>
    <col customWidth="1" min="37" max="37" width="18.0"/>
    <col customWidth="1" min="38" max="38" width="10.0"/>
  </cols>
  <sheetData>
    <row r="1" ht="19.5" customHeight="1">
      <c r="A1" s="3" t="s">
        <v>610</v>
      </c>
      <c r="B1" s="5"/>
      <c r="C1" s="5"/>
      <c r="D1" s="5"/>
      <c r="E1" s="5"/>
      <c r="F1" s="5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0" customHeight="1">
      <c r="A2" s="7" t="s">
        <v>611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57.75" customHeight="1">
      <c r="A4" s="4" t="s">
        <v>388</v>
      </c>
      <c r="B4" s="4" t="s">
        <v>389</v>
      </c>
      <c r="C4" s="4" t="s">
        <v>612</v>
      </c>
      <c r="D4" s="4" t="s">
        <v>613</v>
      </c>
      <c r="E4" s="4" t="s">
        <v>614</v>
      </c>
      <c r="F4" s="4" t="s">
        <v>615</v>
      </c>
      <c r="G4" s="4" t="s">
        <v>616</v>
      </c>
      <c r="H4" s="4" t="s">
        <v>617</v>
      </c>
      <c r="I4" s="4" t="s">
        <v>618</v>
      </c>
      <c r="J4" s="4" t="s">
        <v>619</v>
      </c>
      <c r="K4" s="4" t="s">
        <v>620</v>
      </c>
      <c r="L4" s="4" t="s">
        <v>621</v>
      </c>
      <c r="M4" s="4" t="s">
        <v>622</v>
      </c>
      <c r="N4" s="4" t="s">
        <v>623</v>
      </c>
      <c r="O4" s="4" t="s">
        <v>624</v>
      </c>
      <c r="P4" s="4" t="s">
        <v>625</v>
      </c>
      <c r="Q4" s="4" t="s">
        <v>626</v>
      </c>
      <c r="R4" s="4" t="s">
        <v>627</v>
      </c>
      <c r="S4" s="4" t="s">
        <v>628</v>
      </c>
      <c r="T4" s="4" t="s">
        <v>629</v>
      </c>
      <c r="U4" s="4" t="s">
        <v>630</v>
      </c>
      <c r="V4" s="4" t="s">
        <v>631</v>
      </c>
      <c r="W4" s="4" t="s">
        <v>632</v>
      </c>
      <c r="X4" s="4" t="s">
        <v>633</v>
      </c>
      <c r="Y4" s="4" t="s">
        <v>634</v>
      </c>
      <c r="Z4" s="4" t="s">
        <v>635</v>
      </c>
      <c r="AA4" s="4" t="s">
        <v>636</v>
      </c>
      <c r="AB4" s="4" t="s">
        <v>637</v>
      </c>
      <c r="AC4" s="4" t="s">
        <v>638</v>
      </c>
      <c r="AD4" s="4" t="s">
        <v>639</v>
      </c>
      <c r="AE4" s="4" t="s">
        <v>640</v>
      </c>
      <c r="AF4" s="4" t="s">
        <v>641</v>
      </c>
      <c r="AG4" s="4" t="s">
        <v>642</v>
      </c>
      <c r="AH4" s="4" t="s">
        <v>643</v>
      </c>
      <c r="AI4" s="4" t="s">
        <v>391</v>
      </c>
      <c r="AJ4" s="4" t="s">
        <v>644</v>
      </c>
      <c r="AK4" s="4" t="s">
        <v>645</v>
      </c>
      <c r="AL4" s="4" t="s">
        <v>646</v>
      </c>
    </row>
    <row r="5" ht="75.0" customHeight="1">
      <c r="A5" s="49" t="s">
        <v>392</v>
      </c>
      <c r="B5" s="44" t="s">
        <v>393</v>
      </c>
      <c r="C5" s="44" t="s">
        <v>647</v>
      </c>
      <c r="D5" s="44" t="s">
        <v>648</v>
      </c>
      <c r="E5" s="44" t="s">
        <v>649</v>
      </c>
      <c r="F5" s="44" t="s">
        <v>650</v>
      </c>
      <c r="G5" s="44" t="s">
        <v>651</v>
      </c>
      <c r="H5" s="44" t="s">
        <v>331</v>
      </c>
      <c r="I5" s="44" t="s">
        <v>652</v>
      </c>
      <c r="J5" s="18">
        <v>61.0</v>
      </c>
      <c r="K5" s="19">
        <f>61*'Geometria Acero'!$C$12</f>
        <v>845.6336669</v>
      </c>
      <c r="L5" s="19">
        <f>'Consumo Anual'!M6</f>
        <v>8809.608696</v>
      </c>
      <c r="M5" s="19">
        <f>L5*Volumenes!$B$57</f>
        <v>1057.153043</v>
      </c>
      <c r="N5" s="27">
        <f>M5/Volumenes!$B$58</f>
        <v>52.85765217</v>
      </c>
      <c r="O5" s="18">
        <v>5.0</v>
      </c>
      <c r="P5" s="18">
        <v>5.0</v>
      </c>
      <c r="Q5" s="19">
        <f t="shared" ref="Q5:Q68" si="1">IF(N5=0,0,MAX(N5*P5,J5))</f>
        <v>264.2882609</v>
      </c>
      <c r="R5" s="19">
        <f t="shared" ref="R5:R68" si="2">IF(Q5=0,0,CEILING(Q5/J5,1))</f>
        <v>5</v>
      </c>
      <c r="S5" s="27">
        <f t="shared" ref="S5:S68" si="3">IF(R5=0,0,L5/(R5*J5))</f>
        <v>28.88396294</v>
      </c>
      <c r="T5" s="19">
        <f t="shared" ref="T5:T68" si="4">IF(N5=0,0,R5*J5/N5)</f>
        <v>5.77021467</v>
      </c>
      <c r="U5" s="18">
        <v>5.0</v>
      </c>
      <c r="V5" s="19">
        <f t="shared" ref="V5:V68" si="5">R5*J5+N5*U5</f>
        <v>569.2882609</v>
      </c>
      <c r="W5" s="19">
        <f t="shared" ref="W5:W68" si="6">IF(J5=0,0,CEILING(V5/J5,1))</f>
        <v>10</v>
      </c>
      <c r="X5" s="39">
        <f t="shared" ref="X5:X68" si="7">W5*K5/1000</f>
        <v>8.456336669</v>
      </c>
      <c r="Y5" s="44" t="s">
        <v>653</v>
      </c>
      <c r="Z5" s="18">
        <v>1.0</v>
      </c>
      <c r="AA5" s="18">
        <v>0.0</v>
      </c>
      <c r="AB5" s="19">
        <f t="shared" ref="AB5:AB68" si="8">IF(W5=0,0,CEILING(W5/Z5,1)+AA5)</f>
        <v>10</v>
      </c>
      <c r="AC5" s="27">
        <f>AB5*VLOOKUP(Y5,'Almacen MP'!$A$8:$F$17,6,FALSE())</f>
        <v>25.66666667</v>
      </c>
      <c r="AD5" s="44" t="s">
        <v>654</v>
      </c>
      <c r="AE5" s="44" t="s">
        <v>655</v>
      </c>
      <c r="AF5" s="44" t="s">
        <v>656</v>
      </c>
      <c r="AG5" s="44" t="s">
        <v>657</v>
      </c>
      <c r="AH5" s="21" t="s">
        <v>658</v>
      </c>
      <c r="AI5" s="45" t="s">
        <v>395</v>
      </c>
      <c r="AJ5" s="21" t="s">
        <v>659</v>
      </c>
      <c r="AK5" s="44" t="s">
        <v>660</v>
      </c>
      <c r="AL5" s="19">
        <f t="shared" ref="AL5:AL68" si="9">R5*K5</f>
        <v>4228.168334</v>
      </c>
    </row>
    <row r="6" ht="75.0" customHeight="1">
      <c r="A6" s="17" t="s">
        <v>396</v>
      </c>
      <c r="B6" s="44" t="s">
        <v>397</v>
      </c>
      <c r="C6" s="44" t="s">
        <v>661</v>
      </c>
      <c r="D6" s="44" t="s">
        <v>662</v>
      </c>
      <c r="E6" s="44" t="s">
        <v>663</v>
      </c>
      <c r="F6" s="44" t="s">
        <v>664</v>
      </c>
      <c r="G6" s="44" t="s">
        <v>665</v>
      </c>
      <c r="H6" s="44" t="s">
        <v>340</v>
      </c>
      <c r="I6" s="44" t="s">
        <v>666</v>
      </c>
      <c r="J6" s="19">
        <f>FLOOR('Geometria Acero'!$C$28/'Geometria Acero'!$D$84,1)</f>
        <v>68</v>
      </c>
      <c r="K6" s="19">
        <f>J6*'Geometria Acero'!$D$84</f>
        <v>1986.2698</v>
      </c>
      <c r="L6" s="19">
        <f>'Consumo Anual'!M7</f>
        <v>522</v>
      </c>
      <c r="M6" s="19">
        <f>L6*Volumenes!$B$57</f>
        <v>62.64</v>
      </c>
      <c r="N6" s="27">
        <f>M6/Volumenes!$B$58</f>
        <v>3.132</v>
      </c>
      <c r="O6" s="18">
        <v>10.0</v>
      </c>
      <c r="P6" s="18">
        <v>20.0</v>
      </c>
      <c r="Q6" s="19">
        <f t="shared" si="1"/>
        <v>68</v>
      </c>
      <c r="R6" s="19">
        <f t="shared" si="2"/>
        <v>1</v>
      </c>
      <c r="S6" s="27">
        <f t="shared" si="3"/>
        <v>7.676470588</v>
      </c>
      <c r="T6" s="19">
        <f t="shared" si="4"/>
        <v>21.71136654</v>
      </c>
      <c r="U6" s="18">
        <v>10.0</v>
      </c>
      <c r="V6" s="19">
        <f t="shared" si="5"/>
        <v>99.32</v>
      </c>
      <c r="W6" s="19">
        <f t="shared" si="6"/>
        <v>2</v>
      </c>
      <c r="X6" s="39">
        <f t="shared" si="7"/>
        <v>3.9725396</v>
      </c>
      <c r="Y6" s="44" t="s">
        <v>667</v>
      </c>
      <c r="Z6" s="18">
        <v>2.0</v>
      </c>
      <c r="AA6" s="18">
        <v>0.0</v>
      </c>
      <c r="AB6" s="19">
        <f t="shared" si="8"/>
        <v>1</v>
      </c>
      <c r="AC6" s="27">
        <f>AB6*('Geometria Acero'!$D$79/1000+0.3)*('Geometria Acero'!$D$80/1000+0.3)*'Almacen MP'!$E$18/'Almacen MP'!$D$18</f>
        <v>3.1236</v>
      </c>
      <c r="AD6" s="44" t="s">
        <v>654</v>
      </c>
      <c r="AE6" s="44" t="s">
        <v>668</v>
      </c>
      <c r="AF6" s="44" t="s">
        <v>669</v>
      </c>
      <c r="AG6" s="44" t="s">
        <v>670</v>
      </c>
      <c r="AH6" s="21" t="s">
        <v>671</v>
      </c>
      <c r="AI6" s="45" t="s">
        <v>96</v>
      </c>
      <c r="AJ6" s="21" t="s">
        <v>672</v>
      </c>
      <c r="AK6" s="44" t="s">
        <v>673</v>
      </c>
      <c r="AL6" s="19">
        <f t="shared" si="9"/>
        <v>1986.2698</v>
      </c>
    </row>
    <row r="7" ht="75.0" customHeight="1">
      <c r="A7" s="17" t="s">
        <v>400</v>
      </c>
      <c r="B7" s="44" t="s">
        <v>401</v>
      </c>
      <c r="C7" s="44" t="s">
        <v>674</v>
      </c>
      <c r="D7" s="44" t="s">
        <v>675</v>
      </c>
      <c r="E7" s="44" t="s">
        <v>676</v>
      </c>
      <c r="F7" s="44" t="s">
        <v>677</v>
      </c>
      <c r="G7" s="44" t="s">
        <v>665</v>
      </c>
      <c r="H7" s="44" t="s">
        <v>340</v>
      </c>
      <c r="I7" s="44" t="s">
        <v>678</v>
      </c>
      <c r="J7" s="19">
        <f>FLOOR('Geometria Acero'!$C$28/'Geometria Acero'!$E$84,1)</f>
        <v>79</v>
      </c>
      <c r="K7" s="19">
        <f>J7*'Geometria Acero'!$E$84</f>
        <v>1984.48</v>
      </c>
      <c r="L7" s="19">
        <f>'Consumo Anual'!M8</f>
        <v>5305.5</v>
      </c>
      <c r="M7" s="19">
        <f>L7*Volumenes!$B$57</f>
        <v>636.66</v>
      </c>
      <c r="N7" s="27">
        <f>M7/Volumenes!$B$58</f>
        <v>31.833</v>
      </c>
      <c r="O7" s="18">
        <v>10.0</v>
      </c>
      <c r="P7" s="18">
        <v>20.0</v>
      </c>
      <c r="Q7" s="19">
        <f t="shared" si="1"/>
        <v>636.66</v>
      </c>
      <c r="R7" s="19">
        <f t="shared" si="2"/>
        <v>9</v>
      </c>
      <c r="S7" s="27">
        <f t="shared" si="3"/>
        <v>7.462025316</v>
      </c>
      <c r="T7" s="19">
        <f t="shared" si="4"/>
        <v>22.33531241</v>
      </c>
      <c r="U7" s="18">
        <v>10.0</v>
      </c>
      <c r="V7" s="19">
        <f t="shared" si="5"/>
        <v>1029.33</v>
      </c>
      <c r="W7" s="19">
        <f t="shared" si="6"/>
        <v>14</v>
      </c>
      <c r="X7" s="39">
        <f t="shared" si="7"/>
        <v>27.78272</v>
      </c>
      <c r="Y7" s="44" t="s">
        <v>667</v>
      </c>
      <c r="Z7" s="18">
        <v>2.0</v>
      </c>
      <c r="AA7" s="18">
        <v>0.0</v>
      </c>
      <c r="AB7" s="19">
        <f t="shared" si="8"/>
        <v>7</v>
      </c>
      <c r="AC7" s="27">
        <f>AB7*('Geometria Acero'!$E$79/1000+0.3)*('Geometria Acero'!$E$80/1000+0.3)*'Almacen MP'!$E$18/'Almacen MP'!$D$18</f>
        <v>15.6975</v>
      </c>
      <c r="AD7" s="44" t="s">
        <v>654</v>
      </c>
      <c r="AE7" s="44" t="s">
        <v>668</v>
      </c>
      <c r="AF7" s="44" t="s">
        <v>669</v>
      </c>
      <c r="AG7" s="44" t="s">
        <v>670</v>
      </c>
      <c r="AH7" s="21" t="s">
        <v>671</v>
      </c>
      <c r="AI7" s="45" t="s">
        <v>96</v>
      </c>
      <c r="AJ7" s="21" t="s">
        <v>679</v>
      </c>
      <c r="AK7" s="44" t="s">
        <v>673</v>
      </c>
      <c r="AL7" s="19">
        <f t="shared" si="9"/>
        <v>17860.32</v>
      </c>
    </row>
    <row r="8" ht="75.0" customHeight="1">
      <c r="A8" s="17" t="s">
        <v>402</v>
      </c>
      <c r="B8" s="44" t="s">
        <v>403</v>
      </c>
      <c r="C8" s="44" t="s">
        <v>680</v>
      </c>
      <c r="D8" s="44" t="s">
        <v>681</v>
      </c>
      <c r="E8" s="44" t="s">
        <v>676</v>
      </c>
      <c r="F8" s="44" t="s">
        <v>682</v>
      </c>
      <c r="G8" s="44" t="s">
        <v>665</v>
      </c>
      <c r="H8" s="44" t="s">
        <v>340</v>
      </c>
      <c r="I8" s="44" t="s">
        <v>683</v>
      </c>
      <c r="J8" s="19">
        <f>FLOOR('Geometria Acero'!$C$28/'Geometria Acero'!$F$84,1)</f>
        <v>28</v>
      </c>
      <c r="K8" s="19">
        <f>J8*'Geometria Acero'!$F$84</f>
        <v>1978.2</v>
      </c>
      <c r="L8" s="19">
        <f>'Consumo Anual'!M9</f>
        <v>256.8</v>
      </c>
      <c r="M8" s="19">
        <f>L8*Volumenes!$B$57</f>
        <v>30.816</v>
      </c>
      <c r="N8" s="27">
        <f>M8/Volumenes!$B$58</f>
        <v>1.5408</v>
      </c>
      <c r="O8" s="18">
        <v>10.0</v>
      </c>
      <c r="P8" s="18">
        <v>20.0</v>
      </c>
      <c r="Q8" s="19">
        <f t="shared" si="1"/>
        <v>30.816</v>
      </c>
      <c r="R8" s="19">
        <f t="shared" si="2"/>
        <v>2</v>
      </c>
      <c r="S8" s="27">
        <f t="shared" si="3"/>
        <v>4.585714286</v>
      </c>
      <c r="T8" s="19">
        <f t="shared" si="4"/>
        <v>36.34475597</v>
      </c>
      <c r="U8" s="18">
        <v>10.0</v>
      </c>
      <c r="V8" s="19">
        <f t="shared" si="5"/>
        <v>71.408</v>
      </c>
      <c r="W8" s="19">
        <f t="shared" si="6"/>
        <v>3</v>
      </c>
      <c r="X8" s="39">
        <f t="shared" si="7"/>
        <v>5.9346</v>
      </c>
      <c r="Y8" s="44" t="s">
        <v>667</v>
      </c>
      <c r="Z8" s="18">
        <v>2.0</v>
      </c>
      <c r="AA8" s="18">
        <v>0.0</v>
      </c>
      <c r="AB8" s="19">
        <f t="shared" si="8"/>
        <v>2</v>
      </c>
      <c r="AC8" s="27">
        <f>AB8*('Geometria Acero'!$F$79/1000+0.3)*('Geometria Acero'!$F$80/1000+0.3)*'Almacen MP'!$E$18/'Almacen MP'!$D$18</f>
        <v>8.91</v>
      </c>
      <c r="AD8" s="44" t="s">
        <v>654</v>
      </c>
      <c r="AE8" s="44" t="s">
        <v>668</v>
      </c>
      <c r="AF8" s="44" t="s">
        <v>669</v>
      </c>
      <c r="AG8" s="44" t="s">
        <v>670</v>
      </c>
      <c r="AH8" s="21" t="s">
        <v>671</v>
      </c>
      <c r="AI8" s="45" t="s">
        <v>96</v>
      </c>
      <c r="AJ8" s="21" t="s">
        <v>684</v>
      </c>
      <c r="AK8" s="44" t="s">
        <v>673</v>
      </c>
      <c r="AL8" s="19">
        <f t="shared" si="9"/>
        <v>3956.4</v>
      </c>
    </row>
    <row r="9" ht="75.0" customHeight="1">
      <c r="A9" s="17" t="s">
        <v>404</v>
      </c>
      <c r="B9" s="44" t="s">
        <v>405</v>
      </c>
      <c r="C9" s="44" t="s">
        <v>685</v>
      </c>
      <c r="D9" s="44" t="s">
        <v>686</v>
      </c>
      <c r="E9" s="44" t="s">
        <v>687</v>
      </c>
      <c r="F9" s="44" t="s">
        <v>688</v>
      </c>
      <c r="G9" s="44" t="s">
        <v>689</v>
      </c>
      <c r="H9" s="44" t="s">
        <v>155</v>
      </c>
      <c r="I9" s="44" t="s">
        <v>690</v>
      </c>
      <c r="J9" s="18">
        <v>1000.0</v>
      </c>
      <c r="K9" s="18">
        <v>1000.0</v>
      </c>
      <c r="L9" s="19">
        <f>'Consumo Anual'!M10</f>
        <v>18114.42074</v>
      </c>
      <c r="M9" s="19">
        <f>L9*Volumenes!$B$57</f>
        <v>2173.730488</v>
      </c>
      <c r="N9" s="27">
        <f>M9/Volumenes!$B$58</f>
        <v>108.6865244</v>
      </c>
      <c r="O9" s="18">
        <v>10.0</v>
      </c>
      <c r="P9" s="18">
        <v>5.0</v>
      </c>
      <c r="Q9" s="19">
        <f t="shared" si="1"/>
        <v>1000</v>
      </c>
      <c r="R9" s="19">
        <f t="shared" si="2"/>
        <v>1</v>
      </c>
      <c r="S9" s="27">
        <f t="shared" si="3"/>
        <v>18.11442074</v>
      </c>
      <c r="T9" s="19">
        <f t="shared" si="4"/>
        <v>9.200772638</v>
      </c>
      <c r="U9" s="18">
        <v>10.0</v>
      </c>
      <c r="V9" s="19">
        <f t="shared" si="5"/>
        <v>2086.865244</v>
      </c>
      <c r="W9" s="19">
        <f t="shared" si="6"/>
        <v>3</v>
      </c>
      <c r="X9" s="39">
        <f t="shared" si="7"/>
        <v>3</v>
      </c>
      <c r="Y9" s="44" t="s">
        <v>691</v>
      </c>
      <c r="Z9" s="18">
        <v>1.0</v>
      </c>
      <c r="AA9" s="18">
        <v>0.0</v>
      </c>
      <c r="AB9" s="19">
        <f t="shared" si="8"/>
        <v>3</v>
      </c>
      <c r="AC9" s="27">
        <f>AB9*VLOOKUP(Y9,'Almacen MP'!$A$8:$F$17,6,FALSE())</f>
        <v>4.8</v>
      </c>
      <c r="AD9" s="44" t="s">
        <v>654</v>
      </c>
      <c r="AE9" s="44" t="s">
        <v>692</v>
      </c>
      <c r="AF9" s="44" t="s">
        <v>693</v>
      </c>
      <c r="AG9" s="44" t="s">
        <v>694</v>
      </c>
      <c r="AH9" s="21" t="s">
        <v>695</v>
      </c>
      <c r="AI9" s="45" t="s">
        <v>395</v>
      </c>
      <c r="AJ9" s="21" t="s">
        <v>696</v>
      </c>
      <c r="AK9" s="44" t="s">
        <v>673</v>
      </c>
      <c r="AL9" s="19">
        <f t="shared" si="9"/>
        <v>1000</v>
      </c>
    </row>
    <row r="10" ht="75.0" customHeight="1">
      <c r="A10" s="17" t="s">
        <v>407</v>
      </c>
      <c r="B10" s="44" t="s">
        <v>408</v>
      </c>
      <c r="C10" s="44" t="s">
        <v>697</v>
      </c>
      <c r="D10" s="44" t="s">
        <v>698</v>
      </c>
      <c r="E10" s="44" t="s">
        <v>699</v>
      </c>
      <c r="F10" s="44" t="s">
        <v>700</v>
      </c>
      <c r="G10" s="44" t="s">
        <v>701</v>
      </c>
      <c r="H10" s="44" t="s">
        <v>155</v>
      </c>
      <c r="I10" s="44" t="s">
        <v>702</v>
      </c>
      <c r="J10" s="18">
        <v>492.0</v>
      </c>
      <c r="K10" s="18">
        <v>492.0</v>
      </c>
      <c r="L10" s="19">
        <f>'Consumo Anual'!M11</f>
        <v>9210.605175</v>
      </c>
      <c r="M10" s="19">
        <f>L10*Volumenes!$B$57</f>
        <v>1105.272621</v>
      </c>
      <c r="N10" s="27">
        <f>M10/Volumenes!$B$58</f>
        <v>55.26363105</v>
      </c>
      <c r="O10" s="18">
        <v>10.0</v>
      </c>
      <c r="P10" s="18">
        <v>10.0</v>
      </c>
      <c r="Q10" s="19">
        <f t="shared" si="1"/>
        <v>552.6363105</v>
      </c>
      <c r="R10" s="19">
        <f t="shared" si="2"/>
        <v>2</v>
      </c>
      <c r="S10" s="27">
        <f t="shared" si="3"/>
        <v>9.360371113</v>
      </c>
      <c r="T10" s="19">
        <f t="shared" si="4"/>
        <v>17.80556184</v>
      </c>
      <c r="U10" s="18">
        <v>10.0</v>
      </c>
      <c r="V10" s="19">
        <f t="shared" si="5"/>
        <v>1536.636311</v>
      </c>
      <c r="W10" s="19">
        <f t="shared" si="6"/>
        <v>4</v>
      </c>
      <c r="X10" s="39">
        <f t="shared" si="7"/>
        <v>1.968</v>
      </c>
      <c r="Y10" s="44" t="s">
        <v>691</v>
      </c>
      <c r="Z10" s="18">
        <v>1.0</v>
      </c>
      <c r="AA10" s="18">
        <v>0.0</v>
      </c>
      <c r="AB10" s="19">
        <f t="shared" si="8"/>
        <v>4</v>
      </c>
      <c r="AC10" s="27">
        <f>AB10*VLOOKUP(Y10,'Almacen MP'!$A$8:$F$17,6,FALSE())</f>
        <v>6.4</v>
      </c>
      <c r="AD10" s="44" t="s">
        <v>654</v>
      </c>
      <c r="AE10" s="44" t="s">
        <v>692</v>
      </c>
      <c r="AF10" s="44" t="s">
        <v>703</v>
      </c>
      <c r="AG10" s="44" t="s">
        <v>704</v>
      </c>
      <c r="AH10" s="21" t="s">
        <v>705</v>
      </c>
      <c r="AI10" s="45" t="s">
        <v>96</v>
      </c>
      <c r="AJ10" s="21" t="s">
        <v>706</v>
      </c>
      <c r="AK10" s="44" t="s">
        <v>707</v>
      </c>
      <c r="AL10" s="19">
        <f t="shared" si="9"/>
        <v>984</v>
      </c>
    </row>
    <row r="11" ht="75.0" customHeight="1">
      <c r="A11" s="17" t="s">
        <v>410</v>
      </c>
      <c r="B11" s="44" t="s">
        <v>411</v>
      </c>
      <c r="C11" s="44" t="s">
        <v>708</v>
      </c>
      <c r="D11" s="44" t="s">
        <v>709</v>
      </c>
      <c r="E11" s="44" t="s">
        <v>699</v>
      </c>
      <c r="F11" s="44" t="s">
        <v>710</v>
      </c>
      <c r="G11" s="44" t="s">
        <v>701</v>
      </c>
      <c r="H11" s="44" t="s">
        <v>155</v>
      </c>
      <c r="I11" s="44" t="s">
        <v>711</v>
      </c>
      <c r="J11" s="18">
        <v>615.0</v>
      </c>
      <c r="K11" s="18">
        <v>615.0</v>
      </c>
      <c r="L11" s="19">
        <f>'Consumo Anual'!M12</f>
        <v>44780.11776</v>
      </c>
      <c r="M11" s="19">
        <f>L11*Volumenes!$B$57</f>
        <v>5373.614131</v>
      </c>
      <c r="N11" s="27">
        <f>M11/Volumenes!$B$58</f>
        <v>268.6807066</v>
      </c>
      <c r="O11" s="18">
        <v>10.0</v>
      </c>
      <c r="P11" s="18">
        <v>5.0</v>
      </c>
      <c r="Q11" s="19">
        <f t="shared" si="1"/>
        <v>1343.403533</v>
      </c>
      <c r="R11" s="19">
        <f t="shared" si="2"/>
        <v>3</v>
      </c>
      <c r="S11" s="27">
        <f t="shared" si="3"/>
        <v>24.27106654</v>
      </c>
      <c r="T11" s="19">
        <f t="shared" si="4"/>
        <v>6.86688681</v>
      </c>
      <c r="U11" s="18">
        <v>10.0</v>
      </c>
      <c r="V11" s="19">
        <f t="shared" si="5"/>
        <v>4531.807066</v>
      </c>
      <c r="W11" s="19">
        <f t="shared" si="6"/>
        <v>8</v>
      </c>
      <c r="X11" s="39">
        <f t="shared" si="7"/>
        <v>4.92</v>
      </c>
      <c r="Y11" s="44" t="s">
        <v>691</v>
      </c>
      <c r="Z11" s="18">
        <v>1.0</v>
      </c>
      <c r="AA11" s="18">
        <v>0.0</v>
      </c>
      <c r="AB11" s="19">
        <f t="shared" si="8"/>
        <v>8</v>
      </c>
      <c r="AC11" s="27">
        <f>AB11*VLOOKUP(Y11,'Almacen MP'!$A$8:$F$17,6,FALSE())</f>
        <v>12.8</v>
      </c>
      <c r="AD11" s="44" t="s">
        <v>654</v>
      </c>
      <c r="AE11" s="44" t="s">
        <v>692</v>
      </c>
      <c r="AF11" s="44" t="s">
        <v>703</v>
      </c>
      <c r="AG11" s="44" t="s">
        <v>694</v>
      </c>
      <c r="AH11" s="21" t="s">
        <v>712</v>
      </c>
      <c r="AI11" s="45" t="s">
        <v>96</v>
      </c>
      <c r="AJ11" s="21" t="s">
        <v>713</v>
      </c>
      <c r="AK11" s="44" t="s">
        <v>707</v>
      </c>
      <c r="AL11" s="19">
        <f t="shared" si="9"/>
        <v>1845</v>
      </c>
    </row>
    <row r="12" ht="75.0" customHeight="1">
      <c r="A12" s="17" t="s">
        <v>412</v>
      </c>
      <c r="B12" s="44" t="s">
        <v>413</v>
      </c>
      <c r="C12" s="44" t="s">
        <v>714</v>
      </c>
      <c r="D12" s="44" t="s">
        <v>715</v>
      </c>
      <c r="E12" s="44" t="s">
        <v>699</v>
      </c>
      <c r="F12" s="44" t="s">
        <v>716</v>
      </c>
      <c r="G12" s="44" t="s">
        <v>701</v>
      </c>
      <c r="H12" s="44" t="s">
        <v>155</v>
      </c>
      <c r="I12" s="44" t="s">
        <v>702</v>
      </c>
      <c r="J12" s="18">
        <v>492.0</v>
      </c>
      <c r="K12" s="18">
        <v>492.0</v>
      </c>
      <c r="L12" s="19">
        <f>'Consumo Anual'!M13</f>
        <v>28787.21856</v>
      </c>
      <c r="M12" s="19">
        <f>L12*Volumenes!$B$57</f>
        <v>3454.466227</v>
      </c>
      <c r="N12" s="27">
        <f>M12/Volumenes!$B$58</f>
        <v>172.7233114</v>
      </c>
      <c r="O12" s="18">
        <v>10.0</v>
      </c>
      <c r="P12" s="18">
        <v>5.0</v>
      </c>
      <c r="Q12" s="19">
        <f t="shared" si="1"/>
        <v>863.6165568</v>
      </c>
      <c r="R12" s="19">
        <f t="shared" si="2"/>
        <v>2</v>
      </c>
      <c r="S12" s="27">
        <f t="shared" si="3"/>
        <v>29.25530341</v>
      </c>
      <c r="T12" s="19">
        <f t="shared" si="4"/>
        <v>5.696972761</v>
      </c>
      <c r="U12" s="18">
        <v>10.0</v>
      </c>
      <c r="V12" s="19">
        <f t="shared" si="5"/>
        <v>2711.233114</v>
      </c>
      <c r="W12" s="19">
        <f t="shared" si="6"/>
        <v>6</v>
      </c>
      <c r="X12" s="39">
        <f t="shared" si="7"/>
        <v>2.952</v>
      </c>
      <c r="Y12" s="44" t="s">
        <v>691</v>
      </c>
      <c r="Z12" s="18">
        <v>1.0</v>
      </c>
      <c r="AA12" s="18">
        <v>0.0</v>
      </c>
      <c r="AB12" s="19">
        <f t="shared" si="8"/>
        <v>6</v>
      </c>
      <c r="AC12" s="27">
        <f>AB12*VLOOKUP(Y12,'Almacen MP'!$A$8:$F$17,6,FALSE())</f>
        <v>9.6</v>
      </c>
      <c r="AD12" s="44" t="s">
        <v>654</v>
      </c>
      <c r="AE12" s="44" t="s">
        <v>692</v>
      </c>
      <c r="AF12" s="44" t="s">
        <v>703</v>
      </c>
      <c r="AG12" s="44" t="s">
        <v>694</v>
      </c>
      <c r="AH12" s="21" t="s">
        <v>712</v>
      </c>
      <c r="AI12" s="45" t="s">
        <v>96</v>
      </c>
      <c r="AJ12" s="21" t="s">
        <v>717</v>
      </c>
      <c r="AK12" s="44" t="s">
        <v>707</v>
      </c>
      <c r="AL12" s="19">
        <f t="shared" si="9"/>
        <v>984</v>
      </c>
    </row>
    <row r="13" ht="75.0" customHeight="1">
      <c r="A13" s="17" t="s">
        <v>414</v>
      </c>
      <c r="B13" s="44" t="s">
        <v>415</v>
      </c>
      <c r="C13" s="44" t="s">
        <v>718</v>
      </c>
      <c r="D13" s="44" t="s">
        <v>719</v>
      </c>
      <c r="E13" s="44" t="s">
        <v>699</v>
      </c>
      <c r="F13" s="44" t="s">
        <v>720</v>
      </c>
      <c r="G13" s="44" t="s">
        <v>701</v>
      </c>
      <c r="H13" s="44" t="s">
        <v>155</v>
      </c>
      <c r="I13" s="44" t="s">
        <v>721</v>
      </c>
      <c r="J13" s="18">
        <v>738.0</v>
      </c>
      <c r="K13" s="18">
        <v>738.0</v>
      </c>
      <c r="L13" s="19">
        <f>'Consumo Anual'!M14</f>
        <v>4735.30212</v>
      </c>
      <c r="M13" s="19">
        <f>L13*Volumenes!$B$57</f>
        <v>568.2362544</v>
      </c>
      <c r="N13" s="27">
        <f>M13/Volumenes!$B$58</f>
        <v>28.41181272</v>
      </c>
      <c r="O13" s="18">
        <v>10.0</v>
      </c>
      <c r="P13" s="18">
        <v>20.0</v>
      </c>
      <c r="Q13" s="19">
        <f t="shared" si="1"/>
        <v>738</v>
      </c>
      <c r="R13" s="19">
        <f t="shared" si="2"/>
        <v>1</v>
      </c>
      <c r="S13" s="27">
        <f t="shared" si="3"/>
        <v>6.416398537</v>
      </c>
      <c r="T13" s="19">
        <f t="shared" si="4"/>
        <v>25.97511138</v>
      </c>
      <c r="U13" s="18">
        <v>10.0</v>
      </c>
      <c r="V13" s="19">
        <f t="shared" si="5"/>
        <v>1022.118127</v>
      </c>
      <c r="W13" s="19">
        <f t="shared" si="6"/>
        <v>2</v>
      </c>
      <c r="X13" s="39">
        <f t="shared" si="7"/>
        <v>1.476</v>
      </c>
      <c r="Y13" s="44" t="s">
        <v>691</v>
      </c>
      <c r="Z13" s="18">
        <v>1.0</v>
      </c>
      <c r="AA13" s="18">
        <v>0.0</v>
      </c>
      <c r="AB13" s="19">
        <f t="shared" si="8"/>
        <v>2</v>
      </c>
      <c r="AC13" s="27">
        <f>AB13*VLOOKUP(Y13,'Almacen MP'!$A$8:$F$17,6,FALSE())</f>
        <v>3.2</v>
      </c>
      <c r="AD13" s="44" t="s">
        <v>654</v>
      </c>
      <c r="AE13" s="44" t="s">
        <v>692</v>
      </c>
      <c r="AF13" s="44" t="s">
        <v>703</v>
      </c>
      <c r="AG13" s="44" t="s">
        <v>722</v>
      </c>
      <c r="AH13" s="21" t="s">
        <v>723</v>
      </c>
      <c r="AI13" s="45" t="s">
        <v>96</v>
      </c>
      <c r="AJ13" s="21" t="s">
        <v>724</v>
      </c>
      <c r="AK13" s="44" t="s">
        <v>707</v>
      </c>
      <c r="AL13" s="19">
        <f t="shared" si="9"/>
        <v>738</v>
      </c>
    </row>
    <row r="14" ht="75.0" customHeight="1">
      <c r="A14" s="17" t="s">
        <v>416</v>
      </c>
      <c r="B14" s="44" t="s">
        <v>417</v>
      </c>
      <c r="C14" s="44" t="s">
        <v>725</v>
      </c>
      <c r="D14" s="44" t="s">
        <v>726</v>
      </c>
      <c r="E14" s="44" t="s">
        <v>699</v>
      </c>
      <c r="F14" s="44" t="s">
        <v>727</v>
      </c>
      <c r="G14" s="44" t="s">
        <v>701</v>
      </c>
      <c r="H14" s="44" t="s">
        <v>155</v>
      </c>
      <c r="I14" s="44" t="s">
        <v>728</v>
      </c>
      <c r="J14" s="18">
        <v>498.0</v>
      </c>
      <c r="K14" s="18">
        <v>498.0</v>
      </c>
      <c r="L14" s="19">
        <f>'Consumo Anual'!M15</f>
        <v>3132.193709</v>
      </c>
      <c r="M14" s="19">
        <f>L14*Volumenes!$B$57</f>
        <v>375.8632451</v>
      </c>
      <c r="N14" s="27">
        <f>M14/Volumenes!$B$58</f>
        <v>18.79316225</v>
      </c>
      <c r="O14" s="18">
        <v>10.0</v>
      </c>
      <c r="P14" s="18">
        <v>20.0</v>
      </c>
      <c r="Q14" s="19">
        <f t="shared" si="1"/>
        <v>498</v>
      </c>
      <c r="R14" s="19">
        <f t="shared" si="2"/>
        <v>1</v>
      </c>
      <c r="S14" s="27">
        <f t="shared" si="3"/>
        <v>6.2895456</v>
      </c>
      <c r="T14" s="19">
        <f t="shared" si="4"/>
        <v>26.49899965</v>
      </c>
      <c r="U14" s="18">
        <v>10.0</v>
      </c>
      <c r="V14" s="19">
        <f t="shared" si="5"/>
        <v>685.9316225</v>
      </c>
      <c r="W14" s="19">
        <f t="shared" si="6"/>
        <v>2</v>
      </c>
      <c r="X14" s="39">
        <f t="shared" si="7"/>
        <v>0.996</v>
      </c>
      <c r="Y14" s="44" t="s">
        <v>691</v>
      </c>
      <c r="Z14" s="18">
        <v>1.0</v>
      </c>
      <c r="AA14" s="18">
        <v>0.0</v>
      </c>
      <c r="AB14" s="19">
        <f t="shared" si="8"/>
        <v>2</v>
      </c>
      <c r="AC14" s="27">
        <f>AB14*VLOOKUP(Y14,'Almacen MP'!$A$8:$F$17,6,FALSE())</f>
        <v>3.2</v>
      </c>
      <c r="AD14" s="44" t="s">
        <v>654</v>
      </c>
      <c r="AE14" s="44" t="s">
        <v>692</v>
      </c>
      <c r="AF14" s="44" t="s">
        <v>703</v>
      </c>
      <c r="AG14" s="44" t="s">
        <v>729</v>
      </c>
      <c r="AH14" s="21" t="s">
        <v>712</v>
      </c>
      <c r="AI14" s="45" t="s">
        <v>96</v>
      </c>
      <c r="AJ14" s="21" t="s">
        <v>730</v>
      </c>
      <c r="AK14" s="44" t="s">
        <v>707</v>
      </c>
      <c r="AL14" s="19">
        <f t="shared" si="9"/>
        <v>498</v>
      </c>
    </row>
    <row r="15" ht="75.0" customHeight="1">
      <c r="A15" s="17" t="s">
        <v>418</v>
      </c>
      <c r="B15" s="44" t="s">
        <v>419</v>
      </c>
      <c r="C15" s="44" t="s">
        <v>731</v>
      </c>
      <c r="D15" s="44" t="s">
        <v>732</v>
      </c>
      <c r="E15" s="44" t="s">
        <v>676</v>
      </c>
      <c r="F15" s="44" t="s">
        <v>733</v>
      </c>
      <c r="G15" s="44" t="s">
        <v>665</v>
      </c>
      <c r="H15" s="44" t="s">
        <v>340</v>
      </c>
      <c r="I15" s="44" t="s">
        <v>734</v>
      </c>
      <c r="J15" s="19">
        <f>FLOOR('Geometria Acero'!$C$28/'Geometria Acero'!$G$84,1)</f>
        <v>17</v>
      </c>
      <c r="K15" s="19">
        <f>J15*'Geometria Acero'!$G$84</f>
        <v>1921.68</v>
      </c>
      <c r="L15" s="19">
        <f>'Consumo Anual'!M16</f>
        <v>370.2777778</v>
      </c>
      <c r="M15" s="19">
        <f>L15*Volumenes!$B$57</f>
        <v>44.43333333</v>
      </c>
      <c r="N15" s="27">
        <f>M15/Volumenes!$B$58</f>
        <v>2.221666667</v>
      </c>
      <c r="O15" s="18">
        <v>10.0</v>
      </c>
      <c r="P15" s="18">
        <v>20.0</v>
      </c>
      <c r="Q15" s="19">
        <f t="shared" si="1"/>
        <v>44.43333333</v>
      </c>
      <c r="R15" s="19">
        <f t="shared" si="2"/>
        <v>3</v>
      </c>
      <c r="S15" s="27">
        <f t="shared" si="3"/>
        <v>7.260348584</v>
      </c>
      <c r="T15" s="19">
        <f t="shared" si="4"/>
        <v>22.95573893</v>
      </c>
      <c r="U15" s="18">
        <v>10.0</v>
      </c>
      <c r="V15" s="19">
        <f t="shared" si="5"/>
        <v>73.21666667</v>
      </c>
      <c r="W15" s="19">
        <f t="shared" si="6"/>
        <v>5</v>
      </c>
      <c r="X15" s="39">
        <f t="shared" si="7"/>
        <v>9.6084</v>
      </c>
      <c r="Y15" s="44" t="s">
        <v>667</v>
      </c>
      <c r="Z15" s="18">
        <v>2.0</v>
      </c>
      <c r="AA15" s="18">
        <v>0.0</v>
      </c>
      <c r="AB15" s="19">
        <f t="shared" si="8"/>
        <v>3</v>
      </c>
      <c r="AC15" s="27">
        <f>AB15*('Geometria Acero'!$G$79/1000+0.3)*('Geometria Acero'!$G$80/1000+0.3)*'Almacen MP'!$E$18/'Almacen MP'!$D$18</f>
        <v>13.365</v>
      </c>
      <c r="AD15" s="44" t="s">
        <v>654</v>
      </c>
      <c r="AE15" s="44" t="s">
        <v>668</v>
      </c>
      <c r="AF15" s="44" t="s">
        <v>735</v>
      </c>
      <c r="AG15" s="44" t="s">
        <v>670</v>
      </c>
      <c r="AH15" s="21" t="s">
        <v>671</v>
      </c>
      <c r="AI15" s="45" t="s">
        <v>96</v>
      </c>
      <c r="AJ15" s="21" t="s">
        <v>736</v>
      </c>
      <c r="AK15" s="44" t="s">
        <v>673</v>
      </c>
      <c r="AL15" s="19">
        <f t="shared" si="9"/>
        <v>5765.04</v>
      </c>
    </row>
    <row r="16" ht="75.0" customHeight="1">
      <c r="A16" s="17" t="s">
        <v>420</v>
      </c>
      <c r="B16" s="44" t="s">
        <v>421</v>
      </c>
      <c r="C16" s="44" t="s">
        <v>737</v>
      </c>
      <c r="D16" s="44" t="s">
        <v>738</v>
      </c>
      <c r="E16" s="44" t="s">
        <v>676</v>
      </c>
      <c r="F16" s="44" t="s">
        <v>739</v>
      </c>
      <c r="G16" s="44" t="s">
        <v>665</v>
      </c>
      <c r="H16" s="44" t="s">
        <v>340</v>
      </c>
      <c r="I16" s="44" t="s">
        <v>740</v>
      </c>
      <c r="J16" s="19">
        <f>FLOOR('Geometria Acero'!$C$28/'Geometria Acero'!$I$84,1)</f>
        <v>11</v>
      </c>
      <c r="K16" s="19">
        <f>J16*'Geometria Acero'!$I$84</f>
        <v>1845.73125</v>
      </c>
      <c r="L16" s="19">
        <f>'Consumo Anual'!M17</f>
        <v>165.2222222</v>
      </c>
      <c r="M16" s="19">
        <f>L16*Volumenes!$B$57</f>
        <v>19.82666667</v>
      </c>
      <c r="N16" s="27">
        <f>M16/Volumenes!$B$58</f>
        <v>0.9913333333</v>
      </c>
      <c r="O16" s="18">
        <v>10.0</v>
      </c>
      <c r="P16" s="18">
        <v>20.0</v>
      </c>
      <c r="Q16" s="19">
        <f t="shared" si="1"/>
        <v>19.82666667</v>
      </c>
      <c r="R16" s="19">
        <f t="shared" si="2"/>
        <v>2</v>
      </c>
      <c r="S16" s="27">
        <f t="shared" si="3"/>
        <v>7.51010101</v>
      </c>
      <c r="T16" s="19">
        <f t="shared" si="4"/>
        <v>22.19233356</v>
      </c>
      <c r="U16" s="18">
        <v>10.0</v>
      </c>
      <c r="V16" s="19">
        <f t="shared" si="5"/>
        <v>31.91333333</v>
      </c>
      <c r="W16" s="19">
        <f t="shared" si="6"/>
        <v>3</v>
      </c>
      <c r="X16" s="39">
        <f t="shared" si="7"/>
        <v>5.53719375</v>
      </c>
      <c r="Y16" s="44" t="s">
        <v>667</v>
      </c>
      <c r="Z16" s="18">
        <v>2.0</v>
      </c>
      <c r="AA16" s="18">
        <v>0.0</v>
      </c>
      <c r="AB16" s="19">
        <f t="shared" si="8"/>
        <v>2</v>
      </c>
      <c r="AC16" s="27">
        <f>AB16*('Geometria Acero'!$I$79/1000+0.3)*('Geometria Acero'!$I$80/1000+0.3)*'Almacen MP'!$E$18/'Almacen MP'!$D$18</f>
        <v>8.91</v>
      </c>
      <c r="AD16" s="44" t="s">
        <v>654</v>
      </c>
      <c r="AE16" s="44" t="s">
        <v>668</v>
      </c>
      <c r="AF16" s="44" t="s">
        <v>735</v>
      </c>
      <c r="AG16" s="44" t="s">
        <v>670</v>
      </c>
      <c r="AH16" s="21" t="s">
        <v>671</v>
      </c>
      <c r="AI16" s="45" t="s">
        <v>96</v>
      </c>
      <c r="AJ16" s="21" t="s">
        <v>741</v>
      </c>
      <c r="AK16" s="44" t="s">
        <v>673</v>
      </c>
      <c r="AL16" s="19">
        <f t="shared" si="9"/>
        <v>3691.4625</v>
      </c>
    </row>
    <row r="17" ht="75.0" customHeight="1">
      <c r="A17" s="17" t="s">
        <v>423</v>
      </c>
      <c r="B17" s="44" t="s">
        <v>424</v>
      </c>
      <c r="C17" s="44" t="s">
        <v>742</v>
      </c>
      <c r="D17" s="44" t="s">
        <v>743</v>
      </c>
      <c r="E17" s="44" t="s">
        <v>687</v>
      </c>
      <c r="F17" s="44" t="s">
        <v>688</v>
      </c>
      <c r="G17" s="44" t="s">
        <v>689</v>
      </c>
      <c r="H17" s="44" t="s">
        <v>155</v>
      </c>
      <c r="I17" s="44" t="s">
        <v>690</v>
      </c>
      <c r="J17" s="18">
        <v>1000.0</v>
      </c>
      <c r="K17" s="18">
        <v>1000.0</v>
      </c>
      <c r="L17" s="19">
        <f>'Consumo Anual'!M18</f>
        <v>15629.30659</v>
      </c>
      <c r="M17" s="19">
        <f>L17*Volumenes!$B$57</f>
        <v>1875.516791</v>
      </c>
      <c r="N17" s="27">
        <f>M17/Volumenes!$B$58</f>
        <v>93.77583955</v>
      </c>
      <c r="O17" s="18">
        <v>10.0</v>
      </c>
      <c r="P17" s="18">
        <v>5.0</v>
      </c>
      <c r="Q17" s="19">
        <f t="shared" si="1"/>
        <v>1000</v>
      </c>
      <c r="R17" s="19">
        <f t="shared" si="2"/>
        <v>1</v>
      </c>
      <c r="S17" s="27">
        <f t="shared" si="3"/>
        <v>15.62930659</v>
      </c>
      <c r="T17" s="19">
        <f t="shared" si="4"/>
        <v>10.66372751</v>
      </c>
      <c r="U17" s="18">
        <v>10.0</v>
      </c>
      <c r="V17" s="19">
        <f t="shared" si="5"/>
        <v>1937.758395</v>
      </c>
      <c r="W17" s="19">
        <f t="shared" si="6"/>
        <v>2</v>
      </c>
      <c r="X17" s="39">
        <f t="shared" si="7"/>
        <v>2</v>
      </c>
      <c r="Y17" s="44" t="s">
        <v>691</v>
      </c>
      <c r="Z17" s="18">
        <v>1.0</v>
      </c>
      <c r="AA17" s="18">
        <v>0.0</v>
      </c>
      <c r="AB17" s="19">
        <f t="shared" si="8"/>
        <v>2</v>
      </c>
      <c r="AC17" s="27">
        <f>AB17*VLOOKUP(Y17,'Almacen MP'!$A$8:$F$17,6,FALSE())</f>
        <v>3.2</v>
      </c>
      <c r="AD17" s="44" t="s">
        <v>654</v>
      </c>
      <c r="AE17" s="44" t="s">
        <v>692</v>
      </c>
      <c r="AF17" s="44" t="s">
        <v>693</v>
      </c>
      <c r="AG17" s="44" t="s">
        <v>694</v>
      </c>
      <c r="AH17" s="21" t="s">
        <v>695</v>
      </c>
      <c r="AI17" s="45" t="s">
        <v>395</v>
      </c>
      <c r="AJ17" s="21" t="s">
        <v>744</v>
      </c>
      <c r="AK17" s="44" t="s">
        <v>673</v>
      </c>
      <c r="AL17" s="19">
        <f t="shared" si="9"/>
        <v>1000</v>
      </c>
    </row>
    <row r="18" ht="75.0" customHeight="1">
      <c r="A18" s="17" t="s">
        <v>427</v>
      </c>
      <c r="B18" s="44" t="s">
        <v>428</v>
      </c>
      <c r="C18" s="44" t="s">
        <v>745</v>
      </c>
      <c r="D18" s="44" t="s">
        <v>746</v>
      </c>
      <c r="E18" s="44" t="s">
        <v>747</v>
      </c>
      <c r="F18" s="44" t="s">
        <v>748</v>
      </c>
      <c r="G18" s="44" t="s">
        <v>749</v>
      </c>
      <c r="H18" s="44" t="s">
        <v>224</v>
      </c>
      <c r="I18" s="44" t="s">
        <v>750</v>
      </c>
      <c r="J18" s="18">
        <v>100.0</v>
      </c>
      <c r="K18" s="19">
        <f>100*'Geometria Acero'!$G$50</f>
        <v>244</v>
      </c>
      <c r="L18" s="19">
        <f>'Consumo Anual'!M19</f>
        <v>1550</v>
      </c>
      <c r="M18" s="19">
        <f>L18*Volumenes!$B$57</f>
        <v>186</v>
      </c>
      <c r="N18" s="27">
        <f>M18/Volumenes!$B$58</f>
        <v>9.3</v>
      </c>
      <c r="O18" s="18">
        <v>60.0</v>
      </c>
      <c r="P18" s="18">
        <v>40.0</v>
      </c>
      <c r="Q18" s="19">
        <f t="shared" si="1"/>
        <v>372</v>
      </c>
      <c r="R18" s="19">
        <f t="shared" si="2"/>
        <v>4</v>
      </c>
      <c r="S18" s="27">
        <f t="shared" si="3"/>
        <v>3.875</v>
      </c>
      <c r="T18" s="19">
        <f t="shared" si="4"/>
        <v>43.01075269</v>
      </c>
      <c r="U18" s="18">
        <v>20.0</v>
      </c>
      <c r="V18" s="19">
        <f t="shared" si="5"/>
        <v>586</v>
      </c>
      <c r="W18" s="19">
        <f t="shared" si="6"/>
        <v>6</v>
      </c>
      <c r="X18" s="39">
        <f t="shared" si="7"/>
        <v>1.464</v>
      </c>
      <c r="Y18" s="44" t="s">
        <v>751</v>
      </c>
      <c r="Z18" s="18">
        <v>2.0</v>
      </c>
      <c r="AA18" s="18">
        <v>0.0</v>
      </c>
      <c r="AB18" s="19">
        <f t="shared" si="8"/>
        <v>3</v>
      </c>
      <c r="AC18" s="27">
        <f>AB18*VLOOKUP(Y18,'Almacen MP'!$A$8:$F$17,6,FALSE())</f>
        <v>2.7</v>
      </c>
      <c r="AD18" s="44" t="s">
        <v>654</v>
      </c>
      <c r="AE18" s="44" t="s">
        <v>752</v>
      </c>
      <c r="AF18" s="44" t="s">
        <v>753</v>
      </c>
      <c r="AG18" s="44" t="s">
        <v>754</v>
      </c>
      <c r="AH18" s="21" t="s">
        <v>755</v>
      </c>
      <c r="AI18" s="45" t="s">
        <v>430</v>
      </c>
      <c r="AJ18" s="21" t="s">
        <v>756</v>
      </c>
      <c r="AK18" s="44" t="s">
        <v>757</v>
      </c>
      <c r="AL18" s="19">
        <f t="shared" si="9"/>
        <v>976</v>
      </c>
    </row>
    <row r="19" ht="75.0" customHeight="1">
      <c r="A19" s="17" t="s">
        <v>431</v>
      </c>
      <c r="B19" s="44" t="s">
        <v>432</v>
      </c>
      <c r="C19" s="44" t="s">
        <v>758</v>
      </c>
      <c r="D19" s="44" t="s">
        <v>759</v>
      </c>
      <c r="E19" s="44" t="s">
        <v>760</v>
      </c>
      <c r="F19" s="44" t="s">
        <v>748</v>
      </c>
      <c r="G19" s="44" t="s">
        <v>761</v>
      </c>
      <c r="H19" s="44" t="s">
        <v>224</v>
      </c>
      <c r="I19" s="44" t="s">
        <v>762</v>
      </c>
      <c r="J19" s="18">
        <v>80.0</v>
      </c>
      <c r="K19" s="19">
        <f>80*'Geometria Acero'!$H$50</f>
        <v>268.8</v>
      </c>
      <c r="L19" s="19">
        <f>'Consumo Anual'!M20</f>
        <v>3410</v>
      </c>
      <c r="M19" s="19">
        <f>L19*Volumenes!$B$57</f>
        <v>409.2</v>
      </c>
      <c r="N19" s="27">
        <f>M19/Volumenes!$B$58</f>
        <v>20.46</v>
      </c>
      <c r="O19" s="18">
        <v>60.0</v>
      </c>
      <c r="P19" s="18">
        <v>40.0</v>
      </c>
      <c r="Q19" s="19">
        <f t="shared" si="1"/>
        <v>818.4</v>
      </c>
      <c r="R19" s="19">
        <f t="shared" si="2"/>
        <v>11</v>
      </c>
      <c r="S19" s="27">
        <f t="shared" si="3"/>
        <v>3.875</v>
      </c>
      <c r="T19" s="19">
        <f t="shared" si="4"/>
        <v>43.01075269</v>
      </c>
      <c r="U19" s="18">
        <v>20.0</v>
      </c>
      <c r="V19" s="19">
        <f t="shared" si="5"/>
        <v>1289.2</v>
      </c>
      <c r="W19" s="19">
        <f t="shared" si="6"/>
        <v>17</v>
      </c>
      <c r="X19" s="39">
        <f t="shared" si="7"/>
        <v>4.5696</v>
      </c>
      <c r="Y19" s="44" t="s">
        <v>751</v>
      </c>
      <c r="Z19" s="18">
        <v>2.0</v>
      </c>
      <c r="AA19" s="18">
        <v>0.0</v>
      </c>
      <c r="AB19" s="19">
        <f t="shared" si="8"/>
        <v>9</v>
      </c>
      <c r="AC19" s="27">
        <f>AB19*VLOOKUP(Y19,'Almacen MP'!$A$8:$F$17,6,FALSE())</f>
        <v>8.1</v>
      </c>
      <c r="AD19" s="44" t="s">
        <v>654</v>
      </c>
      <c r="AE19" s="44" t="s">
        <v>752</v>
      </c>
      <c r="AF19" s="44" t="s">
        <v>763</v>
      </c>
      <c r="AG19" s="44" t="s">
        <v>764</v>
      </c>
      <c r="AH19" s="21" t="s">
        <v>765</v>
      </c>
      <c r="AI19" s="45" t="s">
        <v>430</v>
      </c>
      <c r="AJ19" s="21" t="s">
        <v>766</v>
      </c>
      <c r="AK19" s="44" t="s">
        <v>757</v>
      </c>
      <c r="AL19" s="19">
        <f t="shared" si="9"/>
        <v>2956.8</v>
      </c>
    </row>
    <row r="20" ht="75.0" customHeight="1">
      <c r="A20" s="17" t="s">
        <v>434</v>
      </c>
      <c r="B20" s="44" t="s">
        <v>435</v>
      </c>
      <c r="C20" s="44" t="s">
        <v>767</v>
      </c>
      <c r="D20" s="44" t="s">
        <v>768</v>
      </c>
      <c r="E20" s="44" t="s">
        <v>760</v>
      </c>
      <c r="F20" s="44" t="s">
        <v>748</v>
      </c>
      <c r="G20" s="44" t="s">
        <v>761</v>
      </c>
      <c r="H20" s="44" t="s">
        <v>224</v>
      </c>
      <c r="I20" s="44" t="s">
        <v>769</v>
      </c>
      <c r="J20" s="18">
        <v>60.0</v>
      </c>
      <c r="K20" s="19">
        <f>60*'Geometria Acero'!$I$50</f>
        <v>398.4</v>
      </c>
      <c r="L20" s="19">
        <f>'Consumo Anual'!M21</f>
        <v>1240</v>
      </c>
      <c r="M20" s="19">
        <f>L20*Volumenes!$B$57</f>
        <v>148.8</v>
      </c>
      <c r="N20" s="27">
        <f>M20/Volumenes!$B$58</f>
        <v>7.44</v>
      </c>
      <c r="O20" s="18">
        <v>60.0</v>
      </c>
      <c r="P20" s="18">
        <v>40.0</v>
      </c>
      <c r="Q20" s="19">
        <f t="shared" si="1"/>
        <v>297.6</v>
      </c>
      <c r="R20" s="19">
        <f t="shared" si="2"/>
        <v>5</v>
      </c>
      <c r="S20" s="27">
        <f t="shared" si="3"/>
        <v>4.133333333</v>
      </c>
      <c r="T20" s="19">
        <f t="shared" si="4"/>
        <v>40.32258065</v>
      </c>
      <c r="U20" s="18">
        <v>20.0</v>
      </c>
      <c r="V20" s="19">
        <f t="shared" si="5"/>
        <v>448.8</v>
      </c>
      <c r="W20" s="19">
        <f t="shared" si="6"/>
        <v>8</v>
      </c>
      <c r="X20" s="39">
        <f t="shared" si="7"/>
        <v>3.1872</v>
      </c>
      <c r="Y20" s="44" t="s">
        <v>751</v>
      </c>
      <c r="Z20" s="18">
        <v>2.0</v>
      </c>
      <c r="AA20" s="18">
        <v>0.0</v>
      </c>
      <c r="AB20" s="19">
        <f t="shared" si="8"/>
        <v>4</v>
      </c>
      <c r="AC20" s="27">
        <f>AB20*VLOOKUP(Y20,'Almacen MP'!$A$8:$F$17,6,FALSE())</f>
        <v>3.6</v>
      </c>
      <c r="AD20" s="44" t="s">
        <v>654</v>
      </c>
      <c r="AE20" s="44" t="s">
        <v>752</v>
      </c>
      <c r="AF20" s="44" t="s">
        <v>763</v>
      </c>
      <c r="AG20" s="44" t="s">
        <v>764</v>
      </c>
      <c r="AH20" s="21" t="s">
        <v>765</v>
      </c>
      <c r="AI20" s="45" t="s">
        <v>430</v>
      </c>
      <c r="AJ20" s="21" t="s">
        <v>770</v>
      </c>
      <c r="AK20" s="44" t="s">
        <v>757</v>
      </c>
      <c r="AL20" s="19">
        <f t="shared" si="9"/>
        <v>1992</v>
      </c>
    </row>
    <row r="21" ht="75.0" customHeight="1">
      <c r="A21" s="17" t="s">
        <v>437</v>
      </c>
      <c r="B21" s="44" t="s">
        <v>438</v>
      </c>
      <c r="C21" s="44" t="s">
        <v>771</v>
      </c>
      <c r="D21" s="44" t="s">
        <v>772</v>
      </c>
      <c r="E21" s="44" t="s">
        <v>773</v>
      </c>
      <c r="F21" s="44" t="s">
        <v>774</v>
      </c>
      <c r="G21" s="44" t="s">
        <v>775</v>
      </c>
      <c r="H21" s="44" t="s">
        <v>224</v>
      </c>
      <c r="I21" s="44" t="s">
        <v>776</v>
      </c>
      <c r="J21" s="18">
        <v>12000.0</v>
      </c>
      <c r="K21" s="19">
        <f>12000*'Geometria Acero'!$C$54</f>
        <v>720</v>
      </c>
      <c r="L21" s="19">
        <f>'Consumo Anual'!M22</f>
        <v>202621</v>
      </c>
      <c r="M21" s="19">
        <f>L21*Volumenes!$B$57</f>
        <v>24314.52</v>
      </c>
      <c r="N21" s="27">
        <f>M21/Volumenes!$B$58</f>
        <v>1215.726</v>
      </c>
      <c r="O21" s="18">
        <v>28.0</v>
      </c>
      <c r="P21" s="18">
        <v>20.0</v>
      </c>
      <c r="Q21" s="19">
        <f t="shared" si="1"/>
        <v>24314.52</v>
      </c>
      <c r="R21" s="19">
        <f t="shared" si="2"/>
        <v>3</v>
      </c>
      <c r="S21" s="27">
        <f t="shared" si="3"/>
        <v>5.628361111</v>
      </c>
      <c r="T21" s="19">
        <f t="shared" si="4"/>
        <v>29.61193558</v>
      </c>
      <c r="U21" s="18">
        <v>10.0</v>
      </c>
      <c r="V21" s="19">
        <f t="shared" si="5"/>
        <v>48157.26</v>
      </c>
      <c r="W21" s="19">
        <f t="shared" si="6"/>
        <v>5</v>
      </c>
      <c r="X21" s="39">
        <f t="shared" si="7"/>
        <v>3.6</v>
      </c>
      <c r="Y21" s="44" t="s">
        <v>777</v>
      </c>
      <c r="Z21" s="18">
        <v>1.0</v>
      </c>
      <c r="AA21" s="18">
        <v>0.0</v>
      </c>
      <c r="AB21" s="19">
        <f t="shared" si="8"/>
        <v>5</v>
      </c>
      <c r="AC21" s="27">
        <f>AB21*VLOOKUP(Y21,'Almacen MP'!$A$8:$F$17,6,FALSE())</f>
        <v>6.502291667</v>
      </c>
      <c r="AD21" s="44" t="s">
        <v>778</v>
      </c>
      <c r="AE21" s="44" t="s">
        <v>752</v>
      </c>
      <c r="AF21" s="44" t="s">
        <v>779</v>
      </c>
      <c r="AG21" s="44" t="s">
        <v>780</v>
      </c>
      <c r="AH21" s="21" t="s">
        <v>781</v>
      </c>
      <c r="AI21" s="45" t="s">
        <v>104</v>
      </c>
      <c r="AJ21" s="21" t="s">
        <v>782</v>
      </c>
      <c r="AK21" s="44" t="s">
        <v>783</v>
      </c>
      <c r="AL21" s="19">
        <f t="shared" si="9"/>
        <v>2160</v>
      </c>
    </row>
    <row r="22" ht="75.0" customHeight="1">
      <c r="A22" s="17" t="s">
        <v>440</v>
      </c>
      <c r="B22" s="44" t="s">
        <v>441</v>
      </c>
      <c r="C22" s="44" t="s">
        <v>784</v>
      </c>
      <c r="D22" s="44" t="s">
        <v>785</v>
      </c>
      <c r="E22" s="44" t="s">
        <v>786</v>
      </c>
      <c r="F22" s="44" t="s">
        <v>787</v>
      </c>
      <c r="G22" s="44" t="s">
        <v>775</v>
      </c>
      <c r="H22" s="44" t="s">
        <v>224</v>
      </c>
      <c r="I22" s="44" t="s">
        <v>788</v>
      </c>
      <c r="J22" s="18">
        <v>8000.0</v>
      </c>
      <c r="K22" s="19">
        <f>8000*'Geometria Acero'!$D$54</f>
        <v>640</v>
      </c>
      <c r="L22" s="19">
        <f>'Consumo Anual'!M23</f>
        <v>81612</v>
      </c>
      <c r="M22" s="19">
        <f>L22*Volumenes!$B$57</f>
        <v>9793.44</v>
      </c>
      <c r="N22" s="27">
        <f>M22/Volumenes!$B$58</f>
        <v>489.672</v>
      </c>
      <c r="O22" s="18">
        <v>28.0</v>
      </c>
      <c r="P22" s="18">
        <v>20.0</v>
      </c>
      <c r="Q22" s="19">
        <f t="shared" si="1"/>
        <v>9793.44</v>
      </c>
      <c r="R22" s="19">
        <f t="shared" si="2"/>
        <v>2</v>
      </c>
      <c r="S22" s="27">
        <f t="shared" si="3"/>
        <v>5.10075</v>
      </c>
      <c r="T22" s="19">
        <f t="shared" si="4"/>
        <v>32.67493342</v>
      </c>
      <c r="U22" s="18">
        <v>10.0</v>
      </c>
      <c r="V22" s="19">
        <f t="shared" si="5"/>
        <v>20896.72</v>
      </c>
      <c r="W22" s="19">
        <f t="shared" si="6"/>
        <v>3</v>
      </c>
      <c r="X22" s="39">
        <f t="shared" si="7"/>
        <v>1.92</v>
      </c>
      <c r="Y22" s="44" t="s">
        <v>777</v>
      </c>
      <c r="Z22" s="18">
        <v>1.0</v>
      </c>
      <c r="AA22" s="18">
        <v>0.0</v>
      </c>
      <c r="AB22" s="19">
        <f t="shared" si="8"/>
        <v>3</v>
      </c>
      <c r="AC22" s="27">
        <f>AB22*VLOOKUP(Y22,'Almacen MP'!$A$8:$F$17,6,FALSE())</f>
        <v>3.901375</v>
      </c>
      <c r="AD22" s="44" t="s">
        <v>778</v>
      </c>
      <c r="AE22" s="44" t="s">
        <v>752</v>
      </c>
      <c r="AF22" s="44" t="s">
        <v>789</v>
      </c>
      <c r="AG22" s="44" t="s">
        <v>780</v>
      </c>
      <c r="AH22" s="21" t="s">
        <v>790</v>
      </c>
      <c r="AI22" s="45" t="s">
        <v>104</v>
      </c>
      <c r="AJ22" s="21" t="s">
        <v>359</v>
      </c>
      <c r="AK22" s="44" t="s">
        <v>783</v>
      </c>
      <c r="AL22" s="19">
        <f t="shared" si="9"/>
        <v>1280</v>
      </c>
    </row>
    <row r="23" ht="75.0" customHeight="1">
      <c r="A23" s="17" t="s">
        <v>442</v>
      </c>
      <c r="B23" s="44" t="s">
        <v>443</v>
      </c>
      <c r="C23" s="44" t="s">
        <v>791</v>
      </c>
      <c r="D23" s="44" t="s">
        <v>792</v>
      </c>
      <c r="E23" s="44" t="s">
        <v>793</v>
      </c>
      <c r="F23" s="44" t="s">
        <v>794</v>
      </c>
      <c r="G23" s="44" t="s">
        <v>795</v>
      </c>
      <c r="H23" s="44" t="s">
        <v>224</v>
      </c>
      <c r="I23" s="44" t="s">
        <v>796</v>
      </c>
      <c r="J23" s="18">
        <v>200.0</v>
      </c>
      <c r="K23" s="19">
        <f>200*'Geometria Acero'!$G$54</f>
        <v>50</v>
      </c>
      <c r="L23" s="19">
        <f>'Consumo Anual'!M24</f>
        <v>2480</v>
      </c>
      <c r="M23" s="19">
        <f>L23*Volumenes!$B$57</f>
        <v>297.6</v>
      </c>
      <c r="N23" s="27">
        <f>M23/Volumenes!$B$58</f>
        <v>14.88</v>
      </c>
      <c r="O23" s="18">
        <v>28.0</v>
      </c>
      <c r="P23" s="18">
        <v>40.0</v>
      </c>
      <c r="Q23" s="19">
        <f t="shared" si="1"/>
        <v>595.2</v>
      </c>
      <c r="R23" s="19">
        <f t="shared" si="2"/>
        <v>3</v>
      </c>
      <c r="S23" s="27">
        <f t="shared" si="3"/>
        <v>4.133333333</v>
      </c>
      <c r="T23" s="19">
        <f t="shared" si="4"/>
        <v>40.32258065</v>
      </c>
      <c r="U23" s="18">
        <v>20.0</v>
      </c>
      <c r="V23" s="19">
        <f t="shared" si="5"/>
        <v>897.6</v>
      </c>
      <c r="W23" s="19">
        <f t="shared" si="6"/>
        <v>5</v>
      </c>
      <c r="X23" s="39">
        <f t="shared" si="7"/>
        <v>0.25</v>
      </c>
      <c r="Y23" s="44" t="s">
        <v>797</v>
      </c>
      <c r="Z23" s="18">
        <v>2.0</v>
      </c>
      <c r="AA23" s="18">
        <v>0.0</v>
      </c>
      <c r="AB23" s="19">
        <f t="shared" si="8"/>
        <v>3</v>
      </c>
      <c r="AC23" s="27">
        <f>AB23*VLOOKUP(Y23,'Almacen MP'!$A$8:$F$17,6,FALSE())</f>
        <v>3.6</v>
      </c>
      <c r="AD23" s="44" t="s">
        <v>778</v>
      </c>
      <c r="AE23" s="44" t="s">
        <v>798</v>
      </c>
      <c r="AF23" s="44" t="s">
        <v>799</v>
      </c>
      <c r="AG23" s="44" t="s">
        <v>764</v>
      </c>
      <c r="AH23" s="21" t="s">
        <v>800</v>
      </c>
      <c r="AI23" s="45" t="s">
        <v>96</v>
      </c>
      <c r="AJ23" s="21" t="s">
        <v>359</v>
      </c>
      <c r="AK23" s="44" t="s">
        <v>783</v>
      </c>
      <c r="AL23" s="19">
        <f t="shared" si="9"/>
        <v>150</v>
      </c>
    </row>
    <row r="24" ht="75.0" customHeight="1">
      <c r="A24" s="17" t="s">
        <v>444</v>
      </c>
      <c r="B24" s="44" t="s">
        <v>445</v>
      </c>
      <c r="C24" s="44" t="s">
        <v>801</v>
      </c>
      <c r="D24" s="44" t="s">
        <v>802</v>
      </c>
      <c r="E24" s="44" t="s">
        <v>793</v>
      </c>
      <c r="F24" s="44" t="s">
        <v>803</v>
      </c>
      <c r="G24" s="44" t="s">
        <v>795</v>
      </c>
      <c r="H24" s="44" t="s">
        <v>224</v>
      </c>
      <c r="I24" s="44" t="s">
        <v>804</v>
      </c>
      <c r="J24" s="18">
        <v>50.0</v>
      </c>
      <c r="K24" s="19">
        <f>50*'Geometria Acero'!$I$54</f>
        <v>30</v>
      </c>
      <c r="L24" s="19">
        <f>'Consumo Anual'!M25</f>
        <v>620</v>
      </c>
      <c r="M24" s="19">
        <f>L24*Volumenes!$B$57</f>
        <v>74.4</v>
      </c>
      <c r="N24" s="27">
        <f>M24/Volumenes!$B$58</f>
        <v>3.72</v>
      </c>
      <c r="O24" s="18">
        <v>28.0</v>
      </c>
      <c r="P24" s="18">
        <v>40.0</v>
      </c>
      <c r="Q24" s="19">
        <f t="shared" si="1"/>
        <v>148.8</v>
      </c>
      <c r="R24" s="19">
        <f t="shared" si="2"/>
        <v>3</v>
      </c>
      <c r="S24" s="27">
        <f t="shared" si="3"/>
        <v>4.133333333</v>
      </c>
      <c r="T24" s="19">
        <f t="shared" si="4"/>
        <v>40.32258065</v>
      </c>
      <c r="U24" s="18">
        <v>20.0</v>
      </c>
      <c r="V24" s="19">
        <f t="shared" si="5"/>
        <v>224.4</v>
      </c>
      <c r="W24" s="19">
        <f t="shared" si="6"/>
        <v>5</v>
      </c>
      <c r="X24" s="39">
        <f t="shared" si="7"/>
        <v>0.15</v>
      </c>
      <c r="Y24" s="44" t="s">
        <v>797</v>
      </c>
      <c r="Z24" s="18">
        <v>2.0</v>
      </c>
      <c r="AA24" s="18">
        <v>0.0</v>
      </c>
      <c r="AB24" s="19">
        <f t="shared" si="8"/>
        <v>3</v>
      </c>
      <c r="AC24" s="27">
        <f>AB24*VLOOKUP(Y24,'Almacen MP'!$A$8:$F$17,6,FALSE())</f>
        <v>3.6</v>
      </c>
      <c r="AD24" s="44" t="s">
        <v>778</v>
      </c>
      <c r="AE24" s="44" t="s">
        <v>798</v>
      </c>
      <c r="AF24" s="44" t="s">
        <v>799</v>
      </c>
      <c r="AG24" s="44" t="s">
        <v>805</v>
      </c>
      <c r="AH24" s="21" t="s">
        <v>800</v>
      </c>
      <c r="AI24" s="45" t="s">
        <v>96</v>
      </c>
      <c r="AJ24" s="21" t="s">
        <v>359</v>
      </c>
      <c r="AK24" s="44" t="s">
        <v>783</v>
      </c>
      <c r="AL24" s="19">
        <f t="shared" si="9"/>
        <v>90</v>
      </c>
    </row>
    <row r="25" ht="75.0" customHeight="1">
      <c r="A25" s="17" t="s">
        <v>446</v>
      </c>
      <c r="B25" s="44" t="s">
        <v>447</v>
      </c>
      <c r="C25" s="44" t="s">
        <v>806</v>
      </c>
      <c r="D25" s="44" t="s">
        <v>807</v>
      </c>
      <c r="E25" s="44" t="s">
        <v>808</v>
      </c>
      <c r="F25" s="44" t="s">
        <v>809</v>
      </c>
      <c r="G25" s="44" t="s">
        <v>810</v>
      </c>
      <c r="H25" s="44" t="s">
        <v>155</v>
      </c>
      <c r="I25" s="44" t="s">
        <v>811</v>
      </c>
      <c r="J25" s="18">
        <v>200.0</v>
      </c>
      <c r="K25" s="18">
        <v>200.0</v>
      </c>
      <c r="L25" s="19">
        <f>'Consumo Anual'!M26</f>
        <v>930</v>
      </c>
      <c r="M25" s="19">
        <f>L25*Volumenes!$B$57</f>
        <v>111.6</v>
      </c>
      <c r="N25" s="27">
        <f>M25/Volumenes!$B$58</f>
        <v>5.58</v>
      </c>
      <c r="O25" s="18">
        <v>10.0</v>
      </c>
      <c r="P25" s="18">
        <v>60.0</v>
      </c>
      <c r="Q25" s="19">
        <f t="shared" si="1"/>
        <v>334.8</v>
      </c>
      <c r="R25" s="19">
        <f t="shared" si="2"/>
        <v>2</v>
      </c>
      <c r="S25" s="27">
        <f t="shared" si="3"/>
        <v>2.325</v>
      </c>
      <c r="T25" s="19">
        <f t="shared" si="4"/>
        <v>71.68458781</v>
      </c>
      <c r="U25" s="18">
        <v>20.0</v>
      </c>
      <c r="V25" s="19">
        <f t="shared" si="5"/>
        <v>511.6</v>
      </c>
      <c r="W25" s="19">
        <f t="shared" si="6"/>
        <v>3</v>
      </c>
      <c r="X25" s="39">
        <f t="shared" si="7"/>
        <v>0.6</v>
      </c>
      <c r="Y25" s="44" t="s">
        <v>653</v>
      </c>
      <c r="Z25" s="18">
        <v>2.0</v>
      </c>
      <c r="AA25" s="18">
        <v>0.0</v>
      </c>
      <c r="AB25" s="19">
        <f t="shared" si="8"/>
        <v>2</v>
      </c>
      <c r="AC25" s="27">
        <f>AB25*VLOOKUP(Y25,'Almacen MP'!$A$8:$F$17,6,FALSE())</f>
        <v>5.133333333</v>
      </c>
      <c r="AD25" s="44" t="s">
        <v>654</v>
      </c>
      <c r="AE25" s="44" t="s">
        <v>812</v>
      </c>
      <c r="AF25" s="44" t="s">
        <v>813</v>
      </c>
      <c r="AG25" s="44" t="s">
        <v>814</v>
      </c>
      <c r="AH25" s="21" t="s">
        <v>815</v>
      </c>
      <c r="AI25" s="45" t="s">
        <v>395</v>
      </c>
      <c r="AJ25" s="21" t="s">
        <v>816</v>
      </c>
      <c r="AK25" s="44" t="s">
        <v>817</v>
      </c>
      <c r="AL25" s="19">
        <f t="shared" si="9"/>
        <v>400</v>
      </c>
    </row>
    <row r="26" ht="75.0" customHeight="1">
      <c r="A26" s="17" t="s">
        <v>450</v>
      </c>
      <c r="B26" s="44" t="s">
        <v>451</v>
      </c>
      <c r="C26" s="44" t="s">
        <v>818</v>
      </c>
      <c r="D26" s="44" t="s">
        <v>819</v>
      </c>
      <c r="E26" s="44" t="s">
        <v>820</v>
      </c>
      <c r="F26" s="44" t="s">
        <v>774</v>
      </c>
      <c r="G26" s="44" t="s">
        <v>821</v>
      </c>
      <c r="H26" s="44" t="s">
        <v>155</v>
      </c>
      <c r="I26" s="44" t="s">
        <v>822</v>
      </c>
      <c r="J26" s="18">
        <v>900.0</v>
      </c>
      <c r="K26" s="18">
        <v>930.0</v>
      </c>
      <c r="L26" s="19">
        <f>'Consumo Anual'!M27</f>
        <v>5982.476692</v>
      </c>
      <c r="M26" s="19">
        <f>L26*Volumenes!$B$57</f>
        <v>717.8972031</v>
      </c>
      <c r="N26" s="27">
        <f>M26/Volumenes!$B$58</f>
        <v>35.89486015</v>
      </c>
      <c r="O26" s="18">
        <v>5.0</v>
      </c>
      <c r="P26" s="18">
        <v>20.0</v>
      </c>
      <c r="Q26" s="19">
        <f t="shared" si="1"/>
        <v>900</v>
      </c>
      <c r="R26" s="19">
        <f t="shared" si="2"/>
        <v>1</v>
      </c>
      <c r="S26" s="27">
        <f t="shared" si="3"/>
        <v>6.647196325</v>
      </c>
      <c r="T26" s="19">
        <f t="shared" si="4"/>
        <v>25.07322765</v>
      </c>
      <c r="U26" s="18">
        <v>5.0</v>
      </c>
      <c r="V26" s="19">
        <f t="shared" si="5"/>
        <v>1079.474301</v>
      </c>
      <c r="W26" s="19">
        <f t="shared" si="6"/>
        <v>2</v>
      </c>
      <c r="X26" s="39">
        <f t="shared" si="7"/>
        <v>1.86</v>
      </c>
      <c r="Y26" s="44" t="s">
        <v>777</v>
      </c>
      <c r="Z26" s="18">
        <v>1.0</v>
      </c>
      <c r="AA26" s="18">
        <v>0.0</v>
      </c>
      <c r="AB26" s="19">
        <f t="shared" si="8"/>
        <v>2</v>
      </c>
      <c r="AC26" s="27">
        <f>AB26*VLOOKUP(Y26,'Almacen MP'!$A$8:$F$17,6,FALSE())</f>
        <v>2.600916667</v>
      </c>
      <c r="AD26" s="44" t="s">
        <v>778</v>
      </c>
      <c r="AE26" s="44" t="s">
        <v>752</v>
      </c>
      <c r="AF26" s="44" t="s">
        <v>823</v>
      </c>
      <c r="AG26" s="44" t="s">
        <v>824</v>
      </c>
      <c r="AH26" s="21" t="s">
        <v>825</v>
      </c>
      <c r="AI26" s="45" t="s">
        <v>456</v>
      </c>
      <c r="AJ26" s="21" t="s">
        <v>826</v>
      </c>
      <c r="AK26" s="44" t="s">
        <v>827</v>
      </c>
      <c r="AL26" s="19">
        <f t="shared" si="9"/>
        <v>930</v>
      </c>
    </row>
    <row r="27" ht="75.0" customHeight="1">
      <c r="A27" s="17" t="s">
        <v>457</v>
      </c>
      <c r="B27" s="44" t="s">
        <v>458</v>
      </c>
      <c r="C27" s="44" t="s">
        <v>828</v>
      </c>
      <c r="D27" s="44" t="s">
        <v>829</v>
      </c>
      <c r="E27" s="44" t="s">
        <v>830</v>
      </c>
      <c r="F27" s="44" t="s">
        <v>774</v>
      </c>
      <c r="G27" s="44" t="s">
        <v>831</v>
      </c>
      <c r="H27" s="44" t="s">
        <v>155</v>
      </c>
      <c r="I27" s="44" t="s">
        <v>832</v>
      </c>
      <c r="J27" s="18">
        <v>900.0</v>
      </c>
      <c r="K27" s="18">
        <v>930.0</v>
      </c>
      <c r="L27" s="19">
        <f>'Consumo Anual'!M28</f>
        <v>1308.265178</v>
      </c>
      <c r="M27" s="19">
        <f>L27*Volumenes!$B$57</f>
        <v>156.9918213</v>
      </c>
      <c r="N27" s="27">
        <f>M27/Volumenes!$B$58</f>
        <v>7.849591067</v>
      </c>
      <c r="O27" s="18">
        <v>5.0</v>
      </c>
      <c r="P27" s="18">
        <v>40.0</v>
      </c>
      <c r="Q27" s="19">
        <f t="shared" si="1"/>
        <v>900</v>
      </c>
      <c r="R27" s="19">
        <f t="shared" si="2"/>
        <v>1</v>
      </c>
      <c r="S27" s="27">
        <f t="shared" si="3"/>
        <v>1.453627975</v>
      </c>
      <c r="T27" s="19">
        <f t="shared" si="4"/>
        <v>114.6556543</v>
      </c>
      <c r="U27" s="18">
        <v>10.0</v>
      </c>
      <c r="V27" s="19">
        <f t="shared" si="5"/>
        <v>978.4959107</v>
      </c>
      <c r="W27" s="19">
        <f t="shared" si="6"/>
        <v>2</v>
      </c>
      <c r="X27" s="39">
        <f t="shared" si="7"/>
        <v>1.86</v>
      </c>
      <c r="Y27" s="44" t="s">
        <v>777</v>
      </c>
      <c r="Z27" s="18">
        <v>1.0</v>
      </c>
      <c r="AA27" s="18">
        <v>0.0</v>
      </c>
      <c r="AB27" s="19">
        <f t="shared" si="8"/>
        <v>2</v>
      </c>
      <c r="AC27" s="27">
        <f>AB27*VLOOKUP(Y27,'Almacen MP'!$A$8:$F$17,6,FALSE())</f>
        <v>2.600916667</v>
      </c>
      <c r="AD27" s="44" t="s">
        <v>778</v>
      </c>
      <c r="AE27" s="44" t="s">
        <v>752</v>
      </c>
      <c r="AF27" s="44" t="s">
        <v>799</v>
      </c>
      <c r="AG27" s="44" t="s">
        <v>805</v>
      </c>
      <c r="AH27" s="21" t="s">
        <v>833</v>
      </c>
      <c r="AI27" s="45" t="s">
        <v>456</v>
      </c>
      <c r="AJ27" s="21" t="s">
        <v>359</v>
      </c>
      <c r="AK27" s="44" t="s">
        <v>827</v>
      </c>
      <c r="AL27" s="19">
        <f t="shared" si="9"/>
        <v>930</v>
      </c>
    </row>
    <row r="28" ht="75.0" customHeight="1">
      <c r="A28" s="17" t="s">
        <v>461</v>
      </c>
      <c r="B28" s="44" t="s">
        <v>462</v>
      </c>
      <c r="C28" s="44" t="s">
        <v>834</v>
      </c>
      <c r="D28" s="44" t="s">
        <v>835</v>
      </c>
      <c r="E28" s="44" t="s">
        <v>836</v>
      </c>
      <c r="F28" s="44" t="s">
        <v>837</v>
      </c>
      <c r="G28" s="44" t="s">
        <v>838</v>
      </c>
      <c r="H28" s="44" t="s">
        <v>310</v>
      </c>
      <c r="I28" s="44" t="s">
        <v>839</v>
      </c>
      <c r="J28" s="34">
        <v>115.5</v>
      </c>
      <c r="K28" s="18">
        <v>1000.0</v>
      </c>
      <c r="L28" s="19">
        <f>'Consumo Anual'!M29</f>
        <v>7229.541785</v>
      </c>
      <c r="M28" s="19">
        <f>L28*Volumenes!$B$57</f>
        <v>867.5450142</v>
      </c>
      <c r="N28" s="27">
        <f>M28/Volumenes!$B$58</f>
        <v>43.37725071</v>
      </c>
      <c r="O28" s="18">
        <v>1.0</v>
      </c>
      <c r="P28" s="18">
        <v>5.0</v>
      </c>
      <c r="Q28" s="19">
        <f t="shared" si="1"/>
        <v>216.8862536</v>
      </c>
      <c r="R28" s="19">
        <f t="shared" si="2"/>
        <v>2</v>
      </c>
      <c r="S28" s="27">
        <f t="shared" si="3"/>
        <v>31.29671768</v>
      </c>
      <c r="T28" s="19">
        <f t="shared" si="4"/>
        <v>5.325372084</v>
      </c>
      <c r="U28" s="18">
        <v>2.0</v>
      </c>
      <c r="V28" s="19">
        <f t="shared" si="5"/>
        <v>317.7545014</v>
      </c>
      <c r="W28" s="19">
        <f t="shared" si="6"/>
        <v>3</v>
      </c>
      <c r="X28" s="39">
        <f t="shared" si="7"/>
        <v>3</v>
      </c>
      <c r="Y28" s="44" t="s">
        <v>840</v>
      </c>
      <c r="Z28" s="18">
        <v>1.0</v>
      </c>
      <c r="AA28" s="18">
        <v>2.0</v>
      </c>
      <c r="AB28" s="19">
        <f t="shared" si="8"/>
        <v>5</v>
      </c>
      <c r="AC28" s="27">
        <f>AB28*VLOOKUP(Y28,'Almacen MP'!$A$8:$F$17,6,FALSE())</f>
        <v>9.9</v>
      </c>
      <c r="AD28" s="44" t="s">
        <v>841</v>
      </c>
      <c r="AE28" s="44" t="s">
        <v>842</v>
      </c>
      <c r="AF28" s="44" t="s">
        <v>843</v>
      </c>
      <c r="AG28" s="44" t="s">
        <v>844</v>
      </c>
      <c r="AH28" s="21" t="s">
        <v>845</v>
      </c>
      <c r="AI28" s="45" t="s">
        <v>430</v>
      </c>
      <c r="AJ28" s="21" t="s">
        <v>846</v>
      </c>
      <c r="AK28" s="44" t="s">
        <v>847</v>
      </c>
      <c r="AL28" s="19">
        <f t="shared" si="9"/>
        <v>2000</v>
      </c>
    </row>
    <row r="29" ht="75.0" customHeight="1">
      <c r="A29" s="17" t="s">
        <v>473</v>
      </c>
      <c r="B29" s="44" t="s">
        <v>474</v>
      </c>
      <c r="C29" s="44" t="s">
        <v>848</v>
      </c>
      <c r="D29" s="44" t="s">
        <v>849</v>
      </c>
      <c r="E29" s="44" t="s">
        <v>850</v>
      </c>
      <c r="F29" s="44" t="s">
        <v>774</v>
      </c>
      <c r="G29" s="44" t="s">
        <v>851</v>
      </c>
      <c r="H29" s="44" t="s">
        <v>224</v>
      </c>
      <c r="I29" s="44" t="s">
        <v>852</v>
      </c>
      <c r="J29" s="18">
        <v>25.0</v>
      </c>
      <c r="K29" s="18">
        <v>0.3</v>
      </c>
      <c r="L29" s="19">
        <f>'Consumo Anual'!M30</f>
        <v>1822.685468</v>
      </c>
      <c r="M29" s="19">
        <f>L29*Volumenes!$B$57</f>
        <v>218.7222561</v>
      </c>
      <c r="N29" s="27">
        <f>M29/Volumenes!$B$58</f>
        <v>10.93611281</v>
      </c>
      <c r="O29" s="18">
        <v>5.0</v>
      </c>
      <c r="P29" s="18">
        <v>20.0</v>
      </c>
      <c r="Q29" s="19">
        <f t="shared" si="1"/>
        <v>218.7222561</v>
      </c>
      <c r="R29" s="19">
        <f t="shared" si="2"/>
        <v>9</v>
      </c>
      <c r="S29" s="27">
        <f t="shared" si="3"/>
        <v>8.1008243</v>
      </c>
      <c r="T29" s="19">
        <f t="shared" si="4"/>
        <v>20.57403796</v>
      </c>
      <c r="U29" s="18">
        <v>10.0</v>
      </c>
      <c r="V29" s="19">
        <f t="shared" si="5"/>
        <v>334.3611281</v>
      </c>
      <c r="W29" s="19">
        <f t="shared" si="6"/>
        <v>14</v>
      </c>
      <c r="X29" s="39">
        <f t="shared" si="7"/>
        <v>0.0042</v>
      </c>
      <c r="Y29" s="44" t="s">
        <v>797</v>
      </c>
      <c r="Z29" s="18">
        <v>10.0</v>
      </c>
      <c r="AA29" s="18">
        <v>0.0</v>
      </c>
      <c r="AB29" s="19">
        <f t="shared" si="8"/>
        <v>2</v>
      </c>
      <c r="AC29" s="27">
        <f>AB29*VLOOKUP(Y29,'Almacen MP'!$A$8:$F$17,6,FALSE())</f>
        <v>2.4</v>
      </c>
      <c r="AD29" s="44" t="s">
        <v>778</v>
      </c>
      <c r="AE29" s="44" t="s">
        <v>798</v>
      </c>
      <c r="AF29" s="44" t="s">
        <v>853</v>
      </c>
      <c r="AG29" s="44" t="s">
        <v>780</v>
      </c>
      <c r="AH29" s="21" t="s">
        <v>104</v>
      </c>
      <c r="AI29" s="45" t="s">
        <v>104</v>
      </c>
      <c r="AJ29" s="21" t="s">
        <v>359</v>
      </c>
      <c r="AK29" s="44" t="s">
        <v>827</v>
      </c>
      <c r="AL29" s="19">
        <f t="shared" si="9"/>
        <v>2.7</v>
      </c>
    </row>
    <row r="30" ht="75.0" customHeight="1">
      <c r="A30" s="17" t="s">
        <v>483</v>
      </c>
      <c r="B30" s="44" t="s">
        <v>484</v>
      </c>
      <c r="C30" s="44" t="s">
        <v>854</v>
      </c>
      <c r="D30" s="44" t="s">
        <v>855</v>
      </c>
      <c r="E30" s="44" t="s">
        <v>856</v>
      </c>
      <c r="F30" s="44" t="s">
        <v>774</v>
      </c>
      <c r="G30" s="44" t="s">
        <v>851</v>
      </c>
      <c r="H30" s="44" t="s">
        <v>224</v>
      </c>
      <c r="I30" s="44" t="s">
        <v>852</v>
      </c>
      <c r="J30" s="18">
        <v>25.0</v>
      </c>
      <c r="K30" s="18">
        <v>3.0</v>
      </c>
      <c r="L30" s="19">
        <f>'Consumo Anual'!M31</f>
        <v>1915.553333</v>
      </c>
      <c r="M30" s="19">
        <f>L30*Volumenes!$B$57</f>
        <v>229.8664</v>
      </c>
      <c r="N30" s="27">
        <f>M30/Volumenes!$B$58</f>
        <v>11.49332</v>
      </c>
      <c r="O30" s="18">
        <v>5.0</v>
      </c>
      <c r="P30" s="18">
        <v>20.0</v>
      </c>
      <c r="Q30" s="19">
        <f t="shared" si="1"/>
        <v>229.8664</v>
      </c>
      <c r="R30" s="19">
        <f t="shared" si="2"/>
        <v>10</v>
      </c>
      <c r="S30" s="27">
        <f t="shared" si="3"/>
        <v>7.662213333</v>
      </c>
      <c r="T30" s="19">
        <f t="shared" si="4"/>
        <v>21.75176537</v>
      </c>
      <c r="U30" s="18">
        <v>10.0</v>
      </c>
      <c r="V30" s="19">
        <f t="shared" si="5"/>
        <v>364.9332</v>
      </c>
      <c r="W30" s="19">
        <f t="shared" si="6"/>
        <v>15</v>
      </c>
      <c r="X30" s="39">
        <f t="shared" si="7"/>
        <v>0.045</v>
      </c>
      <c r="Y30" s="44" t="s">
        <v>797</v>
      </c>
      <c r="Z30" s="18">
        <v>10.0</v>
      </c>
      <c r="AA30" s="18">
        <v>0.0</v>
      </c>
      <c r="AB30" s="19">
        <f t="shared" si="8"/>
        <v>2</v>
      </c>
      <c r="AC30" s="27">
        <f>AB30*VLOOKUP(Y30,'Almacen MP'!$A$8:$F$17,6,FALSE())</f>
        <v>2.4</v>
      </c>
      <c r="AD30" s="44" t="s">
        <v>778</v>
      </c>
      <c r="AE30" s="44" t="s">
        <v>798</v>
      </c>
      <c r="AF30" s="44" t="s">
        <v>150</v>
      </c>
      <c r="AG30" s="44" t="s">
        <v>780</v>
      </c>
      <c r="AH30" s="21" t="s">
        <v>857</v>
      </c>
      <c r="AI30" s="45" t="s">
        <v>104</v>
      </c>
      <c r="AJ30" s="21" t="s">
        <v>359</v>
      </c>
      <c r="AK30" s="44" t="s">
        <v>827</v>
      </c>
      <c r="AL30" s="19">
        <f t="shared" si="9"/>
        <v>30</v>
      </c>
    </row>
    <row r="31" ht="75.0" customHeight="1">
      <c r="A31" s="17" t="s">
        <v>494</v>
      </c>
      <c r="B31" s="44" t="s">
        <v>495</v>
      </c>
      <c r="C31" s="44" t="s">
        <v>858</v>
      </c>
      <c r="D31" s="44" t="s">
        <v>859</v>
      </c>
      <c r="E31" s="44" t="s">
        <v>860</v>
      </c>
      <c r="F31" s="44" t="s">
        <v>861</v>
      </c>
      <c r="G31" s="44" t="s">
        <v>862</v>
      </c>
      <c r="H31" s="44" t="s">
        <v>155</v>
      </c>
      <c r="I31" s="44" t="s">
        <v>863</v>
      </c>
      <c r="J31" s="18">
        <v>1000.0</v>
      </c>
      <c r="K31" s="18">
        <v>1035.0</v>
      </c>
      <c r="L31" s="19">
        <f>'Consumo Anual'!M32</f>
        <v>6030.44335</v>
      </c>
      <c r="M31" s="19">
        <f>L31*Volumenes!$B$57</f>
        <v>723.653202</v>
      </c>
      <c r="N31" s="27">
        <f>M31/Volumenes!$B$58</f>
        <v>36.1826601</v>
      </c>
      <c r="O31" s="18">
        <v>7.0</v>
      </c>
      <c r="P31" s="18">
        <v>60.0</v>
      </c>
      <c r="Q31" s="19">
        <f t="shared" si="1"/>
        <v>2170.959606</v>
      </c>
      <c r="R31" s="19">
        <f t="shared" si="2"/>
        <v>3</v>
      </c>
      <c r="S31" s="27">
        <f t="shared" si="3"/>
        <v>2.010147783</v>
      </c>
      <c r="T31" s="19">
        <f t="shared" si="4"/>
        <v>82.91264357</v>
      </c>
      <c r="U31" s="18">
        <v>20.0</v>
      </c>
      <c r="V31" s="19">
        <f t="shared" si="5"/>
        <v>3723.653202</v>
      </c>
      <c r="W31" s="19">
        <f t="shared" si="6"/>
        <v>4</v>
      </c>
      <c r="X31" s="39">
        <f t="shared" si="7"/>
        <v>4.14</v>
      </c>
      <c r="Y31" s="44" t="s">
        <v>777</v>
      </c>
      <c r="Z31" s="18">
        <v>1.0</v>
      </c>
      <c r="AA31" s="18">
        <v>0.0</v>
      </c>
      <c r="AB31" s="19">
        <f t="shared" si="8"/>
        <v>4</v>
      </c>
      <c r="AC31" s="27">
        <f>AB31*VLOOKUP(Y31,'Almacen MP'!$A$8:$F$17,6,FALSE())</f>
        <v>5.201833333</v>
      </c>
      <c r="AD31" s="44" t="s">
        <v>778</v>
      </c>
      <c r="AE31" s="44" t="s">
        <v>752</v>
      </c>
      <c r="AF31" s="44" t="s">
        <v>864</v>
      </c>
      <c r="AG31" s="44" t="s">
        <v>764</v>
      </c>
      <c r="AH31" s="21" t="s">
        <v>865</v>
      </c>
      <c r="AI31" s="45" t="s">
        <v>395</v>
      </c>
      <c r="AJ31" s="21" t="s">
        <v>866</v>
      </c>
      <c r="AK31" s="44" t="s">
        <v>867</v>
      </c>
      <c r="AL31" s="19">
        <f t="shared" si="9"/>
        <v>3105</v>
      </c>
    </row>
    <row r="32" ht="75.0" customHeight="1">
      <c r="A32" s="17" t="s">
        <v>499</v>
      </c>
      <c r="B32" s="44" t="s">
        <v>500</v>
      </c>
      <c r="C32" s="44" t="s">
        <v>868</v>
      </c>
      <c r="D32" s="44" t="s">
        <v>869</v>
      </c>
      <c r="E32" s="44" t="s">
        <v>870</v>
      </c>
      <c r="F32" s="44" t="s">
        <v>774</v>
      </c>
      <c r="G32" s="44" t="s">
        <v>871</v>
      </c>
      <c r="H32" s="44" t="s">
        <v>322</v>
      </c>
      <c r="I32" s="44" t="s">
        <v>872</v>
      </c>
      <c r="J32" s="18">
        <v>200.0</v>
      </c>
      <c r="K32" s="18">
        <v>220.0</v>
      </c>
      <c r="L32" s="19">
        <f>'Consumo Anual'!M33</f>
        <v>356.4430542</v>
      </c>
      <c r="M32" s="19">
        <f>L32*Volumenes!$B$57</f>
        <v>42.7731665</v>
      </c>
      <c r="N32" s="27">
        <f>M32/Volumenes!$B$58</f>
        <v>2.138658325</v>
      </c>
      <c r="O32" s="18">
        <v>10.0</v>
      </c>
      <c r="P32" s="18">
        <v>60.0</v>
      </c>
      <c r="Q32" s="19">
        <f t="shared" si="1"/>
        <v>200</v>
      </c>
      <c r="R32" s="19">
        <f t="shared" si="2"/>
        <v>1</v>
      </c>
      <c r="S32" s="27">
        <f t="shared" si="3"/>
        <v>1.782215271</v>
      </c>
      <c r="T32" s="19">
        <f t="shared" si="4"/>
        <v>93.51657423</v>
      </c>
      <c r="U32" s="18">
        <v>20.0</v>
      </c>
      <c r="V32" s="19">
        <f t="shared" si="5"/>
        <v>242.7731665</v>
      </c>
      <c r="W32" s="19">
        <f t="shared" si="6"/>
        <v>2</v>
      </c>
      <c r="X32" s="39">
        <f t="shared" si="7"/>
        <v>0.44</v>
      </c>
      <c r="Y32" s="44" t="s">
        <v>873</v>
      </c>
      <c r="Z32" s="18">
        <v>4.0</v>
      </c>
      <c r="AA32" s="18">
        <v>0.0</v>
      </c>
      <c r="AB32" s="19">
        <f t="shared" si="8"/>
        <v>1</v>
      </c>
      <c r="AC32" s="27">
        <f>AB32*VLOOKUP(Y32,'Almacen MP'!$A$8:$F$17,6,FALSE())</f>
        <v>2.535</v>
      </c>
      <c r="AD32" s="44" t="s">
        <v>874</v>
      </c>
      <c r="AE32" s="44" t="s">
        <v>752</v>
      </c>
      <c r="AF32" s="44" t="s">
        <v>875</v>
      </c>
      <c r="AG32" s="44" t="s">
        <v>805</v>
      </c>
      <c r="AH32" s="21" t="s">
        <v>876</v>
      </c>
      <c r="AI32" s="45" t="s">
        <v>104</v>
      </c>
      <c r="AJ32" s="21" t="s">
        <v>877</v>
      </c>
      <c r="AK32" s="44" t="s">
        <v>878</v>
      </c>
      <c r="AL32" s="19">
        <f t="shared" si="9"/>
        <v>220</v>
      </c>
    </row>
    <row r="33" ht="75.0" customHeight="1">
      <c r="A33" s="17" t="s">
        <v>506</v>
      </c>
      <c r="B33" s="44" t="s">
        <v>507</v>
      </c>
      <c r="C33" s="44" t="s">
        <v>879</v>
      </c>
      <c r="D33" s="44" t="s">
        <v>869</v>
      </c>
      <c r="E33" s="44" t="s">
        <v>880</v>
      </c>
      <c r="F33" s="44" t="s">
        <v>774</v>
      </c>
      <c r="G33" s="44" t="s">
        <v>871</v>
      </c>
      <c r="H33" s="44" t="s">
        <v>322</v>
      </c>
      <c r="I33" s="44" t="s">
        <v>872</v>
      </c>
      <c r="J33" s="18">
        <v>200.0</v>
      </c>
      <c r="K33" s="18">
        <v>240.0</v>
      </c>
      <c r="L33" s="19">
        <f>'Consumo Anual'!M34</f>
        <v>356.4430542</v>
      </c>
      <c r="M33" s="19">
        <f>L33*Volumenes!$B$57</f>
        <v>42.7731665</v>
      </c>
      <c r="N33" s="27">
        <f>M33/Volumenes!$B$58</f>
        <v>2.138658325</v>
      </c>
      <c r="O33" s="18">
        <v>10.0</v>
      </c>
      <c r="P33" s="18">
        <v>60.0</v>
      </c>
      <c r="Q33" s="19">
        <f t="shared" si="1"/>
        <v>200</v>
      </c>
      <c r="R33" s="19">
        <f t="shared" si="2"/>
        <v>1</v>
      </c>
      <c r="S33" s="27">
        <f t="shared" si="3"/>
        <v>1.782215271</v>
      </c>
      <c r="T33" s="19">
        <f t="shared" si="4"/>
        <v>93.51657423</v>
      </c>
      <c r="U33" s="18">
        <v>20.0</v>
      </c>
      <c r="V33" s="19">
        <f t="shared" si="5"/>
        <v>242.7731665</v>
      </c>
      <c r="W33" s="19">
        <f t="shared" si="6"/>
        <v>2</v>
      </c>
      <c r="X33" s="39">
        <f t="shared" si="7"/>
        <v>0.48</v>
      </c>
      <c r="Y33" s="44" t="s">
        <v>873</v>
      </c>
      <c r="Z33" s="18">
        <v>4.0</v>
      </c>
      <c r="AA33" s="18">
        <v>0.0</v>
      </c>
      <c r="AB33" s="19">
        <f t="shared" si="8"/>
        <v>1</v>
      </c>
      <c r="AC33" s="27">
        <f>AB33*VLOOKUP(Y33,'Almacen MP'!$A$8:$F$17,6,FALSE())</f>
        <v>2.535</v>
      </c>
      <c r="AD33" s="44" t="s">
        <v>874</v>
      </c>
      <c r="AE33" s="44" t="s">
        <v>752</v>
      </c>
      <c r="AF33" s="44" t="s">
        <v>881</v>
      </c>
      <c r="AG33" s="44" t="s">
        <v>805</v>
      </c>
      <c r="AH33" s="21" t="s">
        <v>876</v>
      </c>
      <c r="AI33" s="45" t="s">
        <v>104</v>
      </c>
      <c r="AJ33" s="21" t="s">
        <v>882</v>
      </c>
      <c r="AK33" s="44" t="s">
        <v>878</v>
      </c>
      <c r="AL33" s="19">
        <f t="shared" si="9"/>
        <v>240</v>
      </c>
    </row>
    <row r="34" ht="75.0" customHeight="1">
      <c r="A34" s="17" t="s">
        <v>509</v>
      </c>
      <c r="B34" s="44" t="s">
        <v>510</v>
      </c>
      <c r="C34" s="44" t="s">
        <v>883</v>
      </c>
      <c r="D34" s="44" t="s">
        <v>884</v>
      </c>
      <c r="E34" s="44" t="s">
        <v>885</v>
      </c>
      <c r="F34" s="44" t="s">
        <v>886</v>
      </c>
      <c r="G34" s="44" t="s">
        <v>887</v>
      </c>
      <c r="H34" s="44" t="s">
        <v>155</v>
      </c>
      <c r="I34" s="44" t="s">
        <v>888</v>
      </c>
      <c r="J34" s="18">
        <v>600.0</v>
      </c>
      <c r="K34" s="18">
        <v>620.0</v>
      </c>
      <c r="L34" s="19">
        <f>'Consumo Anual'!M35</f>
        <v>4990.202758</v>
      </c>
      <c r="M34" s="19">
        <f>L34*Volumenes!$B$57</f>
        <v>598.824331</v>
      </c>
      <c r="N34" s="27">
        <f>M34/Volumenes!$B$58</f>
        <v>29.94121655</v>
      </c>
      <c r="O34" s="18">
        <v>10.0</v>
      </c>
      <c r="P34" s="18">
        <v>20.0</v>
      </c>
      <c r="Q34" s="19">
        <f t="shared" si="1"/>
        <v>600</v>
      </c>
      <c r="R34" s="19">
        <f t="shared" si="2"/>
        <v>1</v>
      </c>
      <c r="S34" s="27">
        <f t="shared" si="3"/>
        <v>8.317004597</v>
      </c>
      <c r="T34" s="19">
        <f t="shared" si="4"/>
        <v>20.03926591</v>
      </c>
      <c r="U34" s="18">
        <v>10.0</v>
      </c>
      <c r="V34" s="19">
        <f t="shared" si="5"/>
        <v>899.4121655</v>
      </c>
      <c r="W34" s="19">
        <f t="shared" si="6"/>
        <v>2</v>
      </c>
      <c r="X34" s="39">
        <f t="shared" si="7"/>
        <v>1.24</v>
      </c>
      <c r="Y34" s="44" t="s">
        <v>777</v>
      </c>
      <c r="Z34" s="18">
        <v>1.0</v>
      </c>
      <c r="AA34" s="18">
        <v>0.0</v>
      </c>
      <c r="AB34" s="19">
        <f t="shared" si="8"/>
        <v>2</v>
      </c>
      <c r="AC34" s="27">
        <f>AB34*VLOOKUP(Y34,'Almacen MP'!$A$8:$F$17,6,FALSE())</f>
        <v>2.600916667</v>
      </c>
      <c r="AD34" s="44" t="s">
        <v>889</v>
      </c>
      <c r="AE34" s="44" t="s">
        <v>752</v>
      </c>
      <c r="AF34" s="44" t="s">
        <v>890</v>
      </c>
      <c r="AG34" s="44" t="s">
        <v>780</v>
      </c>
      <c r="AH34" s="21" t="s">
        <v>891</v>
      </c>
      <c r="AI34" s="45" t="s">
        <v>456</v>
      </c>
      <c r="AJ34" s="21" t="s">
        <v>892</v>
      </c>
      <c r="AK34" s="44" t="s">
        <v>893</v>
      </c>
      <c r="AL34" s="19">
        <f t="shared" si="9"/>
        <v>620</v>
      </c>
    </row>
    <row r="35" ht="75.0" customHeight="1">
      <c r="A35" s="17" t="s">
        <v>512</v>
      </c>
      <c r="B35" s="44" t="s">
        <v>513</v>
      </c>
      <c r="C35" s="44" t="s">
        <v>894</v>
      </c>
      <c r="D35" s="44" t="s">
        <v>895</v>
      </c>
      <c r="E35" s="44" t="s">
        <v>896</v>
      </c>
      <c r="F35" s="44" t="s">
        <v>774</v>
      </c>
      <c r="G35" s="44" t="s">
        <v>897</v>
      </c>
      <c r="H35" s="44" t="s">
        <v>224</v>
      </c>
      <c r="I35" s="44" t="s">
        <v>898</v>
      </c>
      <c r="J35" s="18">
        <v>500.0</v>
      </c>
      <c r="K35" s="18">
        <v>5.0</v>
      </c>
      <c r="L35" s="19">
        <f>'Consumo Anual'!M36</f>
        <v>5684.66</v>
      </c>
      <c r="M35" s="19">
        <f>L35*Volumenes!$B$57</f>
        <v>682.1592</v>
      </c>
      <c r="N35" s="27">
        <f>M35/Volumenes!$B$58</f>
        <v>34.10796</v>
      </c>
      <c r="O35" s="18">
        <v>10.0</v>
      </c>
      <c r="P35" s="18">
        <v>60.0</v>
      </c>
      <c r="Q35" s="19">
        <f t="shared" si="1"/>
        <v>2046.4776</v>
      </c>
      <c r="R35" s="19">
        <f t="shared" si="2"/>
        <v>5</v>
      </c>
      <c r="S35" s="27">
        <f t="shared" si="3"/>
        <v>2.273864</v>
      </c>
      <c r="T35" s="19">
        <f t="shared" si="4"/>
        <v>73.29667327</v>
      </c>
      <c r="U35" s="18">
        <v>20.0</v>
      </c>
      <c r="V35" s="19">
        <f t="shared" si="5"/>
        <v>3182.1592</v>
      </c>
      <c r="W35" s="19">
        <f t="shared" si="6"/>
        <v>7</v>
      </c>
      <c r="X35" s="39">
        <f t="shared" si="7"/>
        <v>0.035</v>
      </c>
      <c r="Y35" s="44" t="s">
        <v>797</v>
      </c>
      <c r="Z35" s="18">
        <v>4.0</v>
      </c>
      <c r="AA35" s="18">
        <v>0.0</v>
      </c>
      <c r="AB35" s="19">
        <f t="shared" si="8"/>
        <v>2</v>
      </c>
      <c r="AC35" s="27">
        <f>AB35*VLOOKUP(Y35,'Almacen MP'!$A$8:$F$17,6,FALSE())</f>
        <v>2.4</v>
      </c>
      <c r="AD35" s="44" t="s">
        <v>778</v>
      </c>
      <c r="AE35" s="44" t="s">
        <v>798</v>
      </c>
      <c r="AF35" s="44" t="s">
        <v>899</v>
      </c>
      <c r="AG35" s="44" t="s">
        <v>814</v>
      </c>
      <c r="AH35" s="21" t="s">
        <v>104</v>
      </c>
      <c r="AI35" s="45" t="s">
        <v>104</v>
      </c>
      <c r="AJ35" s="21" t="s">
        <v>359</v>
      </c>
      <c r="AK35" s="44" t="s">
        <v>893</v>
      </c>
      <c r="AL35" s="19">
        <f t="shared" si="9"/>
        <v>25</v>
      </c>
    </row>
    <row r="36" ht="75.0" customHeight="1">
      <c r="A36" s="17" t="s">
        <v>496</v>
      </c>
      <c r="B36" s="44" t="s">
        <v>497</v>
      </c>
      <c r="C36" s="44" t="s">
        <v>900</v>
      </c>
      <c r="D36" s="44" t="s">
        <v>901</v>
      </c>
      <c r="E36" s="44" t="s">
        <v>902</v>
      </c>
      <c r="F36" s="44" t="s">
        <v>903</v>
      </c>
      <c r="G36" s="44" t="s">
        <v>904</v>
      </c>
      <c r="H36" s="44" t="s">
        <v>155</v>
      </c>
      <c r="I36" s="44" t="s">
        <v>905</v>
      </c>
      <c r="J36" s="18">
        <v>1000.0</v>
      </c>
      <c r="K36" s="18">
        <v>1010.0</v>
      </c>
      <c r="L36" s="19">
        <f>'Consumo Anual'!M37</f>
        <v>403509.98</v>
      </c>
      <c r="M36" s="19">
        <f>L36*Volumenes!$B$57</f>
        <v>48421.1976</v>
      </c>
      <c r="N36" s="27">
        <f>M36/Volumenes!$B$58</f>
        <v>2421.05988</v>
      </c>
      <c r="O36" s="18">
        <v>7.0</v>
      </c>
      <c r="P36" s="18">
        <v>5.0</v>
      </c>
      <c r="Q36" s="19">
        <f t="shared" si="1"/>
        <v>12105.2994</v>
      </c>
      <c r="R36" s="19">
        <f t="shared" si="2"/>
        <v>13</v>
      </c>
      <c r="S36" s="27">
        <f t="shared" si="3"/>
        <v>31.03922923</v>
      </c>
      <c r="T36" s="19">
        <f t="shared" si="4"/>
        <v>5.369549141</v>
      </c>
      <c r="U36" s="18">
        <v>10.0</v>
      </c>
      <c r="V36" s="19">
        <f t="shared" si="5"/>
        <v>37210.5988</v>
      </c>
      <c r="W36" s="19">
        <f t="shared" si="6"/>
        <v>38</v>
      </c>
      <c r="X36" s="39">
        <f t="shared" si="7"/>
        <v>38.38</v>
      </c>
      <c r="Y36" s="44" t="s">
        <v>906</v>
      </c>
      <c r="Z36" s="18">
        <v>2.0</v>
      </c>
      <c r="AA36" s="18">
        <v>0.0</v>
      </c>
      <c r="AB36" s="19">
        <f t="shared" si="8"/>
        <v>19</v>
      </c>
      <c r="AC36" s="27">
        <f>AB36*VLOOKUP(Y36,'Almacen MP'!$A$8:$F$17,6,FALSE())</f>
        <v>20.52</v>
      </c>
      <c r="AD36" s="44" t="s">
        <v>907</v>
      </c>
      <c r="AE36" s="44" t="s">
        <v>752</v>
      </c>
      <c r="AF36" s="44" t="s">
        <v>908</v>
      </c>
      <c r="AG36" s="44" t="s">
        <v>909</v>
      </c>
      <c r="AH36" s="21" t="s">
        <v>910</v>
      </c>
      <c r="AI36" s="45" t="s">
        <v>502</v>
      </c>
      <c r="AJ36" s="21" t="s">
        <v>911</v>
      </c>
      <c r="AK36" s="44" t="s">
        <v>912</v>
      </c>
      <c r="AL36" s="19">
        <f t="shared" si="9"/>
        <v>13130</v>
      </c>
    </row>
    <row r="37" ht="75.0" customHeight="1">
      <c r="A37" s="17" t="s">
        <v>503</v>
      </c>
      <c r="B37" s="44" t="s">
        <v>504</v>
      </c>
      <c r="C37" s="44" t="s">
        <v>913</v>
      </c>
      <c r="D37" s="44" t="s">
        <v>914</v>
      </c>
      <c r="E37" s="44" t="s">
        <v>915</v>
      </c>
      <c r="F37" s="44" t="s">
        <v>916</v>
      </c>
      <c r="G37" s="44" t="s">
        <v>917</v>
      </c>
      <c r="H37" s="44" t="s">
        <v>310</v>
      </c>
      <c r="I37" s="44" t="s">
        <v>918</v>
      </c>
      <c r="J37" s="18">
        <v>103.0</v>
      </c>
      <c r="K37" s="18">
        <v>1000.0</v>
      </c>
      <c r="L37" s="19">
        <f>'Consumo Anual'!M38</f>
        <v>4730.379368</v>
      </c>
      <c r="M37" s="19">
        <f>L37*Volumenes!$B$57</f>
        <v>567.6455242</v>
      </c>
      <c r="N37" s="27">
        <f>M37/Volumenes!$B$58</f>
        <v>28.38227621</v>
      </c>
      <c r="O37" s="18">
        <v>1.0</v>
      </c>
      <c r="P37" s="18">
        <v>10.0</v>
      </c>
      <c r="Q37" s="19">
        <f t="shared" si="1"/>
        <v>283.8227621</v>
      </c>
      <c r="R37" s="19">
        <f t="shared" si="2"/>
        <v>3</v>
      </c>
      <c r="S37" s="27">
        <f t="shared" si="3"/>
        <v>15.3086711</v>
      </c>
      <c r="T37" s="19">
        <f t="shared" si="4"/>
        <v>10.88707606</v>
      </c>
      <c r="U37" s="18">
        <v>3.0</v>
      </c>
      <c r="V37" s="19">
        <f t="shared" si="5"/>
        <v>394.1468286</v>
      </c>
      <c r="W37" s="19">
        <f t="shared" si="6"/>
        <v>4</v>
      </c>
      <c r="X37" s="39">
        <f t="shared" si="7"/>
        <v>4</v>
      </c>
      <c r="Y37" s="44" t="s">
        <v>840</v>
      </c>
      <c r="Z37" s="18">
        <v>1.0</v>
      </c>
      <c r="AA37" s="18">
        <v>2.0</v>
      </c>
      <c r="AB37" s="19">
        <f t="shared" si="8"/>
        <v>6</v>
      </c>
      <c r="AC37" s="27">
        <f>AB37*VLOOKUP(Y37,'Almacen MP'!$A$8:$F$17,6,FALSE())</f>
        <v>11.88</v>
      </c>
      <c r="AD37" s="44" t="s">
        <v>841</v>
      </c>
      <c r="AE37" s="44" t="s">
        <v>842</v>
      </c>
      <c r="AF37" s="44" t="s">
        <v>919</v>
      </c>
      <c r="AG37" s="44" t="s">
        <v>704</v>
      </c>
      <c r="AH37" s="21" t="s">
        <v>920</v>
      </c>
      <c r="AI37" s="45" t="s">
        <v>430</v>
      </c>
      <c r="AJ37" s="21" t="s">
        <v>921</v>
      </c>
      <c r="AK37" s="44" t="s">
        <v>847</v>
      </c>
      <c r="AL37" s="19">
        <f t="shared" si="9"/>
        <v>3000</v>
      </c>
    </row>
    <row r="38" ht="75.0" customHeight="1">
      <c r="A38" s="17" t="s">
        <v>516</v>
      </c>
      <c r="B38" s="44" t="s">
        <v>517</v>
      </c>
      <c r="C38" s="44" t="s">
        <v>922</v>
      </c>
      <c r="D38" s="44" t="s">
        <v>923</v>
      </c>
      <c r="E38" s="44" t="s">
        <v>924</v>
      </c>
      <c r="F38" s="44" t="s">
        <v>925</v>
      </c>
      <c r="G38" s="44" t="s">
        <v>926</v>
      </c>
      <c r="H38" s="44" t="s">
        <v>155</v>
      </c>
      <c r="I38" s="44" t="s">
        <v>926</v>
      </c>
      <c r="J38" s="18">
        <v>25.0</v>
      </c>
      <c r="K38" s="18">
        <v>25.0</v>
      </c>
      <c r="L38" s="19">
        <f>'Consumo Anual'!M39</f>
        <v>206.25</v>
      </c>
      <c r="M38" s="19">
        <f>L38*Volumenes!$B$57</f>
        <v>24.75</v>
      </c>
      <c r="N38" s="27">
        <f>M38/Volumenes!$B$58</f>
        <v>1.2375</v>
      </c>
      <c r="O38" s="18">
        <v>7.0</v>
      </c>
      <c r="P38" s="18">
        <v>60.0</v>
      </c>
      <c r="Q38" s="19">
        <f t="shared" si="1"/>
        <v>74.25</v>
      </c>
      <c r="R38" s="19">
        <f t="shared" si="2"/>
        <v>3</v>
      </c>
      <c r="S38" s="27">
        <f t="shared" si="3"/>
        <v>2.75</v>
      </c>
      <c r="T38" s="19">
        <f t="shared" si="4"/>
        <v>60.60606061</v>
      </c>
      <c r="U38" s="18">
        <v>20.0</v>
      </c>
      <c r="V38" s="19">
        <f t="shared" si="5"/>
        <v>99.75</v>
      </c>
      <c r="W38" s="19">
        <f t="shared" si="6"/>
        <v>4</v>
      </c>
      <c r="X38" s="39">
        <f t="shared" si="7"/>
        <v>0.1</v>
      </c>
      <c r="Y38" s="44" t="s">
        <v>777</v>
      </c>
      <c r="Z38" s="18">
        <v>40.0</v>
      </c>
      <c r="AA38" s="18">
        <v>0.0</v>
      </c>
      <c r="AB38" s="19">
        <f t="shared" si="8"/>
        <v>1</v>
      </c>
      <c r="AC38" s="27">
        <f>AB38*VLOOKUP(Y38,'Almacen MP'!$A$8:$F$17,6,FALSE())</f>
        <v>1.300458333</v>
      </c>
      <c r="AD38" s="44" t="s">
        <v>907</v>
      </c>
      <c r="AE38" s="44" t="s">
        <v>798</v>
      </c>
      <c r="AF38" s="44" t="s">
        <v>927</v>
      </c>
      <c r="AG38" s="44" t="s">
        <v>928</v>
      </c>
      <c r="AH38" s="21" t="s">
        <v>929</v>
      </c>
      <c r="AI38" s="45" t="s">
        <v>96</v>
      </c>
      <c r="AJ38" s="21" t="s">
        <v>359</v>
      </c>
      <c r="AK38" s="44" t="s">
        <v>930</v>
      </c>
      <c r="AL38" s="19">
        <f t="shared" si="9"/>
        <v>75</v>
      </c>
    </row>
    <row r="39" ht="75.0" customHeight="1">
      <c r="A39" s="17" t="s">
        <v>519</v>
      </c>
      <c r="B39" s="44" t="s">
        <v>520</v>
      </c>
      <c r="C39" s="44" t="s">
        <v>931</v>
      </c>
      <c r="D39" s="44" t="s">
        <v>932</v>
      </c>
      <c r="E39" s="44" t="s">
        <v>933</v>
      </c>
      <c r="F39" s="44" t="s">
        <v>774</v>
      </c>
      <c r="G39" s="44" t="s">
        <v>934</v>
      </c>
      <c r="H39" s="44" t="s">
        <v>155</v>
      </c>
      <c r="I39" s="44" t="s">
        <v>926</v>
      </c>
      <c r="J39" s="18">
        <v>25.0</v>
      </c>
      <c r="K39" s="18">
        <v>25.0</v>
      </c>
      <c r="L39" s="19">
        <f>'Consumo Anual'!M40</f>
        <v>450</v>
      </c>
      <c r="M39" s="19">
        <f>L39*Volumenes!$B$57</f>
        <v>54</v>
      </c>
      <c r="N39" s="27">
        <f>M39/Volumenes!$B$58</f>
        <v>2.7</v>
      </c>
      <c r="O39" s="18">
        <v>15.0</v>
      </c>
      <c r="P39" s="18">
        <v>120.0</v>
      </c>
      <c r="Q39" s="19">
        <f t="shared" si="1"/>
        <v>324</v>
      </c>
      <c r="R39" s="19">
        <f t="shared" si="2"/>
        <v>13</v>
      </c>
      <c r="S39" s="27">
        <f t="shared" si="3"/>
        <v>1.384615385</v>
      </c>
      <c r="T39" s="19">
        <f t="shared" si="4"/>
        <v>120.3703704</v>
      </c>
      <c r="U39" s="18">
        <v>20.0</v>
      </c>
      <c r="V39" s="19">
        <f t="shared" si="5"/>
        <v>379</v>
      </c>
      <c r="W39" s="19">
        <f t="shared" si="6"/>
        <v>16</v>
      </c>
      <c r="X39" s="39">
        <f t="shared" si="7"/>
        <v>0.4</v>
      </c>
      <c r="Y39" s="44" t="s">
        <v>777</v>
      </c>
      <c r="Z39" s="18">
        <v>40.0</v>
      </c>
      <c r="AA39" s="18">
        <v>0.0</v>
      </c>
      <c r="AB39" s="19">
        <f t="shared" si="8"/>
        <v>1</v>
      </c>
      <c r="AC39" s="27">
        <f>AB39*VLOOKUP(Y39,'Almacen MP'!$A$8:$F$17,6,FALSE())</f>
        <v>1.300458333</v>
      </c>
      <c r="AD39" s="44" t="s">
        <v>907</v>
      </c>
      <c r="AE39" s="44" t="s">
        <v>798</v>
      </c>
      <c r="AF39" s="44" t="s">
        <v>935</v>
      </c>
      <c r="AG39" s="44" t="s">
        <v>936</v>
      </c>
      <c r="AH39" s="21" t="s">
        <v>104</v>
      </c>
      <c r="AI39" s="45" t="s">
        <v>104</v>
      </c>
      <c r="AJ39" s="21" t="s">
        <v>937</v>
      </c>
      <c r="AK39" s="44" t="s">
        <v>930</v>
      </c>
      <c r="AL39" s="19">
        <f t="shared" si="9"/>
        <v>325</v>
      </c>
    </row>
    <row r="40" ht="75.0" customHeight="1">
      <c r="A40" s="17" t="s">
        <v>521</v>
      </c>
      <c r="B40" s="44" t="s">
        <v>522</v>
      </c>
      <c r="C40" s="44" t="s">
        <v>938</v>
      </c>
      <c r="D40" s="44" t="s">
        <v>939</v>
      </c>
      <c r="E40" s="44" t="s">
        <v>940</v>
      </c>
      <c r="F40" s="44" t="s">
        <v>941</v>
      </c>
      <c r="G40" s="44" t="s">
        <v>942</v>
      </c>
      <c r="H40" s="44" t="s">
        <v>155</v>
      </c>
      <c r="I40" s="44" t="s">
        <v>943</v>
      </c>
      <c r="J40" s="18">
        <v>25.0</v>
      </c>
      <c r="K40" s="18">
        <v>95.0</v>
      </c>
      <c r="L40" s="19">
        <f>'Consumo Anual'!M41</f>
        <v>11114.18</v>
      </c>
      <c r="M40" s="19">
        <f>L40*Volumenes!$B$57</f>
        <v>1333.7016</v>
      </c>
      <c r="N40" s="27">
        <f>M40/Volumenes!$B$58</f>
        <v>66.68508</v>
      </c>
      <c r="O40" s="18">
        <v>2.0</v>
      </c>
      <c r="P40" s="18">
        <v>10.0</v>
      </c>
      <c r="Q40" s="19">
        <f t="shared" si="1"/>
        <v>666.8508</v>
      </c>
      <c r="R40" s="19">
        <f t="shared" si="2"/>
        <v>27</v>
      </c>
      <c r="S40" s="27">
        <f t="shared" si="3"/>
        <v>16.46545185</v>
      </c>
      <c r="T40" s="19">
        <f t="shared" si="4"/>
        <v>10.12220425</v>
      </c>
      <c r="U40" s="18">
        <v>5.0</v>
      </c>
      <c r="V40" s="19">
        <f t="shared" si="5"/>
        <v>1008.4254</v>
      </c>
      <c r="W40" s="19">
        <f t="shared" si="6"/>
        <v>41</v>
      </c>
      <c r="X40" s="39">
        <f t="shared" si="7"/>
        <v>3.895</v>
      </c>
      <c r="Y40" s="44" t="s">
        <v>944</v>
      </c>
      <c r="Z40" s="18">
        <v>1.0</v>
      </c>
      <c r="AA40" s="18">
        <v>1.0</v>
      </c>
      <c r="AB40" s="19">
        <f t="shared" si="8"/>
        <v>42</v>
      </c>
      <c r="AC40" s="27">
        <f>AB40*VLOOKUP(Y40,'Almacen MP'!$A$8:$F$17,6,FALSE())</f>
        <v>21</v>
      </c>
      <c r="AD40" s="44" t="s">
        <v>841</v>
      </c>
      <c r="AE40" s="44" t="s">
        <v>842</v>
      </c>
      <c r="AF40" s="44" t="s">
        <v>945</v>
      </c>
      <c r="AG40" s="44" t="s">
        <v>704</v>
      </c>
      <c r="AH40" s="21" t="s">
        <v>946</v>
      </c>
      <c r="AI40" s="45" t="s">
        <v>430</v>
      </c>
      <c r="AJ40" s="21" t="s">
        <v>947</v>
      </c>
      <c r="AK40" s="44" t="s">
        <v>847</v>
      </c>
      <c r="AL40" s="19">
        <f t="shared" si="9"/>
        <v>2565</v>
      </c>
    </row>
    <row r="41" ht="75.0" customHeight="1">
      <c r="A41" s="17" t="s">
        <v>529</v>
      </c>
      <c r="B41" s="44" t="s">
        <v>530</v>
      </c>
      <c r="C41" s="44" t="s">
        <v>948</v>
      </c>
      <c r="D41" s="44" t="s">
        <v>949</v>
      </c>
      <c r="E41" s="44" t="s">
        <v>933</v>
      </c>
      <c r="F41" s="44" t="s">
        <v>774</v>
      </c>
      <c r="G41" s="44" t="s">
        <v>950</v>
      </c>
      <c r="H41" s="44" t="s">
        <v>155</v>
      </c>
      <c r="I41" s="44" t="s">
        <v>951</v>
      </c>
      <c r="J41" s="18">
        <v>50.0</v>
      </c>
      <c r="K41" s="18">
        <v>110.0</v>
      </c>
      <c r="L41" s="19">
        <f>'Consumo Anual'!M42</f>
        <v>801.15</v>
      </c>
      <c r="M41" s="19">
        <f>L41*Volumenes!$B$57</f>
        <v>96.138</v>
      </c>
      <c r="N41" s="27">
        <f>M41/Volumenes!$B$58</f>
        <v>4.8069</v>
      </c>
      <c r="O41" s="18">
        <v>30.0</v>
      </c>
      <c r="P41" s="18">
        <v>60.0</v>
      </c>
      <c r="Q41" s="19">
        <f t="shared" si="1"/>
        <v>288.414</v>
      </c>
      <c r="R41" s="19">
        <f t="shared" si="2"/>
        <v>6</v>
      </c>
      <c r="S41" s="27">
        <f t="shared" si="3"/>
        <v>2.6705</v>
      </c>
      <c r="T41" s="19">
        <f t="shared" si="4"/>
        <v>62.41028522</v>
      </c>
      <c r="U41" s="18">
        <v>20.0</v>
      </c>
      <c r="V41" s="19">
        <f t="shared" si="5"/>
        <v>396.138</v>
      </c>
      <c r="W41" s="19">
        <f t="shared" si="6"/>
        <v>8</v>
      </c>
      <c r="X41" s="39">
        <f t="shared" si="7"/>
        <v>0.88</v>
      </c>
      <c r="Y41" s="44" t="s">
        <v>944</v>
      </c>
      <c r="Z41" s="18">
        <v>1.0</v>
      </c>
      <c r="AA41" s="18">
        <v>1.0</v>
      </c>
      <c r="AB41" s="19">
        <f t="shared" si="8"/>
        <v>9</v>
      </c>
      <c r="AC41" s="27">
        <f>AB41*VLOOKUP(Y41,'Almacen MP'!$A$8:$F$17,6,FALSE())</f>
        <v>4.5</v>
      </c>
      <c r="AD41" s="44" t="s">
        <v>841</v>
      </c>
      <c r="AE41" s="44" t="s">
        <v>798</v>
      </c>
      <c r="AF41" s="44" t="s">
        <v>952</v>
      </c>
      <c r="AG41" s="44" t="s">
        <v>936</v>
      </c>
      <c r="AH41" s="21" t="s">
        <v>953</v>
      </c>
      <c r="AI41" s="45" t="s">
        <v>104</v>
      </c>
      <c r="AJ41" s="21" t="s">
        <v>954</v>
      </c>
      <c r="AK41" s="44" t="s">
        <v>930</v>
      </c>
      <c r="AL41" s="19">
        <f t="shared" si="9"/>
        <v>660</v>
      </c>
    </row>
    <row r="42" ht="75.0" customHeight="1">
      <c r="A42" s="17" t="s">
        <v>535</v>
      </c>
      <c r="B42" s="44" t="s">
        <v>536</v>
      </c>
      <c r="C42" s="44" t="s">
        <v>955</v>
      </c>
      <c r="D42" s="44" t="s">
        <v>956</v>
      </c>
      <c r="E42" s="44" t="s">
        <v>915</v>
      </c>
      <c r="F42" s="44" t="s">
        <v>774</v>
      </c>
      <c r="G42" s="44" t="s">
        <v>957</v>
      </c>
      <c r="H42" s="44" t="s">
        <v>310</v>
      </c>
      <c r="I42" s="44" t="s">
        <v>958</v>
      </c>
      <c r="J42" s="34">
        <v>9.5</v>
      </c>
      <c r="K42" s="18">
        <v>75.0</v>
      </c>
      <c r="L42" s="19">
        <f>'Consumo Anual'!M43</f>
        <v>3.052</v>
      </c>
      <c r="M42" s="19">
        <f>L42*Volumenes!$B$57</f>
        <v>0.36624</v>
      </c>
      <c r="N42" s="27">
        <f>M42/Volumenes!$B$58</f>
        <v>0.018312</v>
      </c>
      <c r="O42" s="18">
        <v>2.0</v>
      </c>
      <c r="P42" s="18">
        <v>120.0</v>
      </c>
      <c r="Q42" s="19">
        <f t="shared" si="1"/>
        <v>9.5</v>
      </c>
      <c r="R42" s="19">
        <f t="shared" si="2"/>
        <v>1</v>
      </c>
      <c r="S42" s="27">
        <f t="shared" si="3"/>
        <v>0.3212631579</v>
      </c>
      <c r="T42" s="19">
        <f t="shared" si="4"/>
        <v>518.7854958</v>
      </c>
      <c r="U42" s="18">
        <v>20.0</v>
      </c>
      <c r="V42" s="19">
        <f t="shared" si="5"/>
        <v>9.86624</v>
      </c>
      <c r="W42" s="19">
        <f t="shared" si="6"/>
        <v>2</v>
      </c>
      <c r="X42" s="39">
        <f t="shared" si="7"/>
        <v>0.15</v>
      </c>
      <c r="Y42" s="44" t="s">
        <v>944</v>
      </c>
      <c r="Z42" s="18">
        <v>1.0</v>
      </c>
      <c r="AA42" s="18">
        <v>1.0</v>
      </c>
      <c r="AB42" s="19">
        <f t="shared" si="8"/>
        <v>3</v>
      </c>
      <c r="AC42" s="27">
        <f>AB42*VLOOKUP(Y42,'Almacen MP'!$A$8:$F$17,6,FALSE())</f>
        <v>1.5</v>
      </c>
      <c r="AD42" s="44" t="s">
        <v>841</v>
      </c>
      <c r="AE42" s="44" t="s">
        <v>842</v>
      </c>
      <c r="AF42" s="44" t="s">
        <v>959</v>
      </c>
      <c r="AG42" s="44" t="s">
        <v>960</v>
      </c>
      <c r="AH42" s="21" t="s">
        <v>961</v>
      </c>
      <c r="AI42" s="45" t="s">
        <v>104</v>
      </c>
      <c r="AJ42" s="21" t="s">
        <v>359</v>
      </c>
      <c r="AK42" s="44" t="s">
        <v>847</v>
      </c>
      <c r="AL42" s="19">
        <f t="shared" si="9"/>
        <v>75</v>
      </c>
    </row>
    <row r="43" ht="75.0" customHeight="1">
      <c r="A43" s="17" t="s">
        <v>541</v>
      </c>
      <c r="B43" s="44" t="s">
        <v>542</v>
      </c>
      <c r="C43" s="44" t="s">
        <v>962</v>
      </c>
      <c r="D43" s="44" t="s">
        <v>963</v>
      </c>
      <c r="E43" s="44" t="s">
        <v>964</v>
      </c>
      <c r="F43" s="44" t="s">
        <v>965</v>
      </c>
      <c r="G43" s="44" t="s">
        <v>966</v>
      </c>
      <c r="H43" s="44" t="s">
        <v>322</v>
      </c>
      <c r="I43" s="44" t="s">
        <v>967</v>
      </c>
      <c r="J43" s="18">
        <v>20.0</v>
      </c>
      <c r="K43" s="18">
        <v>21.0</v>
      </c>
      <c r="L43" s="19">
        <f>'Consumo Anual'!M44</f>
        <v>1191</v>
      </c>
      <c r="M43" s="19">
        <f>L43*Volumenes!$B$57</f>
        <v>142.92</v>
      </c>
      <c r="N43" s="27">
        <f>M43/Volumenes!$B$58</f>
        <v>7.146</v>
      </c>
      <c r="O43" s="18">
        <v>7.0</v>
      </c>
      <c r="P43" s="18">
        <v>60.0</v>
      </c>
      <c r="Q43" s="19">
        <f t="shared" si="1"/>
        <v>428.76</v>
      </c>
      <c r="R43" s="19">
        <f t="shared" si="2"/>
        <v>22</v>
      </c>
      <c r="S43" s="27">
        <f t="shared" si="3"/>
        <v>2.706818182</v>
      </c>
      <c r="T43" s="19">
        <f t="shared" si="4"/>
        <v>61.57290792</v>
      </c>
      <c r="U43" s="18">
        <v>20.0</v>
      </c>
      <c r="V43" s="19">
        <f t="shared" si="5"/>
        <v>582.92</v>
      </c>
      <c r="W43" s="19">
        <f t="shared" si="6"/>
        <v>30</v>
      </c>
      <c r="X43" s="39">
        <f t="shared" si="7"/>
        <v>0.63</v>
      </c>
      <c r="Y43" s="44" t="s">
        <v>873</v>
      </c>
      <c r="Z43" s="18">
        <v>24.0</v>
      </c>
      <c r="AA43" s="18">
        <v>0.0</v>
      </c>
      <c r="AB43" s="19">
        <f t="shared" si="8"/>
        <v>2</v>
      </c>
      <c r="AC43" s="27">
        <f>AB43*VLOOKUP(Y43,'Almacen MP'!$A$8:$F$17,6,FALSE())</f>
        <v>5.07</v>
      </c>
      <c r="AD43" s="44" t="s">
        <v>874</v>
      </c>
      <c r="AE43" s="44" t="s">
        <v>798</v>
      </c>
      <c r="AF43" s="44" t="s">
        <v>968</v>
      </c>
      <c r="AG43" s="44" t="s">
        <v>814</v>
      </c>
      <c r="AH43" s="21" t="s">
        <v>969</v>
      </c>
      <c r="AI43" s="45" t="s">
        <v>550</v>
      </c>
      <c r="AJ43" s="21" t="s">
        <v>359</v>
      </c>
      <c r="AK43" s="44" t="s">
        <v>930</v>
      </c>
      <c r="AL43" s="19">
        <f t="shared" si="9"/>
        <v>462</v>
      </c>
    </row>
    <row r="44" ht="75.0" customHeight="1">
      <c r="A44" s="17" t="s">
        <v>551</v>
      </c>
      <c r="B44" s="44" t="s">
        <v>552</v>
      </c>
      <c r="C44" s="44" t="s">
        <v>970</v>
      </c>
      <c r="D44" s="44" t="s">
        <v>971</v>
      </c>
      <c r="E44" s="44" t="s">
        <v>972</v>
      </c>
      <c r="F44" s="44" t="s">
        <v>973</v>
      </c>
      <c r="G44" s="44" t="s">
        <v>974</v>
      </c>
      <c r="H44" s="44" t="s">
        <v>322</v>
      </c>
      <c r="I44" s="44" t="s">
        <v>967</v>
      </c>
      <c r="J44" s="18">
        <v>20.0</v>
      </c>
      <c r="K44" s="18">
        <v>26.0</v>
      </c>
      <c r="L44" s="19">
        <f>'Consumo Anual'!M45</f>
        <v>8562</v>
      </c>
      <c r="M44" s="19">
        <f>L44*Volumenes!$B$57</f>
        <v>1027.44</v>
      </c>
      <c r="N44" s="27">
        <f>M44/Volumenes!$B$58</f>
        <v>51.372</v>
      </c>
      <c r="O44" s="18">
        <v>7.0</v>
      </c>
      <c r="P44" s="18">
        <v>20.0</v>
      </c>
      <c r="Q44" s="19">
        <f t="shared" si="1"/>
        <v>1027.44</v>
      </c>
      <c r="R44" s="19">
        <f t="shared" si="2"/>
        <v>52</v>
      </c>
      <c r="S44" s="27">
        <f t="shared" si="3"/>
        <v>8.232692308</v>
      </c>
      <c r="T44" s="19">
        <f t="shared" si="4"/>
        <v>20.24449116</v>
      </c>
      <c r="U44" s="18">
        <v>10.0</v>
      </c>
      <c r="V44" s="19">
        <f t="shared" si="5"/>
        <v>1553.72</v>
      </c>
      <c r="W44" s="19">
        <f t="shared" si="6"/>
        <v>78</v>
      </c>
      <c r="X44" s="39">
        <f t="shared" si="7"/>
        <v>2.028</v>
      </c>
      <c r="Y44" s="44" t="s">
        <v>873</v>
      </c>
      <c r="Z44" s="18">
        <v>24.0</v>
      </c>
      <c r="AA44" s="18">
        <v>0.0</v>
      </c>
      <c r="AB44" s="19">
        <f t="shared" si="8"/>
        <v>4</v>
      </c>
      <c r="AC44" s="27">
        <f>AB44*VLOOKUP(Y44,'Almacen MP'!$A$8:$F$17,6,FALSE())</f>
        <v>10.14</v>
      </c>
      <c r="AD44" s="44" t="s">
        <v>874</v>
      </c>
      <c r="AE44" s="44" t="s">
        <v>798</v>
      </c>
      <c r="AF44" s="44" t="s">
        <v>975</v>
      </c>
      <c r="AG44" s="44" t="s">
        <v>780</v>
      </c>
      <c r="AH44" s="21" t="s">
        <v>929</v>
      </c>
      <c r="AI44" s="45" t="s">
        <v>395</v>
      </c>
      <c r="AJ44" s="21" t="s">
        <v>976</v>
      </c>
      <c r="AK44" s="44" t="s">
        <v>930</v>
      </c>
      <c r="AL44" s="19">
        <f t="shared" si="9"/>
        <v>1352</v>
      </c>
    </row>
    <row r="45" ht="75.0" customHeight="1">
      <c r="A45" s="17" t="s">
        <v>523</v>
      </c>
      <c r="B45" s="44" t="s">
        <v>524</v>
      </c>
      <c r="C45" s="44" t="s">
        <v>977</v>
      </c>
      <c r="D45" s="44" t="s">
        <v>978</v>
      </c>
      <c r="E45" s="44" t="s">
        <v>979</v>
      </c>
      <c r="F45" s="44" t="s">
        <v>980</v>
      </c>
      <c r="G45" s="44" t="s">
        <v>981</v>
      </c>
      <c r="H45" s="44" t="s">
        <v>224</v>
      </c>
      <c r="I45" s="44" t="s">
        <v>982</v>
      </c>
      <c r="J45" s="18">
        <v>3000.0</v>
      </c>
      <c r="K45" s="19">
        <f>3000*'Coef Fabricacion'!$C$17</f>
        <v>600</v>
      </c>
      <c r="L45" s="19">
        <f>'Consumo Anual'!M46</f>
        <v>34089.18</v>
      </c>
      <c r="M45" s="19">
        <f>L45*Volumenes!$B$57</f>
        <v>4090.7016</v>
      </c>
      <c r="N45" s="27">
        <f>M45/Volumenes!$B$58</f>
        <v>204.53508</v>
      </c>
      <c r="O45" s="18">
        <v>20.0</v>
      </c>
      <c r="P45" s="18">
        <v>20.0</v>
      </c>
      <c r="Q45" s="19">
        <f t="shared" si="1"/>
        <v>4090.7016</v>
      </c>
      <c r="R45" s="19">
        <f t="shared" si="2"/>
        <v>2</v>
      </c>
      <c r="S45" s="27">
        <f t="shared" si="3"/>
        <v>5.68153</v>
      </c>
      <c r="T45" s="19">
        <f t="shared" si="4"/>
        <v>29.3348212</v>
      </c>
      <c r="U45" s="18">
        <v>15.0</v>
      </c>
      <c r="V45" s="19">
        <f t="shared" si="5"/>
        <v>9068.0262</v>
      </c>
      <c r="W45" s="19">
        <f t="shared" si="6"/>
        <v>4</v>
      </c>
      <c r="X45" s="39">
        <f t="shared" si="7"/>
        <v>2.4</v>
      </c>
      <c r="Y45" s="44" t="s">
        <v>777</v>
      </c>
      <c r="Z45" s="18">
        <v>1.0</v>
      </c>
      <c r="AA45" s="18">
        <v>0.0</v>
      </c>
      <c r="AB45" s="19">
        <f t="shared" si="8"/>
        <v>4</v>
      </c>
      <c r="AC45" s="27">
        <f>AB45*VLOOKUP(Y45,'Almacen MP'!$A$8:$F$17,6,FALSE())</f>
        <v>5.201833333</v>
      </c>
      <c r="AD45" s="44" t="s">
        <v>983</v>
      </c>
      <c r="AE45" s="44" t="s">
        <v>752</v>
      </c>
      <c r="AF45" s="44" t="s">
        <v>984</v>
      </c>
      <c r="AG45" s="44" t="s">
        <v>780</v>
      </c>
      <c r="AH45" s="21" t="s">
        <v>985</v>
      </c>
      <c r="AI45" s="45" t="s">
        <v>96</v>
      </c>
      <c r="AJ45" s="21" t="s">
        <v>986</v>
      </c>
      <c r="AK45" s="44" t="s">
        <v>987</v>
      </c>
      <c r="AL45" s="19">
        <f t="shared" si="9"/>
        <v>1200</v>
      </c>
    </row>
    <row r="46" ht="75.0" customHeight="1">
      <c r="A46" s="17" t="s">
        <v>527</v>
      </c>
      <c r="B46" s="44" t="s">
        <v>528</v>
      </c>
      <c r="C46" s="44" t="s">
        <v>988</v>
      </c>
      <c r="D46" s="44" t="s">
        <v>989</v>
      </c>
      <c r="E46" s="44" t="s">
        <v>990</v>
      </c>
      <c r="F46" s="44" t="s">
        <v>991</v>
      </c>
      <c r="G46" s="44" t="s">
        <v>992</v>
      </c>
      <c r="H46" s="44" t="s">
        <v>224</v>
      </c>
      <c r="I46" s="44" t="s">
        <v>993</v>
      </c>
      <c r="J46" s="18">
        <v>1500.0</v>
      </c>
      <c r="K46" s="19">
        <f>1500*'Coef Fabricacion'!$C$18</f>
        <v>525</v>
      </c>
      <c r="L46" s="19">
        <f>'Consumo Anual'!M47</f>
        <v>41451.78</v>
      </c>
      <c r="M46" s="19">
        <f>L46*Volumenes!$B$57</f>
        <v>4974.2136</v>
      </c>
      <c r="N46" s="27">
        <f>M46/Volumenes!$B$58</f>
        <v>248.71068</v>
      </c>
      <c r="O46" s="18">
        <v>20.0</v>
      </c>
      <c r="P46" s="18">
        <v>20.0</v>
      </c>
      <c r="Q46" s="19">
        <f t="shared" si="1"/>
        <v>4974.2136</v>
      </c>
      <c r="R46" s="19">
        <f t="shared" si="2"/>
        <v>4</v>
      </c>
      <c r="S46" s="27">
        <f t="shared" si="3"/>
        <v>6.90863</v>
      </c>
      <c r="T46" s="19">
        <f t="shared" si="4"/>
        <v>24.12441637</v>
      </c>
      <c r="U46" s="18">
        <v>15.0</v>
      </c>
      <c r="V46" s="19">
        <f t="shared" si="5"/>
        <v>9730.6602</v>
      </c>
      <c r="W46" s="19">
        <f t="shared" si="6"/>
        <v>7</v>
      </c>
      <c r="X46" s="39">
        <f t="shared" si="7"/>
        <v>3.675</v>
      </c>
      <c r="Y46" s="44" t="s">
        <v>777</v>
      </c>
      <c r="Z46" s="18">
        <v>1.0</v>
      </c>
      <c r="AA46" s="18">
        <v>0.0</v>
      </c>
      <c r="AB46" s="19">
        <f t="shared" si="8"/>
        <v>7</v>
      </c>
      <c r="AC46" s="27">
        <f>AB46*VLOOKUP(Y46,'Almacen MP'!$A$8:$F$17,6,FALSE())</f>
        <v>9.103208333</v>
      </c>
      <c r="AD46" s="44" t="s">
        <v>983</v>
      </c>
      <c r="AE46" s="44" t="s">
        <v>752</v>
      </c>
      <c r="AF46" s="44" t="s">
        <v>994</v>
      </c>
      <c r="AG46" s="44" t="s">
        <v>780</v>
      </c>
      <c r="AH46" s="21" t="s">
        <v>995</v>
      </c>
      <c r="AI46" s="45" t="s">
        <v>96</v>
      </c>
      <c r="AJ46" s="21" t="s">
        <v>996</v>
      </c>
      <c r="AK46" s="44" t="s">
        <v>987</v>
      </c>
      <c r="AL46" s="19">
        <f t="shared" si="9"/>
        <v>2100</v>
      </c>
    </row>
    <row r="47" ht="75.0" customHeight="1">
      <c r="A47" s="17" t="s">
        <v>532</v>
      </c>
      <c r="B47" s="44" t="s">
        <v>533</v>
      </c>
      <c r="C47" s="44" t="s">
        <v>997</v>
      </c>
      <c r="D47" s="44" t="s">
        <v>998</v>
      </c>
      <c r="E47" s="44" t="s">
        <v>999</v>
      </c>
      <c r="F47" s="44" t="s">
        <v>1000</v>
      </c>
      <c r="G47" s="44" t="s">
        <v>1001</v>
      </c>
      <c r="H47" s="44" t="s">
        <v>224</v>
      </c>
      <c r="I47" s="44" t="s">
        <v>1002</v>
      </c>
      <c r="J47" s="18">
        <v>10.0</v>
      </c>
      <c r="K47" s="18">
        <v>12.0</v>
      </c>
      <c r="L47" s="19">
        <f>'Consumo Anual'!M48</f>
        <v>1864.42</v>
      </c>
      <c r="M47" s="19">
        <f>L47*Volumenes!$B$57</f>
        <v>223.7304</v>
      </c>
      <c r="N47" s="27">
        <f>M47/Volumenes!$B$58</f>
        <v>11.18652</v>
      </c>
      <c r="O47" s="18">
        <v>20.0</v>
      </c>
      <c r="P47" s="18">
        <v>20.0</v>
      </c>
      <c r="Q47" s="19">
        <f t="shared" si="1"/>
        <v>223.7304</v>
      </c>
      <c r="R47" s="19">
        <f t="shared" si="2"/>
        <v>23</v>
      </c>
      <c r="S47" s="27">
        <f t="shared" si="3"/>
        <v>8.106173913</v>
      </c>
      <c r="T47" s="19">
        <f t="shared" si="4"/>
        <v>20.56046027</v>
      </c>
      <c r="U47" s="18">
        <v>10.0</v>
      </c>
      <c r="V47" s="19">
        <f t="shared" si="5"/>
        <v>341.8652</v>
      </c>
      <c r="W47" s="19">
        <f t="shared" si="6"/>
        <v>35</v>
      </c>
      <c r="X47" s="39">
        <f t="shared" si="7"/>
        <v>0.42</v>
      </c>
      <c r="Y47" s="44" t="s">
        <v>777</v>
      </c>
      <c r="Z47" s="18">
        <v>20.0</v>
      </c>
      <c r="AA47" s="18">
        <v>0.0</v>
      </c>
      <c r="AB47" s="19">
        <f t="shared" si="8"/>
        <v>2</v>
      </c>
      <c r="AC47" s="27">
        <f>AB47*VLOOKUP(Y47,'Almacen MP'!$A$8:$F$17,6,FALSE())</f>
        <v>2.600916667</v>
      </c>
      <c r="AD47" s="44" t="s">
        <v>983</v>
      </c>
      <c r="AE47" s="44" t="s">
        <v>798</v>
      </c>
      <c r="AF47" s="44" t="s">
        <v>1003</v>
      </c>
      <c r="AG47" s="44" t="s">
        <v>764</v>
      </c>
      <c r="AH47" s="21" t="s">
        <v>929</v>
      </c>
      <c r="AI47" s="45" t="s">
        <v>96</v>
      </c>
      <c r="AJ47" s="21" t="s">
        <v>359</v>
      </c>
      <c r="AK47" s="44" t="s">
        <v>987</v>
      </c>
      <c r="AL47" s="19">
        <f t="shared" si="9"/>
        <v>276</v>
      </c>
    </row>
    <row r="48" ht="75.0" customHeight="1">
      <c r="A48" s="17" t="s">
        <v>538</v>
      </c>
      <c r="B48" s="44" t="s">
        <v>539</v>
      </c>
      <c r="C48" s="44" t="s">
        <v>1004</v>
      </c>
      <c r="D48" s="44" t="s">
        <v>1005</v>
      </c>
      <c r="E48" s="44" t="s">
        <v>1006</v>
      </c>
      <c r="F48" s="44" t="s">
        <v>774</v>
      </c>
      <c r="G48" s="44" t="s">
        <v>1007</v>
      </c>
      <c r="H48" s="44" t="s">
        <v>224</v>
      </c>
      <c r="I48" s="44" t="s">
        <v>1008</v>
      </c>
      <c r="J48" s="18">
        <v>100.0</v>
      </c>
      <c r="K48" s="18">
        <v>8.0</v>
      </c>
      <c r="L48" s="19">
        <f>'Consumo Anual'!M49</f>
        <v>83242.68</v>
      </c>
      <c r="M48" s="19">
        <f>L48*Volumenes!$B$57</f>
        <v>9989.1216</v>
      </c>
      <c r="N48" s="27">
        <f>M48/Volumenes!$B$58</f>
        <v>499.45608</v>
      </c>
      <c r="O48" s="18">
        <v>20.0</v>
      </c>
      <c r="P48" s="18">
        <v>20.0</v>
      </c>
      <c r="Q48" s="19">
        <f t="shared" si="1"/>
        <v>9989.1216</v>
      </c>
      <c r="R48" s="19">
        <f t="shared" si="2"/>
        <v>100</v>
      </c>
      <c r="S48" s="27">
        <f t="shared" si="3"/>
        <v>8.324268</v>
      </c>
      <c r="T48" s="19">
        <f t="shared" si="4"/>
        <v>20.02178049</v>
      </c>
      <c r="U48" s="18">
        <v>15.0</v>
      </c>
      <c r="V48" s="19">
        <f t="shared" si="5"/>
        <v>17491.8412</v>
      </c>
      <c r="W48" s="19">
        <f t="shared" si="6"/>
        <v>175</v>
      </c>
      <c r="X48" s="39">
        <f t="shared" si="7"/>
        <v>1.4</v>
      </c>
      <c r="Y48" s="44" t="s">
        <v>777</v>
      </c>
      <c r="Z48" s="18">
        <v>30.0</v>
      </c>
      <c r="AA48" s="18">
        <v>0.0</v>
      </c>
      <c r="AB48" s="19">
        <f t="shared" si="8"/>
        <v>6</v>
      </c>
      <c r="AC48" s="27">
        <f>AB48*VLOOKUP(Y48,'Almacen MP'!$A$8:$F$17,6,FALSE())</f>
        <v>7.80275</v>
      </c>
      <c r="AD48" s="44" t="s">
        <v>983</v>
      </c>
      <c r="AE48" s="44" t="s">
        <v>752</v>
      </c>
      <c r="AF48" s="44" t="s">
        <v>994</v>
      </c>
      <c r="AG48" s="44" t="s">
        <v>780</v>
      </c>
      <c r="AH48" s="21" t="s">
        <v>876</v>
      </c>
      <c r="AI48" s="45" t="s">
        <v>104</v>
      </c>
      <c r="AJ48" s="21" t="s">
        <v>1009</v>
      </c>
      <c r="AK48" s="44" t="s">
        <v>987</v>
      </c>
      <c r="AL48" s="19">
        <f t="shared" si="9"/>
        <v>800</v>
      </c>
    </row>
    <row r="49" ht="75.0" customHeight="1">
      <c r="A49" s="17" t="s">
        <v>544</v>
      </c>
      <c r="B49" s="44" t="s">
        <v>545</v>
      </c>
      <c r="C49" s="44" t="s">
        <v>1010</v>
      </c>
      <c r="D49" s="44" t="s">
        <v>989</v>
      </c>
      <c r="E49" s="44" t="s">
        <v>1011</v>
      </c>
      <c r="F49" s="44" t="s">
        <v>774</v>
      </c>
      <c r="G49" s="44" t="s">
        <v>1012</v>
      </c>
      <c r="H49" s="44" t="s">
        <v>224</v>
      </c>
      <c r="I49" s="44" t="s">
        <v>1013</v>
      </c>
      <c r="J49" s="18">
        <v>200.0</v>
      </c>
      <c r="K49" s="18">
        <v>6.0</v>
      </c>
      <c r="L49" s="19">
        <f>'Consumo Anual'!M50</f>
        <v>41451.78</v>
      </c>
      <c r="M49" s="19">
        <f>L49*Volumenes!$B$57</f>
        <v>4974.2136</v>
      </c>
      <c r="N49" s="27">
        <f>M49/Volumenes!$B$58</f>
        <v>248.71068</v>
      </c>
      <c r="O49" s="18">
        <v>15.0</v>
      </c>
      <c r="P49" s="18">
        <v>20.0</v>
      </c>
      <c r="Q49" s="19">
        <f t="shared" si="1"/>
        <v>4974.2136</v>
      </c>
      <c r="R49" s="19">
        <f t="shared" si="2"/>
        <v>25</v>
      </c>
      <c r="S49" s="27">
        <f t="shared" si="3"/>
        <v>8.290356</v>
      </c>
      <c r="T49" s="19">
        <f t="shared" si="4"/>
        <v>20.10368031</v>
      </c>
      <c r="U49" s="18">
        <v>10.0</v>
      </c>
      <c r="V49" s="19">
        <f t="shared" si="5"/>
        <v>7487.1068</v>
      </c>
      <c r="W49" s="19">
        <f t="shared" si="6"/>
        <v>38</v>
      </c>
      <c r="X49" s="39">
        <f t="shared" si="7"/>
        <v>0.228</v>
      </c>
      <c r="Y49" s="44" t="s">
        <v>777</v>
      </c>
      <c r="Z49" s="18">
        <v>30.0</v>
      </c>
      <c r="AA49" s="18">
        <v>0.0</v>
      </c>
      <c r="AB49" s="19">
        <f t="shared" si="8"/>
        <v>2</v>
      </c>
      <c r="AC49" s="27">
        <f>AB49*VLOOKUP(Y49,'Almacen MP'!$A$8:$F$17,6,FALSE())</f>
        <v>2.600916667</v>
      </c>
      <c r="AD49" s="44" t="s">
        <v>983</v>
      </c>
      <c r="AE49" s="44" t="s">
        <v>798</v>
      </c>
      <c r="AF49" s="44" t="s">
        <v>1014</v>
      </c>
      <c r="AG49" s="44" t="s">
        <v>780</v>
      </c>
      <c r="AH49" s="21" t="s">
        <v>1015</v>
      </c>
      <c r="AI49" s="45" t="s">
        <v>104</v>
      </c>
      <c r="AJ49" s="21" t="s">
        <v>359</v>
      </c>
      <c r="AK49" s="44" t="s">
        <v>987</v>
      </c>
      <c r="AL49" s="19">
        <f t="shared" si="9"/>
        <v>150</v>
      </c>
    </row>
    <row r="50" ht="75.0" customHeight="1">
      <c r="A50" s="17" t="s">
        <v>547</v>
      </c>
      <c r="B50" s="44" t="s">
        <v>548</v>
      </c>
      <c r="C50" s="44" t="s">
        <v>1016</v>
      </c>
      <c r="D50" s="44" t="s">
        <v>998</v>
      </c>
      <c r="E50" s="44" t="s">
        <v>1017</v>
      </c>
      <c r="F50" s="44" t="s">
        <v>774</v>
      </c>
      <c r="G50" s="44" t="s">
        <v>1018</v>
      </c>
      <c r="H50" s="44" t="s">
        <v>224</v>
      </c>
      <c r="I50" s="44" t="s">
        <v>1019</v>
      </c>
      <c r="J50" s="18">
        <v>20.0</v>
      </c>
      <c r="K50" s="18">
        <v>30.0</v>
      </c>
      <c r="L50" s="19">
        <f>'Consumo Anual'!M51</f>
        <v>1864.42</v>
      </c>
      <c r="M50" s="19">
        <f>L50*Volumenes!$B$57</f>
        <v>223.7304</v>
      </c>
      <c r="N50" s="27">
        <f>M50/Volumenes!$B$58</f>
        <v>11.18652</v>
      </c>
      <c r="O50" s="18">
        <v>15.0</v>
      </c>
      <c r="P50" s="18">
        <v>20.0</v>
      </c>
      <c r="Q50" s="19">
        <f t="shared" si="1"/>
        <v>223.7304</v>
      </c>
      <c r="R50" s="19">
        <f t="shared" si="2"/>
        <v>12</v>
      </c>
      <c r="S50" s="27">
        <f t="shared" si="3"/>
        <v>7.768416667</v>
      </c>
      <c r="T50" s="19">
        <f t="shared" si="4"/>
        <v>21.45439332</v>
      </c>
      <c r="U50" s="18">
        <v>10.0</v>
      </c>
      <c r="V50" s="19">
        <f t="shared" si="5"/>
        <v>351.8652</v>
      </c>
      <c r="W50" s="19">
        <f t="shared" si="6"/>
        <v>18</v>
      </c>
      <c r="X50" s="39">
        <f t="shared" si="7"/>
        <v>0.54</v>
      </c>
      <c r="Y50" s="44" t="s">
        <v>777</v>
      </c>
      <c r="Z50" s="18">
        <v>10.0</v>
      </c>
      <c r="AA50" s="18">
        <v>0.0</v>
      </c>
      <c r="AB50" s="19">
        <f t="shared" si="8"/>
        <v>2</v>
      </c>
      <c r="AC50" s="27">
        <f>AB50*VLOOKUP(Y50,'Almacen MP'!$A$8:$F$17,6,FALSE())</f>
        <v>2.600916667</v>
      </c>
      <c r="AD50" s="44" t="s">
        <v>983</v>
      </c>
      <c r="AE50" s="44" t="s">
        <v>798</v>
      </c>
      <c r="AF50" s="44" t="s">
        <v>998</v>
      </c>
      <c r="AG50" s="44" t="s">
        <v>764</v>
      </c>
      <c r="AH50" s="21" t="s">
        <v>876</v>
      </c>
      <c r="AI50" s="45" t="s">
        <v>104</v>
      </c>
      <c r="AJ50" s="21" t="s">
        <v>359</v>
      </c>
      <c r="AK50" s="44" t="s">
        <v>987</v>
      </c>
      <c r="AL50" s="19">
        <f t="shared" si="9"/>
        <v>360</v>
      </c>
    </row>
    <row r="51" ht="75.0" customHeight="1">
      <c r="A51" s="17" t="s">
        <v>554</v>
      </c>
      <c r="B51" s="44" t="s">
        <v>555</v>
      </c>
      <c r="C51" s="44" t="s">
        <v>1020</v>
      </c>
      <c r="D51" s="44" t="s">
        <v>989</v>
      </c>
      <c r="E51" s="44" t="s">
        <v>1021</v>
      </c>
      <c r="F51" s="44" t="s">
        <v>1022</v>
      </c>
      <c r="G51" s="44" t="s">
        <v>1023</v>
      </c>
      <c r="H51" s="44" t="s">
        <v>224</v>
      </c>
      <c r="I51" s="44" t="s">
        <v>1024</v>
      </c>
      <c r="J51" s="18">
        <v>50.0</v>
      </c>
      <c r="K51" s="18">
        <v>10.0</v>
      </c>
      <c r="L51" s="19">
        <f>'Consumo Anual'!M52</f>
        <v>42938</v>
      </c>
      <c r="M51" s="19">
        <f>L51*Volumenes!$B$57</f>
        <v>5152.56</v>
      </c>
      <c r="N51" s="27">
        <f>M51/Volumenes!$B$58</f>
        <v>257.628</v>
      </c>
      <c r="O51" s="18">
        <v>15.0</v>
      </c>
      <c r="P51" s="18">
        <v>20.0</v>
      </c>
      <c r="Q51" s="19">
        <f t="shared" si="1"/>
        <v>5152.56</v>
      </c>
      <c r="R51" s="19">
        <f t="shared" si="2"/>
        <v>104</v>
      </c>
      <c r="S51" s="27">
        <f t="shared" si="3"/>
        <v>8.257307692</v>
      </c>
      <c r="T51" s="19">
        <f t="shared" si="4"/>
        <v>20.18414148</v>
      </c>
      <c r="U51" s="18">
        <v>10.0</v>
      </c>
      <c r="V51" s="19">
        <f t="shared" si="5"/>
        <v>7776.28</v>
      </c>
      <c r="W51" s="19">
        <f t="shared" si="6"/>
        <v>156</v>
      </c>
      <c r="X51" s="39">
        <f t="shared" si="7"/>
        <v>1.56</v>
      </c>
      <c r="Y51" s="44" t="s">
        <v>777</v>
      </c>
      <c r="Z51" s="18">
        <v>30.0</v>
      </c>
      <c r="AA51" s="18">
        <v>0.0</v>
      </c>
      <c r="AB51" s="19">
        <f t="shared" si="8"/>
        <v>6</v>
      </c>
      <c r="AC51" s="27">
        <f>AB51*VLOOKUP(Y51,'Almacen MP'!$A$8:$F$17,6,FALSE())</f>
        <v>7.80275</v>
      </c>
      <c r="AD51" s="44" t="s">
        <v>983</v>
      </c>
      <c r="AE51" s="44" t="s">
        <v>798</v>
      </c>
      <c r="AF51" s="44" t="s">
        <v>1014</v>
      </c>
      <c r="AG51" s="44" t="s">
        <v>780</v>
      </c>
      <c r="AH51" s="21" t="s">
        <v>1025</v>
      </c>
      <c r="AI51" s="45" t="s">
        <v>104</v>
      </c>
      <c r="AJ51" s="21" t="s">
        <v>359</v>
      </c>
      <c r="AK51" s="44" t="s">
        <v>987</v>
      </c>
      <c r="AL51" s="19">
        <f t="shared" si="9"/>
        <v>1040</v>
      </c>
    </row>
    <row r="52" ht="75.0" customHeight="1">
      <c r="A52" s="17" t="s">
        <v>558</v>
      </c>
      <c r="B52" s="44" t="s">
        <v>559</v>
      </c>
      <c r="C52" s="44" t="s">
        <v>1026</v>
      </c>
      <c r="D52" s="44" t="s">
        <v>998</v>
      </c>
      <c r="E52" s="44" t="s">
        <v>1027</v>
      </c>
      <c r="F52" s="44" t="s">
        <v>774</v>
      </c>
      <c r="G52" s="44" t="s">
        <v>1028</v>
      </c>
      <c r="H52" s="44" t="s">
        <v>224</v>
      </c>
      <c r="I52" s="44" t="s">
        <v>1002</v>
      </c>
      <c r="J52" s="18">
        <v>10.0</v>
      </c>
      <c r="K52" s="18">
        <v>15.0</v>
      </c>
      <c r="L52" s="19">
        <f>'Consumo Anual'!M53</f>
        <v>1898.7</v>
      </c>
      <c r="M52" s="19">
        <f>L52*Volumenes!$B$57</f>
        <v>227.844</v>
      </c>
      <c r="N52" s="27">
        <f>M52/Volumenes!$B$58</f>
        <v>11.3922</v>
      </c>
      <c r="O52" s="18">
        <v>15.0</v>
      </c>
      <c r="P52" s="18">
        <v>20.0</v>
      </c>
      <c r="Q52" s="19">
        <f t="shared" si="1"/>
        <v>227.844</v>
      </c>
      <c r="R52" s="19">
        <f t="shared" si="2"/>
        <v>23</v>
      </c>
      <c r="S52" s="27">
        <f t="shared" si="3"/>
        <v>8.255217391</v>
      </c>
      <c r="T52" s="19">
        <f t="shared" si="4"/>
        <v>20.1892523</v>
      </c>
      <c r="U52" s="18">
        <v>10.0</v>
      </c>
      <c r="V52" s="19">
        <f t="shared" si="5"/>
        <v>343.922</v>
      </c>
      <c r="W52" s="19">
        <f t="shared" si="6"/>
        <v>35</v>
      </c>
      <c r="X52" s="39">
        <f t="shared" si="7"/>
        <v>0.525</v>
      </c>
      <c r="Y52" s="44" t="s">
        <v>777</v>
      </c>
      <c r="Z52" s="18">
        <v>12.0</v>
      </c>
      <c r="AA52" s="18">
        <v>0.0</v>
      </c>
      <c r="AB52" s="19">
        <f t="shared" si="8"/>
        <v>3</v>
      </c>
      <c r="AC52" s="27">
        <f>AB52*VLOOKUP(Y52,'Almacen MP'!$A$8:$F$17,6,FALSE())</f>
        <v>3.901375</v>
      </c>
      <c r="AD52" s="44" t="s">
        <v>983</v>
      </c>
      <c r="AE52" s="44" t="s">
        <v>798</v>
      </c>
      <c r="AF52" s="44" t="s">
        <v>998</v>
      </c>
      <c r="AG52" s="44" t="s">
        <v>764</v>
      </c>
      <c r="AH52" s="21" t="s">
        <v>876</v>
      </c>
      <c r="AI52" s="45" t="s">
        <v>104</v>
      </c>
      <c r="AJ52" s="21" t="s">
        <v>359</v>
      </c>
      <c r="AK52" s="44" t="s">
        <v>987</v>
      </c>
      <c r="AL52" s="19">
        <f t="shared" si="9"/>
        <v>345</v>
      </c>
    </row>
    <row r="53" ht="75.0" customHeight="1">
      <c r="A53" s="17" t="s">
        <v>560</v>
      </c>
      <c r="B53" s="44" t="s">
        <v>561</v>
      </c>
      <c r="C53" s="44" t="s">
        <v>1029</v>
      </c>
      <c r="D53" s="44" t="s">
        <v>1030</v>
      </c>
      <c r="E53" s="44" t="s">
        <v>1031</v>
      </c>
      <c r="F53" s="44" t="s">
        <v>774</v>
      </c>
      <c r="G53" s="44" t="s">
        <v>1032</v>
      </c>
      <c r="H53" s="44" t="s">
        <v>224</v>
      </c>
      <c r="I53" s="44" t="s">
        <v>1033</v>
      </c>
      <c r="J53" s="18">
        <v>1000.0</v>
      </c>
      <c r="K53" s="18">
        <v>1.0</v>
      </c>
      <c r="L53" s="19">
        <f>'Consumo Anual'!M54</f>
        <v>388342</v>
      </c>
      <c r="M53" s="19">
        <f>L53*Volumenes!$B$57</f>
        <v>46601.04</v>
      </c>
      <c r="N53" s="27">
        <f>M53/Volumenes!$B$58</f>
        <v>2330.052</v>
      </c>
      <c r="O53" s="18">
        <v>10.0</v>
      </c>
      <c r="P53" s="18">
        <v>20.0</v>
      </c>
      <c r="Q53" s="19">
        <f t="shared" si="1"/>
        <v>46601.04</v>
      </c>
      <c r="R53" s="19">
        <f t="shared" si="2"/>
        <v>47</v>
      </c>
      <c r="S53" s="27">
        <f t="shared" si="3"/>
        <v>8.262595745</v>
      </c>
      <c r="T53" s="19">
        <f t="shared" si="4"/>
        <v>20.17122365</v>
      </c>
      <c r="U53" s="18">
        <v>10.0</v>
      </c>
      <c r="V53" s="19">
        <f t="shared" si="5"/>
        <v>70300.52</v>
      </c>
      <c r="W53" s="19">
        <f t="shared" si="6"/>
        <v>71</v>
      </c>
      <c r="X53" s="39">
        <f t="shared" si="7"/>
        <v>0.071</v>
      </c>
      <c r="Y53" s="44" t="s">
        <v>797</v>
      </c>
      <c r="Z53" s="18">
        <v>20.0</v>
      </c>
      <c r="AA53" s="18">
        <v>0.0</v>
      </c>
      <c r="AB53" s="19">
        <f t="shared" si="8"/>
        <v>4</v>
      </c>
      <c r="AC53" s="27">
        <f>AB53*VLOOKUP(Y53,'Almacen MP'!$A$8:$F$17,6,FALSE())</f>
        <v>4.8</v>
      </c>
      <c r="AD53" s="44" t="s">
        <v>983</v>
      </c>
      <c r="AE53" s="44" t="s">
        <v>798</v>
      </c>
      <c r="AF53" s="44" t="s">
        <v>1034</v>
      </c>
      <c r="AG53" s="44" t="s">
        <v>780</v>
      </c>
      <c r="AH53" s="21" t="s">
        <v>1035</v>
      </c>
      <c r="AI53" s="45" t="s">
        <v>104</v>
      </c>
      <c r="AJ53" s="21" t="s">
        <v>359</v>
      </c>
      <c r="AK53" s="44" t="s">
        <v>987</v>
      </c>
      <c r="AL53" s="19">
        <f t="shared" si="9"/>
        <v>47</v>
      </c>
    </row>
    <row r="54" ht="75.0" customHeight="1">
      <c r="A54" s="17" t="s">
        <v>563</v>
      </c>
      <c r="B54" s="44" t="s">
        <v>564</v>
      </c>
      <c r="C54" s="44" t="s">
        <v>1036</v>
      </c>
      <c r="D54" s="44" t="s">
        <v>1030</v>
      </c>
      <c r="E54" s="44" t="s">
        <v>1037</v>
      </c>
      <c r="F54" s="44" t="s">
        <v>1038</v>
      </c>
      <c r="G54" s="44" t="s">
        <v>1032</v>
      </c>
      <c r="H54" s="44" t="s">
        <v>224</v>
      </c>
      <c r="I54" s="44" t="s">
        <v>1033</v>
      </c>
      <c r="J54" s="18">
        <v>1000.0</v>
      </c>
      <c r="K54" s="18">
        <v>3.0</v>
      </c>
      <c r="L54" s="19">
        <f>'Consumo Anual'!M55</f>
        <v>201243</v>
      </c>
      <c r="M54" s="19">
        <f>L54*Volumenes!$B$57</f>
        <v>24149.16</v>
      </c>
      <c r="N54" s="27">
        <f>M54/Volumenes!$B$58</f>
        <v>1207.458</v>
      </c>
      <c r="O54" s="18">
        <v>10.0</v>
      </c>
      <c r="P54" s="18">
        <v>20.0</v>
      </c>
      <c r="Q54" s="19">
        <f t="shared" si="1"/>
        <v>24149.16</v>
      </c>
      <c r="R54" s="19">
        <f t="shared" si="2"/>
        <v>25</v>
      </c>
      <c r="S54" s="27">
        <f t="shared" si="3"/>
        <v>8.04972</v>
      </c>
      <c r="T54" s="19">
        <f t="shared" si="4"/>
        <v>20.70465391</v>
      </c>
      <c r="U54" s="18">
        <v>10.0</v>
      </c>
      <c r="V54" s="19">
        <f t="shared" si="5"/>
        <v>37074.58</v>
      </c>
      <c r="W54" s="19">
        <f t="shared" si="6"/>
        <v>38</v>
      </c>
      <c r="X54" s="39">
        <f t="shared" si="7"/>
        <v>0.114</v>
      </c>
      <c r="Y54" s="44" t="s">
        <v>797</v>
      </c>
      <c r="Z54" s="18">
        <v>20.0</v>
      </c>
      <c r="AA54" s="18">
        <v>0.0</v>
      </c>
      <c r="AB54" s="19">
        <f t="shared" si="8"/>
        <v>2</v>
      </c>
      <c r="AC54" s="27">
        <f>AB54*VLOOKUP(Y54,'Almacen MP'!$A$8:$F$17,6,FALSE())</f>
        <v>2.4</v>
      </c>
      <c r="AD54" s="44" t="s">
        <v>983</v>
      </c>
      <c r="AE54" s="44" t="s">
        <v>798</v>
      </c>
      <c r="AF54" s="44" t="s">
        <v>1034</v>
      </c>
      <c r="AG54" s="44" t="s">
        <v>780</v>
      </c>
      <c r="AH54" s="21" t="s">
        <v>1039</v>
      </c>
      <c r="AI54" s="45" t="s">
        <v>104</v>
      </c>
      <c r="AJ54" s="21" t="s">
        <v>359</v>
      </c>
      <c r="AK54" s="44" t="s">
        <v>987</v>
      </c>
      <c r="AL54" s="19">
        <f t="shared" si="9"/>
        <v>75</v>
      </c>
    </row>
    <row r="55" ht="75.0" customHeight="1">
      <c r="A55" s="17" t="s">
        <v>566</v>
      </c>
      <c r="B55" s="44" t="s">
        <v>567</v>
      </c>
      <c r="C55" s="44" t="s">
        <v>1040</v>
      </c>
      <c r="D55" s="44" t="s">
        <v>1041</v>
      </c>
      <c r="E55" s="44" t="s">
        <v>1042</v>
      </c>
      <c r="F55" s="44" t="s">
        <v>1038</v>
      </c>
      <c r="G55" s="44" t="s">
        <v>1007</v>
      </c>
      <c r="H55" s="44" t="s">
        <v>224</v>
      </c>
      <c r="I55" s="44" t="s">
        <v>1008</v>
      </c>
      <c r="J55" s="18">
        <v>100.0</v>
      </c>
      <c r="K55" s="18">
        <v>20.0</v>
      </c>
      <c r="L55" s="19">
        <f>'Consumo Anual'!M56</f>
        <v>72090</v>
      </c>
      <c r="M55" s="19">
        <f>L55*Volumenes!$B$57</f>
        <v>8650.8</v>
      </c>
      <c r="N55" s="27">
        <f>M55/Volumenes!$B$58</f>
        <v>432.54</v>
      </c>
      <c r="O55" s="18">
        <v>15.0</v>
      </c>
      <c r="P55" s="18">
        <v>20.0</v>
      </c>
      <c r="Q55" s="19">
        <f t="shared" si="1"/>
        <v>8650.8</v>
      </c>
      <c r="R55" s="19">
        <f t="shared" si="2"/>
        <v>87</v>
      </c>
      <c r="S55" s="27">
        <f t="shared" si="3"/>
        <v>8.286206897</v>
      </c>
      <c r="T55" s="19">
        <f t="shared" si="4"/>
        <v>20.11374671</v>
      </c>
      <c r="U55" s="18">
        <v>10.0</v>
      </c>
      <c r="V55" s="19">
        <f t="shared" si="5"/>
        <v>13025.4</v>
      </c>
      <c r="W55" s="19">
        <f t="shared" si="6"/>
        <v>131</v>
      </c>
      <c r="X55" s="39">
        <f t="shared" si="7"/>
        <v>2.62</v>
      </c>
      <c r="Y55" s="44" t="s">
        <v>777</v>
      </c>
      <c r="Z55" s="18">
        <v>30.0</v>
      </c>
      <c r="AA55" s="18">
        <v>0.0</v>
      </c>
      <c r="AB55" s="19">
        <f t="shared" si="8"/>
        <v>5</v>
      </c>
      <c r="AC55" s="27">
        <f>AB55*VLOOKUP(Y55,'Almacen MP'!$A$8:$F$17,6,FALSE())</f>
        <v>6.502291667</v>
      </c>
      <c r="AD55" s="44" t="s">
        <v>983</v>
      </c>
      <c r="AE55" s="44" t="s">
        <v>798</v>
      </c>
      <c r="AF55" s="44" t="s">
        <v>1043</v>
      </c>
      <c r="AG55" s="44" t="s">
        <v>780</v>
      </c>
      <c r="AH55" s="21" t="s">
        <v>1039</v>
      </c>
      <c r="AI55" s="45" t="s">
        <v>104</v>
      </c>
      <c r="AJ55" s="21" t="s">
        <v>359</v>
      </c>
      <c r="AK55" s="44" t="s">
        <v>987</v>
      </c>
      <c r="AL55" s="19">
        <f t="shared" si="9"/>
        <v>1740</v>
      </c>
    </row>
    <row r="56" ht="75.0" customHeight="1">
      <c r="A56" s="17" t="s">
        <v>569</v>
      </c>
      <c r="B56" s="44" t="s">
        <v>570</v>
      </c>
      <c r="C56" s="44" t="s">
        <v>1044</v>
      </c>
      <c r="D56" s="44" t="s">
        <v>1045</v>
      </c>
      <c r="E56" s="44" t="s">
        <v>1046</v>
      </c>
      <c r="F56" s="44" t="s">
        <v>774</v>
      </c>
      <c r="G56" s="44" t="s">
        <v>1047</v>
      </c>
      <c r="H56" s="44" t="s">
        <v>224</v>
      </c>
      <c r="I56" s="44" t="s">
        <v>1048</v>
      </c>
      <c r="J56" s="18">
        <v>20.0</v>
      </c>
      <c r="K56" s="18">
        <v>500.0</v>
      </c>
      <c r="L56" s="19">
        <f>'Consumo Anual'!M57</f>
        <v>1813</v>
      </c>
      <c r="M56" s="19">
        <f>L56*Volumenes!$B$57</f>
        <v>217.56</v>
      </c>
      <c r="N56" s="27">
        <f>M56/Volumenes!$B$58</f>
        <v>10.878</v>
      </c>
      <c r="O56" s="18">
        <v>20.0</v>
      </c>
      <c r="P56" s="18">
        <v>10.0</v>
      </c>
      <c r="Q56" s="19">
        <f t="shared" si="1"/>
        <v>108.78</v>
      </c>
      <c r="R56" s="19">
        <f t="shared" si="2"/>
        <v>6</v>
      </c>
      <c r="S56" s="27">
        <f t="shared" si="3"/>
        <v>15.10833333</v>
      </c>
      <c r="T56" s="19">
        <f t="shared" si="4"/>
        <v>11.0314396</v>
      </c>
      <c r="U56" s="18">
        <v>5.0</v>
      </c>
      <c r="V56" s="19">
        <f t="shared" si="5"/>
        <v>174.39</v>
      </c>
      <c r="W56" s="19">
        <f t="shared" si="6"/>
        <v>9</v>
      </c>
      <c r="X56" s="39">
        <f t="shared" si="7"/>
        <v>4.5</v>
      </c>
      <c r="Y56" s="44" t="s">
        <v>751</v>
      </c>
      <c r="Z56" s="18">
        <v>2.0</v>
      </c>
      <c r="AA56" s="18">
        <v>0.0</v>
      </c>
      <c r="AB56" s="19">
        <f t="shared" si="8"/>
        <v>5</v>
      </c>
      <c r="AC56" s="27">
        <f>AB56*VLOOKUP(Y56,'Almacen MP'!$A$8:$F$17,6,FALSE())</f>
        <v>4.5</v>
      </c>
      <c r="AD56" s="44" t="s">
        <v>654</v>
      </c>
      <c r="AE56" s="44" t="s">
        <v>752</v>
      </c>
      <c r="AF56" s="44" t="s">
        <v>1049</v>
      </c>
      <c r="AG56" s="44" t="s">
        <v>764</v>
      </c>
      <c r="AH56" s="21" t="s">
        <v>876</v>
      </c>
      <c r="AI56" s="45" t="s">
        <v>104</v>
      </c>
      <c r="AJ56" s="21" t="s">
        <v>359</v>
      </c>
      <c r="AK56" s="44" t="s">
        <v>1050</v>
      </c>
      <c r="AL56" s="19">
        <f t="shared" si="9"/>
        <v>3000</v>
      </c>
    </row>
    <row r="57" ht="75.0" customHeight="1">
      <c r="A57" s="17" t="s">
        <v>571</v>
      </c>
      <c r="B57" s="44" t="s">
        <v>572</v>
      </c>
      <c r="C57" s="44" t="s">
        <v>1051</v>
      </c>
      <c r="D57" s="44" t="s">
        <v>998</v>
      </c>
      <c r="E57" s="44" t="s">
        <v>1052</v>
      </c>
      <c r="F57" s="44" t="s">
        <v>774</v>
      </c>
      <c r="G57" s="44" t="s">
        <v>1053</v>
      </c>
      <c r="H57" s="44" t="s">
        <v>573</v>
      </c>
      <c r="I57" s="44" t="s">
        <v>1054</v>
      </c>
      <c r="J57" s="18">
        <v>36.0</v>
      </c>
      <c r="K57" s="18">
        <v>360.0</v>
      </c>
      <c r="L57" s="19">
        <f>'Consumo Anual'!M58</f>
        <v>1813</v>
      </c>
      <c r="M57" s="19">
        <f>L57*Volumenes!$B$57</f>
        <v>217.56</v>
      </c>
      <c r="N57" s="27">
        <f>M57/Volumenes!$B$58</f>
        <v>10.878</v>
      </c>
      <c r="O57" s="18">
        <v>15.0</v>
      </c>
      <c r="P57" s="18">
        <v>20.0</v>
      </c>
      <c r="Q57" s="19">
        <f t="shared" si="1"/>
        <v>217.56</v>
      </c>
      <c r="R57" s="19">
        <f t="shared" si="2"/>
        <v>7</v>
      </c>
      <c r="S57" s="27">
        <f t="shared" si="3"/>
        <v>7.194444444</v>
      </c>
      <c r="T57" s="19">
        <f t="shared" si="4"/>
        <v>23.16602317</v>
      </c>
      <c r="U57" s="18">
        <v>10.0</v>
      </c>
      <c r="V57" s="19">
        <f t="shared" si="5"/>
        <v>360.78</v>
      </c>
      <c r="W57" s="19">
        <f t="shared" si="6"/>
        <v>11</v>
      </c>
      <c r="X57" s="39">
        <f t="shared" si="7"/>
        <v>3.96</v>
      </c>
      <c r="Y57" s="44" t="s">
        <v>751</v>
      </c>
      <c r="Z57" s="18">
        <v>2.0</v>
      </c>
      <c r="AA57" s="18">
        <v>0.0</v>
      </c>
      <c r="AB57" s="19">
        <f t="shared" si="8"/>
        <v>6</v>
      </c>
      <c r="AC57" s="27">
        <f>AB57*VLOOKUP(Y57,'Almacen MP'!$A$8:$F$17,6,FALSE())</f>
        <v>5.4</v>
      </c>
      <c r="AD57" s="44" t="s">
        <v>654</v>
      </c>
      <c r="AE57" s="44" t="s">
        <v>752</v>
      </c>
      <c r="AF57" s="44" t="s">
        <v>1049</v>
      </c>
      <c r="AG57" s="44" t="s">
        <v>764</v>
      </c>
      <c r="AH57" s="21" t="s">
        <v>876</v>
      </c>
      <c r="AI57" s="45" t="s">
        <v>104</v>
      </c>
      <c r="AJ57" s="21" t="s">
        <v>359</v>
      </c>
      <c r="AK57" s="44" t="s">
        <v>1050</v>
      </c>
      <c r="AL57" s="19">
        <f t="shared" si="9"/>
        <v>2520</v>
      </c>
    </row>
    <row r="58" ht="75.0" customHeight="1">
      <c r="A58" s="17" t="s">
        <v>588</v>
      </c>
      <c r="B58" s="44" t="s">
        <v>589</v>
      </c>
      <c r="C58" s="44" t="s">
        <v>1055</v>
      </c>
      <c r="D58" s="44" t="s">
        <v>1056</v>
      </c>
      <c r="E58" s="44" t="s">
        <v>1057</v>
      </c>
      <c r="F58" s="44" t="s">
        <v>774</v>
      </c>
      <c r="G58" s="44" t="s">
        <v>1058</v>
      </c>
      <c r="H58" s="44" t="s">
        <v>224</v>
      </c>
      <c r="I58" s="44" t="s">
        <v>1059</v>
      </c>
      <c r="J58" s="18">
        <v>100.0</v>
      </c>
      <c r="K58" s="18">
        <v>2.0</v>
      </c>
      <c r="L58" s="19">
        <f>'Consumo Anual'!M59</f>
        <v>3655.4</v>
      </c>
      <c r="M58" s="19">
        <f>L58*Volumenes!$B$57</f>
        <v>438.648</v>
      </c>
      <c r="N58" s="27">
        <f>M58/Volumenes!$B$58</f>
        <v>21.9324</v>
      </c>
      <c r="O58" s="18">
        <v>15.0</v>
      </c>
      <c r="P58" s="18">
        <v>60.0</v>
      </c>
      <c r="Q58" s="19">
        <f t="shared" si="1"/>
        <v>1315.944</v>
      </c>
      <c r="R58" s="19">
        <f t="shared" si="2"/>
        <v>14</v>
      </c>
      <c r="S58" s="27">
        <f t="shared" si="3"/>
        <v>2.611</v>
      </c>
      <c r="T58" s="19">
        <f t="shared" si="4"/>
        <v>63.83250351</v>
      </c>
      <c r="U58" s="18">
        <v>20.0</v>
      </c>
      <c r="V58" s="19">
        <f t="shared" si="5"/>
        <v>1838.648</v>
      </c>
      <c r="W58" s="19">
        <f t="shared" si="6"/>
        <v>19</v>
      </c>
      <c r="X58" s="39">
        <f t="shared" si="7"/>
        <v>0.038</v>
      </c>
      <c r="Y58" s="44" t="s">
        <v>797</v>
      </c>
      <c r="Z58" s="18">
        <v>20.0</v>
      </c>
      <c r="AA58" s="18">
        <v>0.0</v>
      </c>
      <c r="AB58" s="19">
        <f t="shared" si="8"/>
        <v>1</v>
      </c>
      <c r="AC58" s="27">
        <f>AB58*VLOOKUP(Y58,'Almacen MP'!$A$8:$F$17,6,FALSE())</f>
        <v>1.2</v>
      </c>
      <c r="AD58" s="44" t="s">
        <v>983</v>
      </c>
      <c r="AE58" s="44" t="s">
        <v>798</v>
      </c>
      <c r="AF58" s="44" t="s">
        <v>1060</v>
      </c>
      <c r="AG58" s="44" t="s">
        <v>814</v>
      </c>
      <c r="AH58" s="21" t="s">
        <v>1061</v>
      </c>
      <c r="AI58" s="45" t="s">
        <v>93</v>
      </c>
      <c r="AJ58" s="21" t="s">
        <v>359</v>
      </c>
      <c r="AK58" s="44" t="s">
        <v>987</v>
      </c>
      <c r="AL58" s="19">
        <f t="shared" si="9"/>
        <v>28</v>
      </c>
    </row>
    <row r="59" ht="75.0" customHeight="1">
      <c r="A59" s="17" t="s">
        <v>575</v>
      </c>
      <c r="B59" s="44" t="s">
        <v>576</v>
      </c>
      <c r="C59" s="44" t="s">
        <v>1062</v>
      </c>
      <c r="D59" s="44" t="s">
        <v>1063</v>
      </c>
      <c r="E59" s="44" t="s">
        <v>1064</v>
      </c>
      <c r="F59" s="44" t="s">
        <v>774</v>
      </c>
      <c r="G59" s="44" t="s">
        <v>1065</v>
      </c>
      <c r="H59" s="44" t="s">
        <v>224</v>
      </c>
      <c r="I59" s="44" t="s">
        <v>1066</v>
      </c>
      <c r="J59" s="18">
        <v>1000.0</v>
      </c>
      <c r="K59" s="18">
        <v>1.5</v>
      </c>
      <c r="L59" s="19">
        <f>'Consumo Anual'!M60</f>
        <v>73903</v>
      </c>
      <c r="M59" s="19">
        <f>L59*Volumenes!$B$57</f>
        <v>8868.36</v>
      </c>
      <c r="N59" s="27">
        <f>M59/Volumenes!$B$58</f>
        <v>443.418</v>
      </c>
      <c r="O59" s="18">
        <v>10.0</v>
      </c>
      <c r="P59" s="18">
        <v>20.0</v>
      </c>
      <c r="Q59" s="19">
        <f t="shared" si="1"/>
        <v>8868.36</v>
      </c>
      <c r="R59" s="19">
        <f t="shared" si="2"/>
        <v>9</v>
      </c>
      <c r="S59" s="27">
        <f t="shared" si="3"/>
        <v>8.211444444</v>
      </c>
      <c r="T59" s="19">
        <f t="shared" si="4"/>
        <v>20.29687563</v>
      </c>
      <c r="U59" s="18">
        <v>10.0</v>
      </c>
      <c r="V59" s="19">
        <f t="shared" si="5"/>
        <v>13434.18</v>
      </c>
      <c r="W59" s="19">
        <f t="shared" si="6"/>
        <v>14</v>
      </c>
      <c r="X59" s="39">
        <f t="shared" si="7"/>
        <v>0.021</v>
      </c>
      <c r="Y59" s="44" t="s">
        <v>797</v>
      </c>
      <c r="Z59" s="18">
        <v>20.0</v>
      </c>
      <c r="AA59" s="18">
        <v>0.0</v>
      </c>
      <c r="AB59" s="19">
        <f t="shared" si="8"/>
        <v>1</v>
      </c>
      <c r="AC59" s="27">
        <f>AB59*VLOOKUP(Y59,'Almacen MP'!$A$8:$F$17,6,FALSE())</f>
        <v>1.2</v>
      </c>
      <c r="AD59" s="44" t="s">
        <v>983</v>
      </c>
      <c r="AE59" s="44" t="s">
        <v>798</v>
      </c>
      <c r="AF59" s="44" t="s">
        <v>1069</v>
      </c>
      <c r="AG59" s="44" t="s">
        <v>780</v>
      </c>
      <c r="AH59" s="21" t="s">
        <v>1015</v>
      </c>
      <c r="AI59" s="45" t="s">
        <v>104</v>
      </c>
      <c r="AJ59" s="21" t="s">
        <v>359</v>
      </c>
      <c r="AK59" s="44" t="s">
        <v>1070</v>
      </c>
      <c r="AL59" s="19">
        <f t="shared" si="9"/>
        <v>13.5</v>
      </c>
    </row>
    <row r="60" ht="75.0" customHeight="1">
      <c r="A60" s="17" t="s">
        <v>591</v>
      </c>
      <c r="B60" s="44" t="s">
        <v>592</v>
      </c>
      <c r="C60" s="44" t="s">
        <v>1071</v>
      </c>
      <c r="D60" s="44" t="s">
        <v>1072</v>
      </c>
      <c r="E60" s="44" t="s">
        <v>1073</v>
      </c>
      <c r="F60" s="44" t="s">
        <v>1038</v>
      </c>
      <c r="G60" s="44" t="s">
        <v>1075</v>
      </c>
      <c r="H60" s="44" t="s">
        <v>224</v>
      </c>
      <c r="I60" s="44" t="s">
        <v>1076</v>
      </c>
      <c r="J60" s="18">
        <v>1000.0</v>
      </c>
      <c r="K60" s="18">
        <v>1.5</v>
      </c>
      <c r="L60" s="19">
        <f>'Consumo Anual'!M61</f>
        <v>127340</v>
      </c>
      <c r="M60" s="19">
        <f>L60*Volumenes!$B$57</f>
        <v>15280.8</v>
      </c>
      <c r="N60" s="27">
        <f>M60/Volumenes!$B$58</f>
        <v>764.04</v>
      </c>
      <c r="O60" s="18">
        <v>10.0</v>
      </c>
      <c r="P60" s="18">
        <v>20.0</v>
      </c>
      <c r="Q60" s="19">
        <f t="shared" si="1"/>
        <v>15280.8</v>
      </c>
      <c r="R60" s="19">
        <f t="shared" si="2"/>
        <v>16</v>
      </c>
      <c r="S60" s="27">
        <f t="shared" si="3"/>
        <v>7.95875</v>
      </c>
      <c r="T60" s="19">
        <f t="shared" si="4"/>
        <v>20.94131197</v>
      </c>
      <c r="U60" s="18">
        <v>10.0</v>
      </c>
      <c r="V60" s="19">
        <f t="shared" si="5"/>
        <v>23640.4</v>
      </c>
      <c r="W60" s="19">
        <f t="shared" si="6"/>
        <v>24</v>
      </c>
      <c r="X60" s="39">
        <f t="shared" si="7"/>
        <v>0.036</v>
      </c>
      <c r="Y60" s="44" t="s">
        <v>797</v>
      </c>
      <c r="Z60" s="18">
        <v>20.0</v>
      </c>
      <c r="AA60" s="18">
        <v>0.0</v>
      </c>
      <c r="AB60" s="19">
        <f t="shared" si="8"/>
        <v>2</v>
      </c>
      <c r="AC60" s="27">
        <f>AB60*VLOOKUP(Y60,'Almacen MP'!$A$8:$F$17,6,FALSE())</f>
        <v>2.4</v>
      </c>
      <c r="AD60" s="44" t="s">
        <v>983</v>
      </c>
      <c r="AE60" s="44" t="s">
        <v>798</v>
      </c>
      <c r="AF60" s="44" t="s">
        <v>1060</v>
      </c>
      <c r="AG60" s="44" t="s">
        <v>780</v>
      </c>
      <c r="AH60" s="21" t="s">
        <v>1088</v>
      </c>
      <c r="AI60" s="45" t="s">
        <v>104</v>
      </c>
      <c r="AJ60" s="21" t="s">
        <v>359</v>
      </c>
      <c r="AK60" s="44" t="s">
        <v>1070</v>
      </c>
      <c r="AL60" s="19">
        <f t="shared" si="9"/>
        <v>24</v>
      </c>
    </row>
    <row r="61" ht="75.0" customHeight="1">
      <c r="A61" s="17" t="s">
        <v>578</v>
      </c>
      <c r="B61" s="44" t="s">
        <v>579</v>
      </c>
      <c r="C61" s="44" t="s">
        <v>1089</v>
      </c>
      <c r="D61" s="44" t="s">
        <v>1090</v>
      </c>
      <c r="E61" s="44" t="s">
        <v>1073</v>
      </c>
      <c r="F61" s="44" t="s">
        <v>774</v>
      </c>
      <c r="G61" s="44" t="s">
        <v>1091</v>
      </c>
      <c r="H61" s="44" t="s">
        <v>224</v>
      </c>
      <c r="I61" s="44" t="s">
        <v>1092</v>
      </c>
      <c r="J61" s="18">
        <v>500.0</v>
      </c>
      <c r="K61" s="18">
        <v>2.0</v>
      </c>
      <c r="L61" s="19">
        <f>'Consumo Anual'!M62</f>
        <v>201243</v>
      </c>
      <c r="M61" s="19">
        <f>L61*Volumenes!$B$57</f>
        <v>24149.16</v>
      </c>
      <c r="N61" s="27">
        <f>M61/Volumenes!$B$58</f>
        <v>1207.458</v>
      </c>
      <c r="O61" s="18">
        <v>10.0</v>
      </c>
      <c r="P61" s="18">
        <v>20.0</v>
      </c>
      <c r="Q61" s="19">
        <f t="shared" si="1"/>
        <v>24149.16</v>
      </c>
      <c r="R61" s="19">
        <f t="shared" si="2"/>
        <v>49</v>
      </c>
      <c r="S61" s="27">
        <f t="shared" si="3"/>
        <v>8.214</v>
      </c>
      <c r="T61" s="19">
        <f t="shared" si="4"/>
        <v>20.29056083</v>
      </c>
      <c r="U61" s="18">
        <v>10.0</v>
      </c>
      <c r="V61" s="19">
        <f t="shared" si="5"/>
        <v>36574.58</v>
      </c>
      <c r="W61" s="19">
        <f t="shared" si="6"/>
        <v>74</v>
      </c>
      <c r="X61" s="39">
        <f t="shared" si="7"/>
        <v>0.148</v>
      </c>
      <c r="Y61" s="44" t="s">
        <v>797</v>
      </c>
      <c r="Z61" s="18">
        <v>20.0</v>
      </c>
      <c r="AA61" s="18">
        <v>0.0</v>
      </c>
      <c r="AB61" s="19">
        <f t="shared" si="8"/>
        <v>4</v>
      </c>
      <c r="AC61" s="27">
        <f>AB61*VLOOKUP(Y61,'Almacen MP'!$A$8:$F$17,6,FALSE())</f>
        <v>4.8</v>
      </c>
      <c r="AD61" s="44" t="s">
        <v>983</v>
      </c>
      <c r="AE61" s="44" t="s">
        <v>798</v>
      </c>
      <c r="AF61" s="44" t="s">
        <v>1101</v>
      </c>
      <c r="AG61" s="44" t="s">
        <v>780</v>
      </c>
      <c r="AH61" s="21" t="s">
        <v>1035</v>
      </c>
      <c r="AI61" s="45" t="s">
        <v>104</v>
      </c>
      <c r="AJ61" s="21" t="s">
        <v>359</v>
      </c>
      <c r="AK61" s="44" t="s">
        <v>1070</v>
      </c>
      <c r="AL61" s="19">
        <f t="shared" si="9"/>
        <v>98</v>
      </c>
    </row>
    <row r="62" ht="75.0" customHeight="1">
      <c r="A62" s="17" t="s">
        <v>580</v>
      </c>
      <c r="B62" s="44" t="s">
        <v>581</v>
      </c>
      <c r="C62" s="44" t="s">
        <v>1103</v>
      </c>
      <c r="D62" s="44" t="s">
        <v>1043</v>
      </c>
      <c r="E62" s="44" t="s">
        <v>1105</v>
      </c>
      <c r="F62" s="44" t="s">
        <v>1106</v>
      </c>
      <c r="G62" s="44" t="s">
        <v>1107</v>
      </c>
      <c r="H62" s="44" t="s">
        <v>224</v>
      </c>
      <c r="I62" s="44" t="s">
        <v>1108</v>
      </c>
      <c r="J62" s="18">
        <v>600.0</v>
      </c>
      <c r="K62" s="18">
        <v>250.0</v>
      </c>
      <c r="L62" s="19">
        <f>'Consumo Anual'!M63</f>
        <v>45362.5</v>
      </c>
      <c r="M62" s="19">
        <f>L62*Volumenes!$B$57</f>
        <v>5443.5</v>
      </c>
      <c r="N62" s="27">
        <f>M62/Volumenes!$B$58</f>
        <v>272.175</v>
      </c>
      <c r="O62" s="18">
        <v>10.0</v>
      </c>
      <c r="P62" s="18">
        <v>10.0</v>
      </c>
      <c r="Q62" s="19">
        <f t="shared" si="1"/>
        <v>2721.75</v>
      </c>
      <c r="R62" s="19">
        <f t="shared" si="2"/>
        <v>5</v>
      </c>
      <c r="S62" s="27">
        <f t="shared" si="3"/>
        <v>15.12083333</v>
      </c>
      <c r="T62" s="19">
        <f t="shared" si="4"/>
        <v>11.0223202</v>
      </c>
      <c r="U62" s="18">
        <v>5.0</v>
      </c>
      <c r="V62" s="19">
        <f t="shared" si="5"/>
        <v>4360.875</v>
      </c>
      <c r="W62" s="19">
        <f t="shared" si="6"/>
        <v>8</v>
      </c>
      <c r="X62" s="39">
        <f t="shared" si="7"/>
        <v>2</v>
      </c>
      <c r="Y62" s="44" t="s">
        <v>777</v>
      </c>
      <c r="Z62" s="18">
        <v>1.0</v>
      </c>
      <c r="AA62" s="18">
        <v>0.0</v>
      </c>
      <c r="AB62" s="19">
        <f t="shared" si="8"/>
        <v>8</v>
      </c>
      <c r="AC62" s="27">
        <f>AB62*VLOOKUP(Y62,'Almacen MP'!$A$8:$F$17,6,FALSE())</f>
        <v>10.40366667</v>
      </c>
      <c r="AD62" s="44" t="s">
        <v>983</v>
      </c>
      <c r="AE62" s="44" t="s">
        <v>752</v>
      </c>
      <c r="AF62" s="44" t="s">
        <v>1124</v>
      </c>
      <c r="AG62" s="44" t="s">
        <v>1125</v>
      </c>
      <c r="AH62" s="21" t="s">
        <v>1126</v>
      </c>
      <c r="AI62" s="45" t="s">
        <v>104</v>
      </c>
      <c r="AJ62" s="21" t="s">
        <v>1127</v>
      </c>
      <c r="AK62" s="44" t="s">
        <v>1128</v>
      </c>
      <c r="AL62" s="19">
        <f t="shared" si="9"/>
        <v>1250</v>
      </c>
    </row>
    <row r="63" ht="75.0" customHeight="1">
      <c r="A63" s="17" t="s">
        <v>583</v>
      </c>
      <c r="B63" s="44" t="s">
        <v>584</v>
      </c>
      <c r="C63" s="44" t="s">
        <v>1130</v>
      </c>
      <c r="D63" s="44" t="s">
        <v>1131</v>
      </c>
      <c r="E63" s="44" t="s">
        <v>1133</v>
      </c>
      <c r="F63" s="44" t="s">
        <v>774</v>
      </c>
      <c r="G63" s="44" t="s">
        <v>1136</v>
      </c>
      <c r="H63" s="44" t="s">
        <v>224</v>
      </c>
      <c r="I63" s="44" t="s">
        <v>1138</v>
      </c>
      <c r="J63" s="18">
        <v>15.0</v>
      </c>
      <c r="K63" s="18">
        <v>525.0</v>
      </c>
      <c r="L63" s="19">
        <f>'Consumo Anual'!M64</f>
        <v>1201.525786</v>
      </c>
      <c r="M63" s="19">
        <f>L63*Volumenes!$B$57</f>
        <v>144.1830943</v>
      </c>
      <c r="N63" s="27">
        <f>M63/Volumenes!$B$58</f>
        <v>7.209154716</v>
      </c>
      <c r="O63" s="18">
        <v>5.0</v>
      </c>
      <c r="P63" s="18">
        <v>10.0</v>
      </c>
      <c r="Q63" s="19">
        <f t="shared" si="1"/>
        <v>72.09154716</v>
      </c>
      <c r="R63" s="19">
        <f t="shared" si="2"/>
        <v>5</v>
      </c>
      <c r="S63" s="27">
        <f t="shared" si="3"/>
        <v>16.02034381</v>
      </c>
      <c r="T63" s="19">
        <f t="shared" si="4"/>
        <v>10.40343882</v>
      </c>
      <c r="U63" s="18">
        <v>5.0</v>
      </c>
      <c r="V63" s="19">
        <f t="shared" si="5"/>
        <v>111.0457736</v>
      </c>
      <c r="W63" s="19">
        <f t="shared" si="6"/>
        <v>8</v>
      </c>
      <c r="X63" s="39">
        <f t="shared" si="7"/>
        <v>4.2</v>
      </c>
      <c r="Y63" s="44" t="s">
        <v>1116</v>
      </c>
      <c r="Z63" s="18">
        <v>1.0</v>
      </c>
      <c r="AA63" s="18">
        <v>0.0</v>
      </c>
      <c r="AB63" s="19">
        <f t="shared" si="8"/>
        <v>8</v>
      </c>
      <c r="AC63" s="27">
        <f>AB63*VLOOKUP(Y63,'Almacen MP'!$A$8:$F$17,6,FALSE())</f>
        <v>14.4</v>
      </c>
      <c r="AD63" s="44" t="s">
        <v>983</v>
      </c>
      <c r="AE63" s="44" t="s">
        <v>752</v>
      </c>
      <c r="AF63" s="44" t="s">
        <v>1139</v>
      </c>
      <c r="AG63" s="44" t="s">
        <v>704</v>
      </c>
      <c r="AH63" s="21" t="s">
        <v>1140</v>
      </c>
      <c r="AI63" s="45" t="s">
        <v>456</v>
      </c>
      <c r="AJ63" s="21" t="s">
        <v>359</v>
      </c>
      <c r="AK63" s="44" t="s">
        <v>1141</v>
      </c>
      <c r="AL63" s="19">
        <f t="shared" si="9"/>
        <v>2625</v>
      </c>
    </row>
    <row r="64" ht="75.0" customHeight="1">
      <c r="A64" s="17" t="s">
        <v>586</v>
      </c>
      <c r="B64" s="44" t="s">
        <v>587</v>
      </c>
      <c r="C64" s="44" t="s">
        <v>1142</v>
      </c>
      <c r="D64" s="44" t="s">
        <v>1143</v>
      </c>
      <c r="E64" s="44" t="s">
        <v>1144</v>
      </c>
      <c r="F64" s="44" t="s">
        <v>774</v>
      </c>
      <c r="G64" s="44" t="s">
        <v>1146</v>
      </c>
      <c r="H64" s="44" t="s">
        <v>224</v>
      </c>
      <c r="I64" s="44" t="s">
        <v>1147</v>
      </c>
      <c r="J64" s="18">
        <v>500.0</v>
      </c>
      <c r="K64" s="18">
        <v>300.0</v>
      </c>
      <c r="L64" s="19">
        <f>'Consumo Anual'!M65</f>
        <v>2637.758295</v>
      </c>
      <c r="M64" s="19">
        <f>L64*Volumenes!$B$57</f>
        <v>316.5309954</v>
      </c>
      <c r="N64" s="27">
        <f>M64/Volumenes!$B$58</f>
        <v>15.82654977</v>
      </c>
      <c r="O64" s="18">
        <v>10.0</v>
      </c>
      <c r="P64" s="18">
        <v>20.0</v>
      </c>
      <c r="Q64" s="19">
        <f t="shared" si="1"/>
        <v>500</v>
      </c>
      <c r="R64" s="19">
        <f t="shared" si="2"/>
        <v>1</v>
      </c>
      <c r="S64" s="27">
        <f t="shared" si="3"/>
        <v>5.27551659</v>
      </c>
      <c r="T64" s="19">
        <f t="shared" si="4"/>
        <v>31.59248271</v>
      </c>
      <c r="U64" s="18">
        <v>10.0</v>
      </c>
      <c r="V64" s="19">
        <f t="shared" si="5"/>
        <v>658.2654977</v>
      </c>
      <c r="W64" s="19">
        <f t="shared" si="6"/>
        <v>2</v>
      </c>
      <c r="X64" s="39">
        <f t="shared" si="7"/>
        <v>0.6</v>
      </c>
      <c r="Y64" s="44" t="s">
        <v>777</v>
      </c>
      <c r="Z64" s="18">
        <v>1.0</v>
      </c>
      <c r="AA64" s="18">
        <v>0.0</v>
      </c>
      <c r="AB64" s="19">
        <f t="shared" si="8"/>
        <v>2</v>
      </c>
      <c r="AC64" s="27">
        <f>AB64*VLOOKUP(Y64,'Almacen MP'!$A$8:$F$17,6,FALSE())</f>
        <v>2.600916667</v>
      </c>
      <c r="AD64" s="44" t="s">
        <v>983</v>
      </c>
      <c r="AE64" s="44" t="s">
        <v>752</v>
      </c>
      <c r="AF64" s="44" t="s">
        <v>1149</v>
      </c>
      <c r="AG64" s="44" t="s">
        <v>780</v>
      </c>
      <c r="AH64" s="21" t="s">
        <v>104</v>
      </c>
      <c r="AI64" s="45" t="s">
        <v>104</v>
      </c>
      <c r="AJ64" s="21" t="s">
        <v>359</v>
      </c>
      <c r="AK64" s="44" t="s">
        <v>1128</v>
      </c>
      <c r="AL64" s="19">
        <f t="shared" si="9"/>
        <v>300</v>
      </c>
    </row>
    <row r="65" ht="75.0" customHeight="1">
      <c r="A65" s="17" t="s">
        <v>598</v>
      </c>
      <c r="B65" s="44" t="s">
        <v>599</v>
      </c>
      <c r="C65" s="44" t="s">
        <v>1150</v>
      </c>
      <c r="D65" s="44" t="s">
        <v>1151</v>
      </c>
      <c r="E65" s="44" t="s">
        <v>1152</v>
      </c>
      <c r="F65" s="44" t="s">
        <v>774</v>
      </c>
      <c r="G65" s="44" t="s">
        <v>1153</v>
      </c>
      <c r="H65" s="44" t="s">
        <v>224</v>
      </c>
      <c r="I65" s="44" t="s">
        <v>1154</v>
      </c>
      <c r="J65" s="18">
        <v>5000.0</v>
      </c>
      <c r="K65" s="18">
        <v>25.0</v>
      </c>
      <c r="L65" s="19">
        <f>'Consumo Anual'!M66</f>
        <v>213430</v>
      </c>
      <c r="M65" s="19">
        <f>L65*Volumenes!$B$57</f>
        <v>25611.6</v>
      </c>
      <c r="N65" s="27">
        <f>M65/Volumenes!$B$58</f>
        <v>1280.58</v>
      </c>
      <c r="O65" s="18">
        <v>10.0</v>
      </c>
      <c r="P65" s="18">
        <v>20.0</v>
      </c>
      <c r="Q65" s="19">
        <f t="shared" si="1"/>
        <v>25611.6</v>
      </c>
      <c r="R65" s="19">
        <f t="shared" si="2"/>
        <v>6</v>
      </c>
      <c r="S65" s="27">
        <f t="shared" si="3"/>
        <v>7.114333333</v>
      </c>
      <c r="T65" s="19">
        <f t="shared" si="4"/>
        <v>23.42688469</v>
      </c>
      <c r="U65" s="18">
        <v>10.0</v>
      </c>
      <c r="V65" s="19">
        <f t="shared" si="5"/>
        <v>42805.8</v>
      </c>
      <c r="W65" s="19">
        <f t="shared" si="6"/>
        <v>9</v>
      </c>
      <c r="X65" s="39">
        <f t="shared" si="7"/>
        <v>0.225</v>
      </c>
      <c r="Y65" s="44" t="s">
        <v>777</v>
      </c>
      <c r="Z65" s="18">
        <v>8.0</v>
      </c>
      <c r="AA65" s="18">
        <v>0.0</v>
      </c>
      <c r="AB65" s="19">
        <f t="shared" si="8"/>
        <v>2</v>
      </c>
      <c r="AC65" s="27">
        <f>AB65*VLOOKUP(Y65,'Almacen MP'!$A$8:$F$17,6,FALSE())</f>
        <v>2.600916667</v>
      </c>
      <c r="AD65" s="44" t="s">
        <v>983</v>
      </c>
      <c r="AE65" s="44" t="s">
        <v>798</v>
      </c>
      <c r="AF65" s="44" t="s">
        <v>1158</v>
      </c>
      <c r="AG65" s="44" t="s">
        <v>780</v>
      </c>
      <c r="AH65" s="21" t="s">
        <v>1159</v>
      </c>
      <c r="AI65" s="45" t="s">
        <v>104</v>
      </c>
      <c r="AJ65" s="21" t="s">
        <v>359</v>
      </c>
      <c r="AK65" s="44" t="s">
        <v>1128</v>
      </c>
      <c r="AL65" s="19">
        <f t="shared" si="9"/>
        <v>150</v>
      </c>
    </row>
    <row r="66" ht="75.0" customHeight="1">
      <c r="A66" s="17" t="s">
        <v>601</v>
      </c>
      <c r="B66" s="44" t="s">
        <v>602</v>
      </c>
      <c r="C66" s="44" t="s">
        <v>1160</v>
      </c>
      <c r="D66" s="44" t="s">
        <v>1161</v>
      </c>
      <c r="E66" s="44" t="s">
        <v>1162</v>
      </c>
      <c r="F66" s="44" t="s">
        <v>774</v>
      </c>
      <c r="G66" s="44" t="s">
        <v>1163</v>
      </c>
      <c r="H66" s="44" t="s">
        <v>155</v>
      </c>
      <c r="I66" s="44" t="s">
        <v>1164</v>
      </c>
      <c r="J66" s="18">
        <v>16.0</v>
      </c>
      <c r="K66" s="18">
        <v>16.0</v>
      </c>
      <c r="L66" s="19">
        <f>'Consumo Anual'!M67</f>
        <v>420.5340251</v>
      </c>
      <c r="M66" s="19">
        <f>L66*Volumenes!$B$57</f>
        <v>50.46408301</v>
      </c>
      <c r="N66" s="27">
        <f>M66/Volumenes!$B$58</f>
        <v>2.523204151</v>
      </c>
      <c r="O66" s="18">
        <v>5.0</v>
      </c>
      <c r="P66" s="18">
        <v>20.0</v>
      </c>
      <c r="Q66" s="19">
        <f t="shared" si="1"/>
        <v>50.46408301</v>
      </c>
      <c r="R66" s="19">
        <f t="shared" si="2"/>
        <v>4</v>
      </c>
      <c r="S66" s="27">
        <f t="shared" si="3"/>
        <v>6.570844142</v>
      </c>
      <c r="T66" s="19">
        <f t="shared" si="4"/>
        <v>25.36457464</v>
      </c>
      <c r="U66" s="18">
        <v>10.0</v>
      </c>
      <c r="V66" s="19">
        <f t="shared" si="5"/>
        <v>89.23204151</v>
      </c>
      <c r="W66" s="19">
        <f t="shared" si="6"/>
        <v>6</v>
      </c>
      <c r="X66" s="39">
        <f t="shared" si="7"/>
        <v>0.096</v>
      </c>
      <c r="Y66" s="44" t="s">
        <v>777</v>
      </c>
      <c r="Z66" s="18">
        <v>50.0</v>
      </c>
      <c r="AA66" s="18">
        <v>0.0</v>
      </c>
      <c r="AB66" s="19">
        <f t="shared" si="8"/>
        <v>1</v>
      </c>
      <c r="AC66" s="27">
        <f>AB66*VLOOKUP(Y66,'Almacen MP'!$A$8:$F$17,6,FALSE())</f>
        <v>1.300458333</v>
      </c>
      <c r="AD66" s="44" t="s">
        <v>983</v>
      </c>
      <c r="AE66" s="44" t="s">
        <v>798</v>
      </c>
      <c r="AF66" s="44" t="s">
        <v>1168</v>
      </c>
      <c r="AG66" s="44" t="s">
        <v>780</v>
      </c>
      <c r="AH66" s="21" t="s">
        <v>1169</v>
      </c>
      <c r="AI66" s="45" t="s">
        <v>395</v>
      </c>
      <c r="AJ66" s="21" t="s">
        <v>359</v>
      </c>
      <c r="AK66" s="44" t="s">
        <v>1128</v>
      </c>
      <c r="AL66" s="19">
        <f t="shared" si="9"/>
        <v>64</v>
      </c>
    </row>
    <row r="67" ht="75.0" customHeight="1">
      <c r="A67" s="17" t="s">
        <v>604</v>
      </c>
      <c r="B67" s="44" t="s">
        <v>605</v>
      </c>
      <c r="C67" s="44" t="s">
        <v>1170</v>
      </c>
      <c r="D67" s="44" t="s">
        <v>1171</v>
      </c>
      <c r="E67" s="44" t="s">
        <v>1144</v>
      </c>
      <c r="F67" s="44" t="s">
        <v>774</v>
      </c>
      <c r="G67" s="44" t="s">
        <v>1172</v>
      </c>
      <c r="H67" s="44" t="s">
        <v>224</v>
      </c>
      <c r="I67" s="44" t="s">
        <v>1173</v>
      </c>
      <c r="J67" s="18">
        <v>100.0</v>
      </c>
      <c r="K67" s="18">
        <v>15.0</v>
      </c>
      <c r="L67" s="19">
        <f>'Consumo Anual'!M68</f>
        <v>4806.103144</v>
      </c>
      <c r="M67" s="19">
        <f>L67*Volumenes!$B$57</f>
        <v>576.7323773</v>
      </c>
      <c r="N67" s="27">
        <f>M67/Volumenes!$B$58</f>
        <v>28.83661886</v>
      </c>
      <c r="O67" s="18">
        <v>10.0</v>
      </c>
      <c r="P67" s="18">
        <v>20.0</v>
      </c>
      <c r="Q67" s="19">
        <f t="shared" si="1"/>
        <v>576.7323773</v>
      </c>
      <c r="R67" s="19">
        <f t="shared" si="2"/>
        <v>6</v>
      </c>
      <c r="S67" s="27">
        <f t="shared" si="3"/>
        <v>8.010171907</v>
      </c>
      <c r="T67" s="19">
        <f t="shared" si="4"/>
        <v>20.80687763</v>
      </c>
      <c r="U67" s="18">
        <v>10.0</v>
      </c>
      <c r="V67" s="19">
        <f t="shared" si="5"/>
        <v>888.3661886</v>
      </c>
      <c r="W67" s="19">
        <f t="shared" si="6"/>
        <v>9</v>
      </c>
      <c r="X67" s="39">
        <f t="shared" si="7"/>
        <v>0.135</v>
      </c>
      <c r="Y67" s="44" t="s">
        <v>777</v>
      </c>
      <c r="Z67" s="18">
        <v>20.0</v>
      </c>
      <c r="AA67" s="18">
        <v>0.0</v>
      </c>
      <c r="AB67" s="19">
        <f t="shared" si="8"/>
        <v>1</v>
      </c>
      <c r="AC67" s="27">
        <f>AB67*VLOOKUP(Y67,'Almacen MP'!$A$8:$F$17,6,FALSE())</f>
        <v>1.300458333</v>
      </c>
      <c r="AD67" s="44" t="s">
        <v>983</v>
      </c>
      <c r="AE67" s="44" t="s">
        <v>798</v>
      </c>
      <c r="AF67" s="44" t="s">
        <v>1168</v>
      </c>
      <c r="AG67" s="44" t="s">
        <v>780</v>
      </c>
      <c r="AH67" s="21" t="s">
        <v>104</v>
      </c>
      <c r="AI67" s="45" t="s">
        <v>104</v>
      </c>
      <c r="AJ67" s="21" t="s">
        <v>359</v>
      </c>
      <c r="AK67" s="44" t="s">
        <v>1128</v>
      </c>
      <c r="AL67" s="19">
        <f t="shared" si="9"/>
        <v>90</v>
      </c>
    </row>
    <row r="68" ht="75.0" customHeight="1">
      <c r="A68" s="17" t="s">
        <v>594</v>
      </c>
      <c r="B68" s="44" t="s">
        <v>595</v>
      </c>
      <c r="C68" s="44" t="s">
        <v>1177</v>
      </c>
      <c r="D68" s="44" t="s">
        <v>1178</v>
      </c>
      <c r="E68" s="44" t="s">
        <v>1179</v>
      </c>
      <c r="F68" s="44" t="s">
        <v>774</v>
      </c>
      <c r="G68" s="44" t="s">
        <v>1180</v>
      </c>
      <c r="H68" s="44" t="s">
        <v>322</v>
      </c>
      <c r="I68" s="44" t="s">
        <v>1180</v>
      </c>
      <c r="J68" s="18">
        <v>4.0</v>
      </c>
      <c r="K68" s="18">
        <v>5.0</v>
      </c>
      <c r="L68" s="19">
        <f>'Consumo Anual'!M69</f>
        <v>955.05</v>
      </c>
      <c r="M68" s="19">
        <f>L68*Volumenes!$B$57</f>
        <v>114.606</v>
      </c>
      <c r="N68" s="27">
        <f>M68/Volumenes!$B$58</f>
        <v>5.7303</v>
      </c>
      <c r="O68" s="18">
        <v>5.0</v>
      </c>
      <c r="P68" s="18">
        <v>20.0</v>
      </c>
      <c r="Q68" s="19">
        <f t="shared" si="1"/>
        <v>114.606</v>
      </c>
      <c r="R68" s="19">
        <f t="shared" si="2"/>
        <v>29</v>
      </c>
      <c r="S68" s="27">
        <f t="shared" si="3"/>
        <v>8.233189655</v>
      </c>
      <c r="T68" s="19">
        <f t="shared" si="4"/>
        <v>20.24326824</v>
      </c>
      <c r="U68" s="18">
        <v>10.0</v>
      </c>
      <c r="V68" s="19">
        <f t="shared" si="5"/>
        <v>173.303</v>
      </c>
      <c r="W68" s="19">
        <f t="shared" si="6"/>
        <v>44</v>
      </c>
      <c r="X68" s="39">
        <f t="shared" si="7"/>
        <v>0.22</v>
      </c>
      <c r="Y68" s="44" t="s">
        <v>797</v>
      </c>
      <c r="Z68" s="18">
        <v>50.0</v>
      </c>
      <c r="AA68" s="18">
        <v>0.0</v>
      </c>
      <c r="AB68" s="19">
        <f t="shared" si="8"/>
        <v>1</v>
      </c>
      <c r="AC68" s="27">
        <f>AB68*VLOOKUP(Y68,'Almacen MP'!$A$8:$F$17,6,FALSE())</f>
        <v>1.2</v>
      </c>
      <c r="AD68" s="44" t="s">
        <v>874</v>
      </c>
      <c r="AE68" s="44" t="s">
        <v>798</v>
      </c>
      <c r="AF68" s="44" t="s">
        <v>1060</v>
      </c>
      <c r="AG68" s="44" t="s">
        <v>814</v>
      </c>
      <c r="AH68" s="21" t="s">
        <v>1181</v>
      </c>
      <c r="AI68" s="45" t="s">
        <v>430</v>
      </c>
      <c r="AJ68" s="21" t="s">
        <v>359</v>
      </c>
      <c r="AK68" s="44" t="s">
        <v>893</v>
      </c>
      <c r="AL68" s="19">
        <f t="shared" si="9"/>
        <v>145</v>
      </c>
    </row>
    <row r="69" ht="12.75" customHeight="1">
      <c r="A69" s="50" t="s">
        <v>1182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1">
        <f>SUM(S5:S68)</f>
        <v>559.9580414</v>
      </c>
      <c r="T69" s="52"/>
      <c r="U69" s="52"/>
      <c r="V69" s="52"/>
      <c r="W69" s="52"/>
      <c r="X69" s="53">
        <f>SUM(X5:X68)</f>
        <v>187.64379</v>
      </c>
      <c r="Y69" s="52"/>
      <c r="Z69" s="52"/>
      <c r="AA69" s="52"/>
      <c r="AB69" s="51">
        <f t="shared" ref="AB69:AC69" si="10">SUM(AB5:AB68)</f>
        <v>279</v>
      </c>
      <c r="AC69" s="51">
        <f t="shared" si="10"/>
        <v>377.0186417</v>
      </c>
      <c r="AD69" s="52"/>
      <c r="AE69" s="52"/>
      <c r="AF69" s="52"/>
      <c r="AG69" s="52"/>
      <c r="AH69" s="52"/>
      <c r="AI69" s="52"/>
      <c r="AJ69" s="52"/>
      <c r="AK69" s="52"/>
      <c r="AL69" s="5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autoFilter ref="$A$4:$AL$68"/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36.0"/>
    <col customWidth="1" min="3" max="3" width="16.0"/>
    <col customWidth="1" min="4" max="4" width="12.0"/>
    <col customWidth="1" min="5" max="5" width="14.0"/>
    <col customWidth="1" min="6" max="6" width="12.0"/>
    <col customWidth="1" min="7" max="7" width="60.0"/>
    <col customWidth="1" min="8" max="8" width="10.0"/>
  </cols>
  <sheetData>
    <row r="1" ht="19.5" customHeight="1">
      <c r="A1" s="3" t="s">
        <v>1067</v>
      </c>
      <c r="B1" s="5"/>
      <c r="C1" s="5"/>
      <c r="D1" s="5"/>
      <c r="E1" s="5"/>
      <c r="F1" s="5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7" t="s">
        <v>1068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9" t="s">
        <v>1074</v>
      </c>
      <c r="B4" s="11"/>
      <c r="C4" s="11"/>
      <c r="D4" s="11"/>
      <c r="E4" s="11"/>
      <c r="F4" s="11"/>
      <c r="G4" s="11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10" t="s">
        <v>1077</v>
      </c>
      <c r="B5" s="16">
        <v>2.3</v>
      </c>
      <c r="C5" s="44" t="s">
        <v>1078</v>
      </c>
      <c r="D5" s="16">
        <v>2.0</v>
      </c>
      <c r="E5" s="44" t="s">
        <v>1079</v>
      </c>
      <c r="F5" s="16">
        <v>1.2</v>
      </c>
      <c r="G5" s="10" t="s">
        <v>1080</v>
      </c>
      <c r="H5" s="16">
        <v>3.5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2.0" customHeight="1">
      <c r="A7" s="4" t="s">
        <v>634</v>
      </c>
      <c r="B7" s="4" t="s">
        <v>1081</v>
      </c>
      <c r="C7" s="4" t="s">
        <v>1082</v>
      </c>
      <c r="D7" s="4" t="s">
        <v>1083</v>
      </c>
      <c r="E7" s="4" t="s">
        <v>1084</v>
      </c>
      <c r="F7" s="4" t="s">
        <v>1085</v>
      </c>
      <c r="G7" s="4" t="s">
        <v>1086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7" t="s">
        <v>777</v>
      </c>
      <c r="B8" s="44" t="s">
        <v>1087</v>
      </c>
      <c r="C8" s="39">
        <f>B5*(F5+H5/2)/D5</f>
        <v>3.3925</v>
      </c>
      <c r="D8" s="18">
        <v>3.0</v>
      </c>
      <c r="E8" s="38">
        <v>1.15</v>
      </c>
      <c r="F8" s="39">
        <f t="shared" ref="F8:F17" si="1">C8*E8/D8</f>
        <v>1.300458333</v>
      </c>
      <c r="G8" s="21" t="s">
        <v>1093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7" t="s">
        <v>751</v>
      </c>
      <c r="B9" s="44" t="s">
        <v>1094</v>
      </c>
      <c r="C9" s="38">
        <v>1.2</v>
      </c>
      <c r="D9" s="18">
        <v>2.0</v>
      </c>
      <c r="E9" s="38">
        <v>1.5</v>
      </c>
      <c r="F9" s="39">
        <f t="shared" si="1"/>
        <v>0.9</v>
      </c>
      <c r="G9" s="21" t="s">
        <v>1095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7" t="s">
        <v>691</v>
      </c>
      <c r="B10" s="44" t="s">
        <v>1096</v>
      </c>
      <c r="C10" s="38">
        <v>1.0</v>
      </c>
      <c r="D10" s="18">
        <v>1.0</v>
      </c>
      <c r="E10" s="38">
        <v>1.6</v>
      </c>
      <c r="F10" s="39">
        <f t="shared" si="1"/>
        <v>1.6</v>
      </c>
      <c r="G10" s="21" t="s">
        <v>1097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7" t="s">
        <v>906</v>
      </c>
      <c r="B11" s="44" t="s">
        <v>1098</v>
      </c>
      <c r="C11" s="38">
        <v>1.44</v>
      </c>
      <c r="D11" s="18">
        <v>2.0</v>
      </c>
      <c r="E11" s="38">
        <v>1.5</v>
      </c>
      <c r="F11" s="39">
        <f t="shared" si="1"/>
        <v>1.08</v>
      </c>
      <c r="G11" s="21" t="s">
        <v>1099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7" t="s">
        <v>653</v>
      </c>
      <c r="B12" s="44" t="s">
        <v>1100</v>
      </c>
      <c r="C12" s="39">
        <f>7*(2.4+2)/12</f>
        <v>2.566666667</v>
      </c>
      <c r="D12" s="18">
        <v>1.0</v>
      </c>
      <c r="E12" s="38">
        <v>1.0</v>
      </c>
      <c r="F12" s="39">
        <f t="shared" si="1"/>
        <v>2.566666667</v>
      </c>
      <c r="G12" s="21" t="s">
        <v>1102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" t="s">
        <v>840</v>
      </c>
      <c r="B13" s="44" t="s">
        <v>1104</v>
      </c>
      <c r="C13" s="38">
        <v>0.99</v>
      </c>
      <c r="D13" s="18">
        <v>1.0</v>
      </c>
      <c r="E13" s="38">
        <v>2.0</v>
      </c>
      <c r="F13" s="39">
        <f t="shared" si="1"/>
        <v>1.98</v>
      </c>
      <c r="G13" s="21" t="s">
        <v>1109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7" t="s">
        <v>944</v>
      </c>
      <c r="B14" s="44" t="s">
        <v>1110</v>
      </c>
      <c r="C14" s="38">
        <v>0.25</v>
      </c>
      <c r="D14" s="18">
        <v>1.0</v>
      </c>
      <c r="E14" s="38">
        <v>2.0</v>
      </c>
      <c r="F14" s="39">
        <f t="shared" si="1"/>
        <v>0.5</v>
      </c>
      <c r="G14" s="21" t="s">
        <v>1111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 t="s">
        <v>873</v>
      </c>
      <c r="B15" s="44" t="s">
        <v>1112</v>
      </c>
      <c r="C15" s="38">
        <v>1.69</v>
      </c>
      <c r="D15" s="18">
        <v>1.0</v>
      </c>
      <c r="E15" s="38">
        <v>1.5</v>
      </c>
      <c r="F15" s="39">
        <f t="shared" si="1"/>
        <v>2.535</v>
      </c>
      <c r="G15" s="21" t="s">
        <v>1113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7" t="s">
        <v>797</v>
      </c>
      <c r="B16" s="44" t="s">
        <v>1114</v>
      </c>
      <c r="C16" s="38">
        <v>0.6</v>
      </c>
      <c r="D16" s="18">
        <v>1.0</v>
      </c>
      <c r="E16" s="38">
        <v>2.0</v>
      </c>
      <c r="F16" s="39">
        <f t="shared" si="1"/>
        <v>1.2</v>
      </c>
      <c r="G16" s="21" t="s">
        <v>1115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7" t="s">
        <v>1116</v>
      </c>
      <c r="B17" s="44" t="s">
        <v>1117</v>
      </c>
      <c r="C17" s="38">
        <v>1.2</v>
      </c>
      <c r="D17" s="18">
        <v>1.0</v>
      </c>
      <c r="E17" s="38">
        <v>1.5</v>
      </c>
      <c r="F17" s="39">
        <f t="shared" si="1"/>
        <v>1.8</v>
      </c>
      <c r="G17" s="21" t="s">
        <v>1118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7" t="s">
        <v>667</v>
      </c>
      <c r="B18" s="44" t="s">
        <v>1119</v>
      </c>
      <c r="C18" s="39" t="s">
        <v>1120</v>
      </c>
      <c r="D18" s="18">
        <v>2.0</v>
      </c>
      <c r="E18" s="38">
        <v>1.5</v>
      </c>
      <c r="F18" s="39" t="s">
        <v>1121</v>
      </c>
      <c r="G18" s="21" t="s">
        <v>1122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9" t="s">
        <v>1123</v>
      </c>
      <c r="B19" s="11"/>
      <c r="C19" s="11"/>
      <c r="D19" s="11"/>
      <c r="E19" s="11"/>
      <c r="F19" s="11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75" customHeight="1">
      <c r="A20" s="4" t="s">
        <v>1129</v>
      </c>
      <c r="B20" s="4" t="s">
        <v>637</v>
      </c>
      <c r="C20" s="4" t="s">
        <v>638</v>
      </c>
      <c r="D20" s="4" t="s">
        <v>1132</v>
      </c>
      <c r="E20" s="4" t="s">
        <v>1134</v>
      </c>
      <c r="F20" s="4" t="s">
        <v>1135</v>
      </c>
      <c r="G20" s="4" t="s">
        <v>1137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5.0" customHeight="1">
      <c r="A21" s="30" t="s">
        <v>654</v>
      </c>
      <c r="B21" s="19">
        <f>SUMIF('MP Abastecimiento'!$AD$5:$AD$68,A21,'MP Abastecimiento'!$AB$5:$AB$68)</f>
        <v>81</v>
      </c>
      <c r="C21" s="19">
        <f>SUMIF('MP Abastecimiento'!$AD$5:$AD$68,A21,'MP Abastecimiento'!$AC$5:$AC$68)</f>
        <v>148.3061</v>
      </c>
      <c r="D21" s="27">
        <f>SUMIF('MP Abastecimiento'!$AD$5:$AD$68,A21,'MP Abastecimiento'!$X$5:$X$68)</f>
        <v>96.88459002</v>
      </c>
      <c r="E21" s="18">
        <v>116.0</v>
      </c>
      <c r="F21" s="19">
        <f t="shared" ref="F21:F27" si="2">E21-C21</f>
        <v>-32.3061</v>
      </c>
      <c r="G21" s="21" t="s">
        <v>1145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5.0" customHeight="1">
      <c r="A22" s="30" t="s">
        <v>778</v>
      </c>
      <c r="B22" s="19">
        <f>SUMIF('MP Abastecimiento'!$AD$5:$AD$68,A22,'MP Abastecimiento'!$AB$5:$AB$68)</f>
        <v>28</v>
      </c>
      <c r="C22" s="19">
        <f>SUMIF('MP Abastecimiento'!$AD$5:$AD$68,A22,'MP Abastecimiento'!$AC$5:$AC$68)</f>
        <v>35.20733333</v>
      </c>
      <c r="D22" s="27">
        <f>SUMIF('MP Abastecimiento'!$AD$5:$AD$68,A22,'MP Abastecimiento'!$X$5:$X$68)</f>
        <v>13.8642</v>
      </c>
      <c r="E22" s="18">
        <v>0.0</v>
      </c>
      <c r="F22" s="19">
        <f t="shared" si="2"/>
        <v>-35.20733333</v>
      </c>
      <c r="G22" s="21" t="s">
        <v>1148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5.0" customHeight="1">
      <c r="A23" s="30" t="s">
        <v>907</v>
      </c>
      <c r="B23" s="19">
        <f>SUMIF('MP Abastecimiento'!$AD$5:$AD$68,A23,'MP Abastecimiento'!$AB$5:$AB$68)</f>
        <v>21</v>
      </c>
      <c r="C23" s="19">
        <f>SUMIF('MP Abastecimiento'!$AD$5:$AD$68,A23,'MP Abastecimiento'!$AC$5:$AC$68)</f>
        <v>23.12091667</v>
      </c>
      <c r="D23" s="27">
        <f>SUMIF('MP Abastecimiento'!$AD$5:$AD$68,A23,'MP Abastecimiento'!$X$5:$X$68)</f>
        <v>38.88</v>
      </c>
      <c r="E23" s="18">
        <v>17.0</v>
      </c>
      <c r="F23" s="19">
        <f t="shared" si="2"/>
        <v>-6.120916667</v>
      </c>
      <c r="G23" s="21" t="s">
        <v>1155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5.0" customHeight="1">
      <c r="A24" s="30" t="s">
        <v>983</v>
      </c>
      <c r="B24" s="19">
        <f>SUMIF('MP Abastecimiento'!$AD$5:$AD$68,A24,'MP Abastecimiento'!$AB$5:$AB$68)</f>
        <v>73</v>
      </c>
      <c r="C24" s="19">
        <f>SUMIF('MP Abastecimiento'!$AD$5:$AD$68,A24,'MP Abastecimiento'!$AC$5:$AC$68)</f>
        <v>97.523375</v>
      </c>
      <c r="D24" s="27">
        <f>SUMIF('MP Abastecimiento'!$AD$5:$AD$68,A24,'MP Abastecimiento'!$X$5:$X$68)</f>
        <v>21.052</v>
      </c>
      <c r="E24" s="18">
        <v>1.0</v>
      </c>
      <c r="F24" s="19">
        <f t="shared" si="2"/>
        <v>-96.523375</v>
      </c>
      <c r="G24" s="21" t="s">
        <v>1156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0" customHeight="1">
      <c r="A25" s="30" t="s">
        <v>841</v>
      </c>
      <c r="B25" s="19">
        <f>SUMIF('MP Abastecimiento'!$AD$5:$AD$68,A25,'MP Abastecimiento'!$AB$5:$AB$68)</f>
        <v>65</v>
      </c>
      <c r="C25" s="19">
        <f>SUMIF('MP Abastecimiento'!$AD$5:$AD$68,A25,'MP Abastecimiento'!$AC$5:$AC$68)</f>
        <v>48.78</v>
      </c>
      <c r="D25" s="27">
        <f>SUMIF('MP Abastecimiento'!$AD$5:$AD$68,A25,'MP Abastecimiento'!$X$5:$X$68)</f>
        <v>11.925</v>
      </c>
      <c r="E25" s="18">
        <v>16.0</v>
      </c>
      <c r="F25" s="19">
        <f t="shared" si="2"/>
        <v>-32.78</v>
      </c>
      <c r="G25" s="21" t="s">
        <v>1157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5.0" customHeight="1">
      <c r="A26" s="30" t="s">
        <v>874</v>
      </c>
      <c r="B26" s="19">
        <f>SUMIF('MP Abastecimiento'!$AD$5:$AD$68,A26,'MP Abastecimiento'!$AB$5:$AB$68)</f>
        <v>9</v>
      </c>
      <c r="C26" s="19">
        <f>SUMIF('MP Abastecimiento'!$AD$5:$AD$68,A26,'MP Abastecimiento'!$AC$5:$AC$68)</f>
        <v>21.48</v>
      </c>
      <c r="D26" s="27">
        <f>SUMIF('MP Abastecimiento'!$AD$5:$AD$68,A26,'MP Abastecimiento'!$X$5:$X$68)</f>
        <v>3.798</v>
      </c>
      <c r="E26" s="18">
        <v>0.0</v>
      </c>
      <c r="F26" s="19">
        <f t="shared" si="2"/>
        <v>-21.48</v>
      </c>
      <c r="G26" s="21" t="s">
        <v>1165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5.0" customHeight="1">
      <c r="A27" s="30" t="s">
        <v>889</v>
      </c>
      <c r="B27" s="19">
        <f>SUMIF('MP Abastecimiento'!$AD$5:$AD$68,A27,'MP Abastecimiento'!$AB$5:$AB$68)</f>
        <v>2</v>
      </c>
      <c r="C27" s="19">
        <f>SUMIF('MP Abastecimiento'!$AD$5:$AD$68,A27,'MP Abastecimiento'!$AC$5:$AC$68)</f>
        <v>2.600916667</v>
      </c>
      <c r="D27" s="27">
        <f>SUMIF('MP Abastecimiento'!$AD$5:$AD$68,A27,'MP Abastecimiento'!$X$5:$X$68)</f>
        <v>1.24</v>
      </c>
      <c r="E27" s="18">
        <v>0.0</v>
      </c>
      <c r="F27" s="19">
        <f t="shared" si="2"/>
        <v>-2.600916667</v>
      </c>
      <c r="G27" s="21" t="s">
        <v>1166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50" t="s">
        <v>1167</v>
      </c>
      <c r="B28" s="51">
        <f t="shared" ref="B28:F28" si="3">SUM(B21:B27)</f>
        <v>279</v>
      </c>
      <c r="C28" s="51">
        <f t="shared" si="3"/>
        <v>377.0186417</v>
      </c>
      <c r="D28" s="51">
        <f t="shared" si="3"/>
        <v>187.64379</v>
      </c>
      <c r="E28" s="51">
        <f t="shared" si="3"/>
        <v>150</v>
      </c>
      <c r="F28" s="51">
        <f t="shared" si="3"/>
        <v>-227.0186417</v>
      </c>
      <c r="G28" s="5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9" t="s">
        <v>1174</v>
      </c>
      <c r="B30" s="11"/>
      <c r="C30" s="1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75" customHeight="1">
      <c r="A31" s="4" t="s">
        <v>1175</v>
      </c>
      <c r="B31" s="4" t="s">
        <v>1176</v>
      </c>
      <c r="C31" s="4" t="s">
        <v>97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0" t="s">
        <v>777</v>
      </c>
      <c r="B32" s="19">
        <f>SUMIF('MP Abastecimiento'!$Y$5:$Y$68,A32,'MP Abastecimiento'!$AB$5:$AB$68)</f>
        <v>71</v>
      </c>
      <c r="C32" s="19">
        <f>SUMIF('MP Abastecimiento'!$Y$5:$Y$68,A32,'MP Abastecimiento'!$AC$5:$AC$68)</f>
        <v>92.33254167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0" t="s">
        <v>751</v>
      </c>
      <c r="B33" s="19">
        <f>SUMIF('MP Abastecimiento'!$Y$5:$Y$68,A33,'MP Abastecimiento'!$AB$5:$AB$68)</f>
        <v>27</v>
      </c>
      <c r="C33" s="19">
        <f>SUMIF('MP Abastecimiento'!$Y$5:$Y$68,A33,'MP Abastecimiento'!$AC$5:$AC$68)</f>
        <v>24.3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0" t="s">
        <v>691</v>
      </c>
      <c r="B34" s="19">
        <f>SUMIF('MP Abastecimiento'!$Y$5:$Y$68,A34,'MP Abastecimiento'!$AB$5:$AB$68)</f>
        <v>27</v>
      </c>
      <c r="C34" s="19">
        <f>SUMIF('MP Abastecimiento'!$Y$5:$Y$68,A34,'MP Abastecimiento'!$AC$5:$AC$68)</f>
        <v>43.2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0" t="s">
        <v>906</v>
      </c>
      <c r="B35" s="19">
        <f>SUMIF('MP Abastecimiento'!$Y$5:$Y$68,A35,'MP Abastecimiento'!$AB$5:$AB$68)</f>
        <v>19</v>
      </c>
      <c r="C35" s="19">
        <f>SUMIF('MP Abastecimiento'!$Y$5:$Y$68,A35,'MP Abastecimiento'!$AC$5:$AC$68)</f>
        <v>20.52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0" t="s">
        <v>653</v>
      </c>
      <c r="B36" s="19">
        <f>SUMIF('MP Abastecimiento'!$Y$5:$Y$68,A36,'MP Abastecimiento'!$AB$5:$AB$68)</f>
        <v>12</v>
      </c>
      <c r="C36" s="19">
        <f>SUMIF('MP Abastecimiento'!$Y$5:$Y$68,A36,'MP Abastecimiento'!$AC$5:$AC$68)</f>
        <v>30.8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0" t="s">
        <v>840</v>
      </c>
      <c r="B37" s="19">
        <f>SUMIF('MP Abastecimiento'!$Y$5:$Y$68,A37,'MP Abastecimiento'!$AB$5:$AB$68)</f>
        <v>11</v>
      </c>
      <c r="C37" s="19">
        <f>SUMIF('MP Abastecimiento'!$Y$5:$Y$68,A37,'MP Abastecimiento'!$AC$5:$AC$68)</f>
        <v>21.78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0" t="s">
        <v>944</v>
      </c>
      <c r="B38" s="19">
        <f>SUMIF('MP Abastecimiento'!$Y$5:$Y$68,A38,'MP Abastecimiento'!$AB$5:$AB$68)</f>
        <v>54</v>
      </c>
      <c r="C38" s="19">
        <f>SUMIF('MP Abastecimiento'!$Y$5:$Y$68,A38,'MP Abastecimiento'!$AC$5:$AC$68)</f>
        <v>27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0" t="s">
        <v>873</v>
      </c>
      <c r="B39" s="19">
        <f>SUMIF('MP Abastecimiento'!$Y$5:$Y$68,A39,'MP Abastecimiento'!$AB$5:$AB$68)</f>
        <v>8</v>
      </c>
      <c r="C39" s="19">
        <f>SUMIF('MP Abastecimiento'!$Y$5:$Y$68,A39,'MP Abastecimiento'!$AC$5:$AC$68)</f>
        <v>20.28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0" t="s">
        <v>797</v>
      </c>
      <c r="B40" s="19">
        <f>SUMIF('MP Abastecimiento'!$Y$5:$Y$68,A40,'MP Abastecimiento'!$AB$5:$AB$68)</f>
        <v>27</v>
      </c>
      <c r="C40" s="19">
        <f>SUMIF('MP Abastecimiento'!$Y$5:$Y$68,A40,'MP Abastecimiento'!$AC$5:$AC$68)</f>
        <v>32.4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0" t="s">
        <v>1116</v>
      </c>
      <c r="B41" s="19">
        <f>SUMIF('MP Abastecimiento'!$Y$5:$Y$68,A41,'MP Abastecimiento'!$AB$5:$AB$68)</f>
        <v>8</v>
      </c>
      <c r="C41" s="19">
        <f>SUMIF('MP Abastecimiento'!$Y$5:$Y$68,A41,'MP Abastecimiento'!$AC$5:$AC$68)</f>
        <v>14.4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0" t="s">
        <v>667</v>
      </c>
      <c r="B42" s="19">
        <f>SUMIF('MP Abastecimiento'!$Y$5:$Y$68,A42,'MP Abastecimiento'!$AB$5:$AB$68)</f>
        <v>15</v>
      </c>
      <c r="C42" s="19">
        <f>SUMIF('MP Abastecimiento'!$Y$5:$Y$68,A42,'MP Abastecimiento'!$AC$5:$AC$68)</f>
        <v>50.0061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9" t="s">
        <v>1183</v>
      </c>
      <c r="B43" s="11"/>
      <c r="C43" s="11"/>
      <c r="D43" s="11"/>
      <c r="E43" s="11"/>
      <c r="F43" s="11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2.0" customHeight="1">
      <c r="A44" s="13" t="s">
        <v>1184</v>
      </c>
      <c r="B44" s="11"/>
      <c r="C44" s="11"/>
      <c r="D44" s="11"/>
      <c r="E44" s="11"/>
      <c r="F44" s="11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2.0" customHeight="1">
      <c r="A45" s="13" t="s">
        <v>1185</v>
      </c>
      <c r="B45" s="11"/>
      <c r="C45" s="11"/>
      <c r="D45" s="11"/>
      <c r="E45" s="11"/>
      <c r="F45" s="11"/>
      <c r="G45" s="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2.0" customHeight="1">
      <c r="A46" s="13" t="s">
        <v>1186</v>
      </c>
      <c r="B46" s="11"/>
      <c r="C46" s="11"/>
      <c r="D46" s="11"/>
      <c r="E46" s="11"/>
      <c r="F46" s="11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2.0" customHeight="1">
      <c r="A47" s="13" t="s">
        <v>1187</v>
      </c>
      <c r="B47" s="11"/>
      <c r="C47" s="11"/>
      <c r="D47" s="11"/>
      <c r="E47" s="11"/>
      <c r="F47" s="11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2.0" customHeight="1">
      <c r="A48" s="13" t="s">
        <v>1188</v>
      </c>
      <c r="B48" s="11"/>
      <c r="C48" s="11"/>
      <c r="D48" s="11"/>
      <c r="E48" s="11"/>
      <c r="F48" s="11"/>
      <c r="G48" s="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2.0" customHeight="1">
      <c r="A49" s="13" t="s">
        <v>1189</v>
      </c>
      <c r="B49" s="11"/>
      <c r="C49" s="11"/>
      <c r="D49" s="11"/>
      <c r="E49" s="11"/>
      <c r="F49" s="11"/>
      <c r="G49" s="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2.0" customHeight="1">
      <c r="A50" s="13" t="s">
        <v>1190</v>
      </c>
      <c r="B50" s="11"/>
      <c r="C50" s="11"/>
      <c r="D50" s="11"/>
      <c r="E50" s="11"/>
      <c r="F50" s="11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2.0" customHeight="1">
      <c r="A51" s="13" t="s">
        <v>1191</v>
      </c>
      <c r="B51" s="11"/>
      <c r="C51" s="11"/>
      <c r="D51" s="11"/>
      <c r="E51" s="11"/>
      <c r="F51" s="11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9" t="s">
        <v>1192</v>
      </c>
      <c r="B53" s="11"/>
      <c r="C53" s="11"/>
      <c r="D53" s="11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4" t="s">
        <v>1193</v>
      </c>
      <c r="B54" s="4" t="s">
        <v>628</v>
      </c>
      <c r="C54" s="4" t="s">
        <v>1194</v>
      </c>
      <c r="D54" s="4" t="s">
        <v>1195</v>
      </c>
      <c r="E54" s="4" t="s">
        <v>1137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0" t="s">
        <v>660</v>
      </c>
      <c r="B55" s="27">
        <f>SUMPRODUCT(MAX(('MP Abastecimiento'!$AK$5:$AK$68=A55)*'MP Abastecimiento'!$S$5:$S$68))</f>
        <v>28.88396294</v>
      </c>
      <c r="C55" s="39">
        <f>B55/Volumenes!$B$60</f>
        <v>0.6017492278</v>
      </c>
      <c r="D55" s="27">
        <f>SUMIF('MP Abastecimiento'!$AK$5:$AK$68,A55,'MP Abastecimiento'!$AL$5:$AL$68)/1000</f>
        <v>4.228168334</v>
      </c>
      <c r="E55" s="21" t="s">
        <v>1196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0" t="s">
        <v>673</v>
      </c>
      <c r="B56" s="27">
        <f>SUMPRODUCT(MAX(('MP Abastecimiento'!$AK$5:$AK$68=A56)*'MP Abastecimiento'!$S$5:$S$68))</f>
        <v>18.11442074</v>
      </c>
      <c r="C56" s="39">
        <f>B56/Volumenes!$B$60</f>
        <v>0.3773837653</v>
      </c>
      <c r="D56" s="27">
        <f>SUMIF('MP Abastecimiento'!$AK$5:$AK$68,A56,'MP Abastecimiento'!$AL$5:$AL$68)/1000</f>
        <v>35.2594923</v>
      </c>
      <c r="E56" s="21" t="s">
        <v>1196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0" t="s">
        <v>757</v>
      </c>
      <c r="B57" s="27">
        <f>SUMPRODUCT(MAX(('MP Abastecimiento'!$AK$5:$AK$68=A57)*'MP Abastecimiento'!$S$5:$S$68))</f>
        <v>4.133333333</v>
      </c>
      <c r="C57" s="39">
        <f>B57/Volumenes!$B$60</f>
        <v>0.08611111111</v>
      </c>
      <c r="D57" s="27">
        <f>SUMIF('MP Abastecimiento'!$AK$5:$AK$68,A57,'MP Abastecimiento'!$AL$5:$AL$68)/1000</f>
        <v>5.9248</v>
      </c>
      <c r="E57" s="21" t="s">
        <v>1196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0" t="s">
        <v>783</v>
      </c>
      <c r="B58" s="27">
        <f>SUMPRODUCT(MAX(('MP Abastecimiento'!$AK$5:$AK$68=A58)*'MP Abastecimiento'!$S$5:$S$68))</f>
        <v>5.628361111</v>
      </c>
      <c r="C58" s="39">
        <f>B58/Volumenes!$B$60</f>
        <v>0.1172575231</v>
      </c>
      <c r="D58" s="27">
        <f>SUMIF('MP Abastecimiento'!$AK$5:$AK$68,A58,'MP Abastecimiento'!$AL$5:$AL$68)/1000</f>
        <v>3.68</v>
      </c>
      <c r="E58" s="21" t="s">
        <v>1196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0" t="s">
        <v>817</v>
      </c>
      <c r="B59" s="27">
        <f>SUMPRODUCT(MAX(('MP Abastecimiento'!$AK$5:$AK$68=A59)*'MP Abastecimiento'!$S$5:$S$68))</f>
        <v>2.325</v>
      </c>
      <c r="C59" s="39">
        <f>B59/Volumenes!$B$60</f>
        <v>0.0484375</v>
      </c>
      <c r="D59" s="27">
        <f>SUMIF('MP Abastecimiento'!$AK$5:$AK$68,A59,'MP Abastecimiento'!$AL$5:$AL$68)/1000</f>
        <v>0.4</v>
      </c>
      <c r="E59" s="21" t="s">
        <v>1196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" t="s">
        <v>827</v>
      </c>
      <c r="B60" s="27">
        <f>SUMPRODUCT(MAX(('MP Abastecimiento'!$AK$5:$AK$68=A60)*'MP Abastecimiento'!$S$5:$S$68))</f>
        <v>8.1008243</v>
      </c>
      <c r="C60" s="39">
        <f>B60/Volumenes!$B$60</f>
        <v>0.1687671729</v>
      </c>
      <c r="D60" s="27">
        <f>SUMIF('MP Abastecimiento'!$AK$5:$AK$68,A60,'MP Abastecimiento'!$AL$5:$AL$68)/1000</f>
        <v>1.8927</v>
      </c>
      <c r="E60" s="21" t="s">
        <v>1196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0" t="s">
        <v>847</v>
      </c>
      <c r="B61" s="27">
        <f>SUMPRODUCT(MAX(('MP Abastecimiento'!$AK$5:$AK$68=A61)*'MP Abastecimiento'!$S$5:$S$68))</f>
        <v>31.29671768</v>
      </c>
      <c r="C61" s="39">
        <f>B61/Volumenes!$B$60</f>
        <v>0.6520149518</v>
      </c>
      <c r="D61" s="27">
        <f>SUMIF('MP Abastecimiento'!$AK$5:$AK$68,A61,'MP Abastecimiento'!$AL$5:$AL$68)/1000</f>
        <v>7.64</v>
      </c>
      <c r="E61" s="21" t="s">
        <v>1196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0" t="s">
        <v>867</v>
      </c>
      <c r="B62" s="27">
        <f>SUMPRODUCT(MAX(('MP Abastecimiento'!$AK$5:$AK$68=A62)*'MP Abastecimiento'!$S$5:$S$68))</f>
        <v>2.010147783</v>
      </c>
      <c r="C62" s="39">
        <f>B62/Volumenes!$B$60</f>
        <v>0.04187807882</v>
      </c>
      <c r="D62" s="27">
        <f>SUMIF('MP Abastecimiento'!$AK$5:$AK$68,A62,'MP Abastecimiento'!$AL$5:$AL$68)/1000</f>
        <v>3.105</v>
      </c>
      <c r="E62" s="21" t="s">
        <v>1196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0" t="s">
        <v>878</v>
      </c>
      <c r="B63" s="27">
        <f>SUMPRODUCT(MAX(('MP Abastecimiento'!$AK$5:$AK$68=A63)*'MP Abastecimiento'!$S$5:$S$68))</f>
        <v>1.782215271</v>
      </c>
      <c r="C63" s="39">
        <f>B63/Volumenes!$B$60</f>
        <v>0.03712948481</v>
      </c>
      <c r="D63" s="27">
        <f>SUMIF('MP Abastecimiento'!$AK$5:$AK$68,A63,'MP Abastecimiento'!$AL$5:$AL$68)/1000</f>
        <v>0.46</v>
      </c>
      <c r="E63" s="21" t="s">
        <v>1196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0" t="s">
        <v>893</v>
      </c>
      <c r="B64" s="27">
        <f>SUMPRODUCT(MAX(('MP Abastecimiento'!$AK$5:$AK$68=A64)*'MP Abastecimiento'!$S$5:$S$68))</f>
        <v>8.317004597</v>
      </c>
      <c r="C64" s="39">
        <f>B64/Volumenes!$B$60</f>
        <v>0.1732709291</v>
      </c>
      <c r="D64" s="27">
        <f>SUMIF('MP Abastecimiento'!$AK$5:$AK$68,A64,'MP Abastecimiento'!$AL$5:$AL$68)/1000</f>
        <v>0.79</v>
      </c>
      <c r="E64" s="21" t="s">
        <v>1196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0" t="s">
        <v>912</v>
      </c>
      <c r="B65" s="27">
        <f>SUMPRODUCT(MAX(('MP Abastecimiento'!$AK$5:$AK$68=A65)*'MP Abastecimiento'!$S$5:$S$68))</f>
        <v>31.03922923</v>
      </c>
      <c r="C65" s="39">
        <f>B65/Volumenes!$B$60</f>
        <v>0.646650609</v>
      </c>
      <c r="D65" s="27">
        <f>SUMIF('MP Abastecimiento'!$AK$5:$AK$68,A65,'MP Abastecimiento'!$AL$5:$AL$68)/1000</f>
        <v>13.13</v>
      </c>
      <c r="E65" s="21" t="s">
        <v>1196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0" t="s">
        <v>930</v>
      </c>
      <c r="B66" s="27">
        <f>SUMPRODUCT(MAX(('MP Abastecimiento'!$AK$5:$AK$68=A66)*'MP Abastecimiento'!$S$5:$S$68))</f>
        <v>8.232692308</v>
      </c>
      <c r="C66" s="39">
        <f>B66/Volumenes!$B$60</f>
        <v>0.1715144231</v>
      </c>
      <c r="D66" s="27">
        <f>SUMIF('MP Abastecimiento'!$AK$5:$AK$68,A66,'MP Abastecimiento'!$AL$5:$AL$68)/1000</f>
        <v>2.874</v>
      </c>
      <c r="E66" s="21" t="s">
        <v>1196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0" t="s">
        <v>987</v>
      </c>
      <c r="B67" s="27">
        <f>SUMPRODUCT(MAX(('MP Abastecimiento'!$AK$5:$AK$68=A67)*'MP Abastecimiento'!$S$5:$S$68))</f>
        <v>8.324268</v>
      </c>
      <c r="C67" s="39">
        <f>B67/Volumenes!$B$60</f>
        <v>0.17342225</v>
      </c>
      <c r="D67" s="27">
        <f>SUMIF('MP Abastecimiento'!$AK$5:$AK$68,A67,'MP Abastecimiento'!$AL$5:$AL$68)/1000</f>
        <v>8.161</v>
      </c>
      <c r="E67" s="21" t="s">
        <v>1196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0" t="s">
        <v>1050</v>
      </c>
      <c r="B68" s="27">
        <f>SUMPRODUCT(MAX(('MP Abastecimiento'!$AK$5:$AK$68=A68)*'MP Abastecimiento'!$S$5:$S$68))</f>
        <v>15.10833333</v>
      </c>
      <c r="C68" s="39">
        <f>B68/Volumenes!$B$60</f>
        <v>0.3147569444</v>
      </c>
      <c r="D68" s="27">
        <f>SUMIF('MP Abastecimiento'!$AK$5:$AK$68,A68,'MP Abastecimiento'!$AL$5:$AL$68)/1000</f>
        <v>5.52</v>
      </c>
      <c r="E68" s="21" t="s">
        <v>1196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0" t="s">
        <v>1070</v>
      </c>
      <c r="B69" s="27">
        <f>SUMPRODUCT(MAX(('MP Abastecimiento'!$AK$5:$AK$68=A69)*'MP Abastecimiento'!$S$5:$S$68))</f>
        <v>8.214</v>
      </c>
      <c r="C69" s="39">
        <f>B69/Volumenes!$B$60</f>
        <v>0.171125</v>
      </c>
      <c r="D69" s="27">
        <f>SUMIF('MP Abastecimiento'!$AK$5:$AK$68,A69,'MP Abastecimiento'!$AL$5:$AL$68)/1000</f>
        <v>0.1355</v>
      </c>
      <c r="E69" s="21" t="s">
        <v>1196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0" t="s">
        <v>1128</v>
      </c>
      <c r="B70" s="27">
        <f>SUMPRODUCT(MAX(('MP Abastecimiento'!$AK$5:$AK$68=A70)*'MP Abastecimiento'!$S$5:$S$68))</f>
        <v>15.12083333</v>
      </c>
      <c r="C70" s="39">
        <f>B70/Volumenes!$B$60</f>
        <v>0.3150173611</v>
      </c>
      <c r="D70" s="27">
        <f>SUMIF('MP Abastecimiento'!$AK$5:$AK$68,A70,'MP Abastecimiento'!$AL$5:$AL$68)/1000</f>
        <v>1.854</v>
      </c>
      <c r="E70" s="21" t="s">
        <v>1196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0" t="s">
        <v>1141</v>
      </c>
      <c r="B71" s="27">
        <f>SUMPRODUCT(MAX(('MP Abastecimiento'!$AK$5:$AK$68=A71)*'MP Abastecimiento'!$S$5:$S$68))</f>
        <v>16.02034381</v>
      </c>
      <c r="C71" s="39">
        <f>B71/Volumenes!$B$60</f>
        <v>0.3337571628</v>
      </c>
      <c r="D71" s="27">
        <f>SUMIF('MP Abastecimiento'!$AK$5:$AK$68,A71,'MP Abastecimiento'!$AL$5:$AL$68)/1000</f>
        <v>2.625</v>
      </c>
      <c r="E71" s="21" t="s">
        <v>1196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0" t="s">
        <v>707</v>
      </c>
      <c r="B72" s="27">
        <f>SUMPRODUCT(MAX(('MP Abastecimiento'!$AK$5:$AK$68=A72)*'MP Abastecimiento'!$S$5:$S$68))</f>
        <v>29.25530341</v>
      </c>
      <c r="C72" s="39">
        <f>B72/Volumenes!$B$60</f>
        <v>0.6094854878</v>
      </c>
      <c r="D72" s="27">
        <f>SUMIF('MP Abastecimiento'!$AK$5:$AK$68,A72,'MP Abastecimiento'!$AL$5:$AL$68)/1000</f>
        <v>5.049</v>
      </c>
      <c r="E72" s="21" t="s">
        <v>1196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50" t="s">
        <v>1182</v>
      </c>
      <c r="B73" s="51">
        <f t="shared" ref="B73:C73" si="4">SUM(B55:B72)</f>
        <v>241.9069912</v>
      </c>
      <c r="C73" s="53">
        <f t="shared" si="4"/>
        <v>5.039728983</v>
      </c>
      <c r="D73" s="52"/>
      <c r="E73" s="5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9" t="s">
        <v>1287</v>
      </c>
      <c r="B74" s="11"/>
      <c r="C74" s="1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75" customHeight="1">
      <c r="A75" s="4" t="s">
        <v>1290</v>
      </c>
      <c r="B75" s="4" t="s">
        <v>59</v>
      </c>
      <c r="C75" s="4" t="s">
        <v>1291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0" t="s">
        <v>1293</v>
      </c>
      <c r="B76" s="27">
        <f>SUMPRODUCT('Geometria Acero'!$C$41:$J$41-'Geometria Acero'!$C$42:$J$42+'Geometria Acero'!$C$47:$J$47-'Geometria Acero'!$C$48:$J$48,Volumenes!$B$41:$I$41)/1000</f>
        <v>38.66495605</v>
      </c>
      <c r="C76" s="21" t="s">
        <v>1294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0" t="s">
        <v>1295</v>
      </c>
      <c r="B77" s="27">
        <f>SUMPRODUCT('Geometria Acero'!$C$90:$J$90,Volumenes!$B$41:$I$41)/1000</f>
        <v>22.86967135</v>
      </c>
      <c r="C77" s="21" t="s">
        <v>1298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0" t="s">
        <v>1301</v>
      </c>
      <c r="B78" s="27">
        <f>('Geometria Acero'!$C$83-'Geometria Acero'!$C$36)*Volumenes!$B$41/1000</f>
        <v>2.747840793</v>
      </c>
      <c r="C78" s="21" t="s">
        <v>1305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0" t="s">
        <v>1307</v>
      </c>
      <c r="B79" s="27">
        <f>SUMPRODUCT('Geometria Acero'!$C$58:$J$58,Volumenes!$B$41:$I$41)*0.01/1000</f>
        <v>4.565364979</v>
      </c>
      <c r="C79" s="21" t="s">
        <v>104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50" t="s">
        <v>1319</v>
      </c>
      <c r="B80" s="53">
        <f>SUM(B76:B79)</f>
        <v>68.84783317</v>
      </c>
      <c r="C80" s="5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0" t="s">
        <v>1329</v>
      </c>
      <c r="B81" s="27">
        <f>B80*Volumenes!$B$57/(6*0.8)</f>
        <v>1.721195829</v>
      </c>
      <c r="C81" s="21" t="s">
        <v>104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:G1"/>
    <mergeCell ref="A2:G2"/>
    <mergeCell ref="A4:H4"/>
    <mergeCell ref="A19:G19"/>
    <mergeCell ref="A30:C30"/>
    <mergeCell ref="A43:G43"/>
    <mergeCell ref="A44:G44"/>
    <mergeCell ref="A53:E53"/>
    <mergeCell ref="A74:C74"/>
    <mergeCell ref="A45:G45"/>
    <mergeCell ref="A46:G46"/>
    <mergeCell ref="A47:G47"/>
    <mergeCell ref="A48:G48"/>
    <mergeCell ref="A49:G49"/>
    <mergeCell ref="A50:G50"/>
    <mergeCell ref="A51:G51"/>
  </mergeCells>
  <printOptions/>
  <pageMargins bottom="1.0" footer="0.0" header="0.0" left="0.75" right="0.75" top="1.0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2.0"/>
    <col customWidth="1" min="3" max="3" width="24.0"/>
    <col customWidth="1" min="4" max="4" width="36.0"/>
    <col customWidth="1" min="5" max="5" width="34.0"/>
    <col customWidth="1" min="6" max="6" width="40.0"/>
    <col customWidth="1" min="7" max="7" width="44.0"/>
  </cols>
  <sheetData>
    <row r="1" ht="19.5" customHeight="1">
      <c r="A1" s="3" t="s">
        <v>1197</v>
      </c>
      <c r="B1" s="5"/>
      <c r="C1" s="5"/>
      <c r="D1" s="5"/>
      <c r="E1" s="5"/>
      <c r="F1" s="5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1.5" customHeight="1">
      <c r="A5" s="4" t="s">
        <v>1198</v>
      </c>
      <c r="B5" s="4" t="s">
        <v>1199</v>
      </c>
      <c r="C5" s="4" t="s">
        <v>1200</v>
      </c>
      <c r="D5" s="4" t="s">
        <v>640</v>
      </c>
      <c r="E5" s="4" t="s">
        <v>641</v>
      </c>
      <c r="F5" s="4" t="s">
        <v>1201</v>
      </c>
      <c r="G5" s="4" t="s">
        <v>1202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2.0" customHeight="1">
      <c r="A6" s="44" t="s">
        <v>1203</v>
      </c>
      <c r="B6" s="18">
        <v>2000.0</v>
      </c>
      <c r="C6" s="44" t="s">
        <v>1204</v>
      </c>
      <c r="D6" s="44" t="s">
        <v>1205</v>
      </c>
      <c r="E6" s="44" t="s">
        <v>1206</v>
      </c>
      <c r="F6" s="44" t="s">
        <v>1207</v>
      </c>
      <c r="G6" s="21" t="s">
        <v>1208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2.0" customHeight="1">
      <c r="A7" s="44" t="s">
        <v>1209</v>
      </c>
      <c r="B7" s="18">
        <v>2000.0</v>
      </c>
      <c r="C7" s="44" t="s">
        <v>1210</v>
      </c>
      <c r="D7" s="44" t="s">
        <v>1211</v>
      </c>
      <c r="E7" s="44" t="s">
        <v>1212</v>
      </c>
      <c r="F7" s="44" t="s">
        <v>1213</v>
      </c>
      <c r="G7" s="21" t="s">
        <v>1214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2.0" customHeight="1">
      <c r="A8" s="44" t="s">
        <v>1215</v>
      </c>
      <c r="B8" s="18">
        <v>1000.0</v>
      </c>
      <c r="C8" s="44" t="s">
        <v>1216</v>
      </c>
      <c r="D8" s="44" t="s">
        <v>1217</v>
      </c>
      <c r="E8" s="44" t="s">
        <v>1218</v>
      </c>
      <c r="F8" s="44" t="s">
        <v>1219</v>
      </c>
      <c r="G8" s="21" t="s">
        <v>1220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2.0" customHeight="1">
      <c r="A9" s="44" t="s">
        <v>1221</v>
      </c>
      <c r="B9" s="18">
        <v>850.0</v>
      </c>
      <c r="C9" s="44" t="s">
        <v>1222</v>
      </c>
      <c r="D9" s="44" t="s">
        <v>1223</v>
      </c>
      <c r="E9" s="44" t="s">
        <v>1224</v>
      </c>
      <c r="F9" s="44" t="s">
        <v>1225</v>
      </c>
      <c r="G9" s="21" t="s">
        <v>1226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2.0" customHeight="1">
      <c r="A10" s="44" t="s">
        <v>1227</v>
      </c>
      <c r="B10" s="18">
        <v>1010.0</v>
      </c>
      <c r="C10" s="44" t="s">
        <v>1228</v>
      </c>
      <c r="D10" s="44" t="s">
        <v>1229</v>
      </c>
      <c r="E10" s="44" t="s">
        <v>1230</v>
      </c>
      <c r="F10" s="44" t="s">
        <v>1231</v>
      </c>
      <c r="G10" s="21" t="s">
        <v>1232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2.0" customHeight="1">
      <c r="A11" s="44" t="s">
        <v>1233</v>
      </c>
      <c r="B11" s="18">
        <v>930.0</v>
      </c>
      <c r="C11" s="44" t="s">
        <v>1234</v>
      </c>
      <c r="D11" s="44" t="s">
        <v>1235</v>
      </c>
      <c r="E11" s="44" t="s">
        <v>1236</v>
      </c>
      <c r="F11" s="44" t="s">
        <v>1237</v>
      </c>
      <c r="G11" s="21" t="s">
        <v>1238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2.0" customHeight="1">
      <c r="A12" s="44" t="s">
        <v>1239</v>
      </c>
      <c r="B12" s="18">
        <v>1035.0</v>
      </c>
      <c r="C12" s="44" t="s">
        <v>1240</v>
      </c>
      <c r="D12" s="44" t="s">
        <v>148</v>
      </c>
      <c r="E12" s="44" t="s">
        <v>1241</v>
      </c>
      <c r="F12" s="44" t="s">
        <v>1242</v>
      </c>
      <c r="G12" s="21" t="s">
        <v>1243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2.0" customHeight="1">
      <c r="A13" s="44" t="s">
        <v>1244</v>
      </c>
      <c r="B13" s="18">
        <v>620.0</v>
      </c>
      <c r="C13" s="44" t="s">
        <v>1245</v>
      </c>
      <c r="D13" s="44" t="s">
        <v>1235</v>
      </c>
      <c r="E13" s="44" t="s">
        <v>1246</v>
      </c>
      <c r="F13" s="44" t="s">
        <v>1247</v>
      </c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2.0" customHeight="1">
      <c r="A14" s="44" t="s">
        <v>1248</v>
      </c>
      <c r="B14" s="18">
        <v>1000.0</v>
      </c>
      <c r="C14" s="44" t="s">
        <v>1249</v>
      </c>
      <c r="D14" s="44" t="s">
        <v>1250</v>
      </c>
      <c r="E14" s="44" t="s">
        <v>1251</v>
      </c>
      <c r="F14" s="44" t="s">
        <v>1252</v>
      </c>
      <c r="G14" s="21" t="s">
        <v>1253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2.0" customHeight="1">
      <c r="A15" s="44" t="s">
        <v>1254</v>
      </c>
      <c r="B15" s="18">
        <v>240.0</v>
      </c>
      <c r="C15" s="44" t="s">
        <v>1255</v>
      </c>
      <c r="D15" s="44" t="s">
        <v>1256</v>
      </c>
      <c r="E15" s="44" t="s">
        <v>881</v>
      </c>
      <c r="F15" s="44" t="s">
        <v>1257</v>
      </c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2.0" customHeight="1">
      <c r="A16" s="44" t="s">
        <v>1258</v>
      </c>
      <c r="B16" s="18">
        <v>700.0</v>
      </c>
      <c r="C16" s="44" t="s">
        <v>1234</v>
      </c>
      <c r="D16" s="44" t="s">
        <v>1259</v>
      </c>
      <c r="E16" s="44" t="s">
        <v>1260</v>
      </c>
      <c r="F16" s="44" t="s">
        <v>1261</v>
      </c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2.0" customHeight="1">
      <c r="A17" s="44" t="s">
        <v>1262</v>
      </c>
      <c r="B17" s="18">
        <v>250.0</v>
      </c>
      <c r="C17" s="44" t="s">
        <v>1263</v>
      </c>
      <c r="D17" s="44" t="s">
        <v>1264</v>
      </c>
      <c r="E17" s="44" t="s">
        <v>1246</v>
      </c>
      <c r="F17" s="44" t="s">
        <v>1265</v>
      </c>
      <c r="G17" s="21" t="s">
        <v>1266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2.0" customHeight="1">
      <c r="A18" s="44" t="s">
        <v>1267</v>
      </c>
      <c r="B18" s="18">
        <v>525.0</v>
      </c>
      <c r="C18" s="44" t="s">
        <v>1268</v>
      </c>
      <c r="D18" s="44" t="s">
        <v>148</v>
      </c>
      <c r="E18" s="44" t="s">
        <v>148</v>
      </c>
      <c r="F18" s="44" t="s">
        <v>1269</v>
      </c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2.0" customHeight="1">
      <c r="A19" s="44" t="s">
        <v>1270</v>
      </c>
      <c r="B19" s="18">
        <v>1000.0</v>
      </c>
      <c r="C19" s="44" t="s">
        <v>1271</v>
      </c>
      <c r="D19" s="44" t="s">
        <v>1272</v>
      </c>
      <c r="E19" s="44" t="s">
        <v>1273</v>
      </c>
      <c r="F19" s="44" t="s">
        <v>1274</v>
      </c>
      <c r="G19" s="21" t="s">
        <v>1275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2.0" customHeight="1">
      <c r="A20" s="44" t="s">
        <v>1276</v>
      </c>
      <c r="B20" s="18">
        <v>216.0</v>
      </c>
      <c r="C20" s="44" t="s">
        <v>1277</v>
      </c>
      <c r="D20" s="44" t="s">
        <v>359</v>
      </c>
      <c r="E20" s="44" t="s">
        <v>1278</v>
      </c>
      <c r="F20" s="44" t="s">
        <v>1279</v>
      </c>
      <c r="G20" s="21" t="s">
        <v>1280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9" t="s">
        <v>1281</v>
      </c>
      <c r="B22" s="11"/>
      <c r="C22" s="11"/>
      <c r="D22" s="11"/>
      <c r="E22" s="11"/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4" t="s">
        <v>1282</v>
      </c>
      <c r="B23" s="4" t="s">
        <v>1283</v>
      </c>
      <c r="C23" s="4" t="s">
        <v>1284</v>
      </c>
      <c r="D23" s="4" t="s">
        <v>1285</v>
      </c>
      <c r="E23" s="4" t="s">
        <v>1286</v>
      </c>
      <c r="F23" s="4" t="s">
        <v>1202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8.0" customHeight="1">
      <c r="A24" s="44" t="s">
        <v>1288</v>
      </c>
      <c r="B24" s="44" t="s">
        <v>1289</v>
      </c>
      <c r="C24" s="54">
        <v>1.0</v>
      </c>
      <c r="D24" s="44" t="s">
        <v>1292</v>
      </c>
      <c r="E24" s="21" t="str">
        <f>"Paquete más pesado: "&amp;ROUND(MAX('MP Abastecimiento'!$K$6:$K$8,'MP Abastecimiento'!$K$15:$K$16),0)&amp;" kg"</f>
        <v>Paquete más pesado: 1986 kg</v>
      </c>
      <c r="F24" s="21" t="s">
        <v>1296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8.0" customHeight="1">
      <c r="A25" s="44" t="s">
        <v>1297</v>
      </c>
      <c r="B25" s="44" t="s">
        <v>359</v>
      </c>
      <c r="C25" s="54">
        <v>1.0</v>
      </c>
      <c r="D25" s="44" t="s">
        <v>1299</v>
      </c>
      <c r="E25" s="21"/>
      <c r="F25" s="21" t="s">
        <v>1300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1.5" customHeight="1">
      <c r="A26" s="44" t="s">
        <v>1302</v>
      </c>
      <c r="B26" s="44" t="s">
        <v>1303</v>
      </c>
      <c r="C26" s="54">
        <v>1.0</v>
      </c>
      <c r="D26" s="44" t="s">
        <v>1304</v>
      </c>
      <c r="E26" s="21" t="str">
        <f>"UC más pesada: "&amp;ROUND(MAX('MP Abastecimiento'!$K$5:$K$68),0)&amp;" kg"</f>
        <v>UC más pesada: 1986 kg</v>
      </c>
      <c r="F26" s="21" t="s">
        <v>1306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8.0" customHeight="1">
      <c r="A27" s="44" t="s">
        <v>1308</v>
      </c>
      <c r="B27" s="44" t="s">
        <v>1309</v>
      </c>
      <c r="C27" s="54">
        <v>3.0</v>
      </c>
      <c r="D27" s="44" t="s">
        <v>1310</v>
      </c>
      <c r="E27" s="21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8.0" customHeight="1">
      <c r="A28" s="44" t="s">
        <v>1311</v>
      </c>
      <c r="B28" s="44" t="s">
        <v>1312</v>
      </c>
      <c r="C28" s="54">
        <v>2.0</v>
      </c>
      <c r="D28" s="44" t="s">
        <v>1313</v>
      </c>
      <c r="E28" s="21"/>
      <c r="F28" s="21" t="s">
        <v>1314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8.0" customHeight="1">
      <c r="A29" s="44" t="s">
        <v>1315</v>
      </c>
      <c r="B29" s="44" t="s">
        <v>1316</v>
      </c>
      <c r="C29" s="54">
        <v>1.0</v>
      </c>
      <c r="D29" s="44" t="s">
        <v>1317</v>
      </c>
      <c r="E29" s="21"/>
      <c r="F29" s="21" t="s">
        <v>1318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8.0" customHeight="1">
      <c r="A30" s="44" t="s">
        <v>1320</v>
      </c>
      <c r="B30" s="44" t="s">
        <v>1321</v>
      </c>
      <c r="C30" s="54">
        <v>10.0</v>
      </c>
      <c r="D30" s="44" t="s">
        <v>1322</v>
      </c>
      <c r="E30" s="21" t="s">
        <v>1323</v>
      </c>
      <c r="F30" s="21" t="s">
        <v>1324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8.0" customHeight="1">
      <c r="A31" s="44" t="s">
        <v>1325</v>
      </c>
      <c r="B31" s="44" t="s">
        <v>1326</v>
      </c>
      <c r="C31" s="54">
        <v>1.0</v>
      </c>
      <c r="D31" s="44" t="s">
        <v>1327</v>
      </c>
      <c r="E31" s="21"/>
      <c r="F31" s="21" t="s">
        <v>1328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44" t="s">
        <v>1330</v>
      </c>
      <c r="B32" s="44" t="s">
        <v>1331</v>
      </c>
      <c r="C32" s="54">
        <v>1.0</v>
      </c>
      <c r="D32" s="44" t="s">
        <v>1332</v>
      </c>
      <c r="E32" s="21"/>
      <c r="F32" s="21" t="s">
        <v>1333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2:F2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52.0"/>
    <col customWidth="1" min="2" max="10" width="11.0"/>
    <col customWidth="1" min="11" max="11" width="50.0"/>
  </cols>
  <sheetData>
    <row r="1" ht="19.5" customHeight="1">
      <c r="A1" s="3" t="s">
        <v>1334</v>
      </c>
      <c r="B1" s="5"/>
      <c r="C1" s="5"/>
      <c r="D1" s="5"/>
      <c r="E1" s="5"/>
      <c r="F1" s="5"/>
      <c r="G1" s="5"/>
      <c r="H1" s="5"/>
      <c r="I1" s="5"/>
      <c r="J1" s="5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7" t="s">
        <v>1335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9" t="s">
        <v>1336</v>
      </c>
      <c r="B4" s="11"/>
      <c r="C4" s="11"/>
      <c r="D4" s="11"/>
      <c r="E4" s="11"/>
      <c r="F4" s="11"/>
      <c r="G4" s="11"/>
      <c r="H4" s="11"/>
      <c r="I4" s="11"/>
      <c r="J4" s="11"/>
      <c r="K4" s="1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4" t="s">
        <v>14</v>
      </c>
      <c r="B5" s="4" t="s">
        <v>17</v>
      </c>
      <c r="C5" s="4" t="s">
        <v>18</v>
      </c>
      <c r="D5" s="14" t="s">
        <v>19</v>
      </c>
      <c r="E5" s="11"/>
      <c r="F5" s="11"/>
      <c r="G5" s="11"/>
      <c r="H5" s="11"/>
      <c r="I5" s="11"/>
      <c r="J5" s="11"/>
      <c r="K5" s="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0" t="s">
        <v>1337</v>
      </c>
      <c r="B6" s="15" t="s">
        <v>112</v>
      </c>
      <c r="C6" s="33">
        <v>1200.0</v>
      </c>
      <c r="D6" s="22" t="s">
        <v>1338</v>
      </c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 t="s">
        <v>1339</v>
      </c>
      <c r="B7" s="15" t="s">
        <v>112</v>
      </c>
      <c r="C7" s="33">
        <v>1000.0</v>
      </c>
      <c r="D7" s="22" t="s">
        <v>1340</v>
      </c>
      <c r="E7" s="11"/>
      <c r="F7" s="11"/>
      <c r="G7" s="11"/>
      <c r="H7" s="11"/>
      <c r="I7" s="11"/>
      <c r="J7" s="11"/>
      <c r="K7" s="1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0" t="s">
        <v>1341</v>
      </c>
      <c r="B8" s="15" t="s">
        <v>112</v>
      </c>
      <c r="C8" s="33">
        <v>145.0</v>
      </c>
      <c r="D8" s="22" t="s">
        <v>1340</v>
      </c>
      <c r="E8" s="11"/>
      <c r="F8" s="11"/>
      <c r="G8" s="11"/>
      <c r="H8" s="11"/>
      <c r="I8" s="11"/>
      <c r="J8" s="11"/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0" t="s">
        <v>1342</v>
      </c>
      <c r="B9" s="15" t="s">
        <v>155</v>
      </c>
      <c r="C9" s="33">
        <v>35.0</v>
      </c>
      <c r="D9" s="22" t="s">
        <v>1340</v>
      </c>
      <c r="E9" s="11"/>
      <c r="F9" s="11"/>
      <c r="G9" s="11"/>
      <c r="H9" s="11"/>
      <c r="I9" s="11"/>
      <c r="J9" s="11"/>
      <c r="K9" s="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0" t="s">
        <v>1343</v>
      </c>
      <c r="B10" s="15" t="s">
        <v>112</v>
      </c>
      <c r="C10" s="33">
        <v>1600.0</v>
      </c>
      <c r="D10" s="22" t="s">
        <v>1344</v>
      </c>
      <c r="E10" s="11"/>
      <c r="F10" s="11"/>
      <c r="G10" s="11"/>
      <c r="H10" s="11"/>
      <c r="I10" s="11"/>
      <c r="J10" s="11"/>
      <c r="K10" s="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0" t="s">
        <v>1345</v>
      </c>
      <c r="B11" s="15" t="s">
        <v>155</v>
      </c>
      <c r="C11" s="33">
        <v>1100.0</v>
      </c>
      <c r="D11" s="22" t="s">
        <v>1346</v>
      </c>
      <c r="E11" s="11"/>
      <c r="F11" s="11"/>
      <c r="G11" s="11"/>
      <c r="H11" s="11"/>
      <c r="I11" s="11"/>
      <c r="J11" s="11"/>
      <c r="K11" s="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0" t="s">
        <v>1347</v>
      </c>
      <c r="B12" s="15" t="s">
        <v>112</v>
      </c>
      <c r="C12" s="33">
        <v>3.0</v>
      </c>
      <c r="D12" s="22" t="s">
        <v>104</v>
      </c>
      <c r="E12" s="11"/>
      <c r="F12" s="11"/>
      <c r="G12" s="11"/>
      <c r="H12" s="11"/>
      <c r="I12" s="11"/>
      <c r="J12" s="11"/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0" t="s">
        <v>1348</v>
      </c>
      <c r="B13" s="15" t="s">
        <v>155</v>
      </c>
      <c r="C13" s="55">
        <v>0.6</v>
      </c>
      <c r="D13" s="22" t="s">
        <v>104</v>
      </c>
      <c r="E13" s="11"/>
      <c r="F13" s="11"/>
      <c r="G13" s="11"/>
      <c r="H13" s="11"/>
      <c r="I13" s="11"/>
      <c r="J13" s="11"/>
      <c r="K13" s="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0" t="s">
        <v>1349</v>
      </c>
      <c r="B14" s="15" t="s">
        <v>1350</v>
      </c>
      <c r="C14" s="33">
        <v>5.0</v>
      </c>
      <c r="D14" s="22" t="s">
        <v>104</v>
      </c>
      <c r="E14" s="11"/>
      <c r="F14" s="11"/>
      <c r="G14" s="11"/>
      <c r="H14" s="11"/>
      <c r="I14" s="11"/>
      <c r="J14" s="11"/>
      <c r="K14" s="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0" t="s">
        <v>1351</v>
      </c>
      <c r="B15" s="15" t="s">
        <v>224</v>
      </c>
      <c r="C15" s="33">
        <v>26.0</v>
      </c>
      <c r="D15" s="22" t="s">
        <v>1352</v>
      </c>
      <c r="E15" s="11"/>
      <c r="F15" s="11"/>
      <c r="G15" s="11"/>
      <c r="H15" s="11"/>
      <c r="I15" s="11"/>
      <c r="J15" s="11"/>
      <c r="K15" s="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0" t="s">
        <v>1353</v>
      </c>
      <c r="B16" s="15" t="s">
        <v>224</v>
      </c>
      <c r="C16" s="33">
        <v>12076.0</v>
      </c>
      <c r="D16" s="22" t="s">
        <v>1354</v>
      </c>
      <c r="E16" s="11"/>
      <c r="F16" s="11"/>
      <c r="G16" s="11"/>
      <c r="H16" s="11"/>
      <c r="I16" s="11"/>
      <c r="J16" s="11"/>
      <c r="K16" s="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0" t="s">
        <v>1355</v>
      </c>
      <c r="B17" s="15" t="s">
        <v>1356</v>
      </c>
      <c r="C17" s="33">
        <v>122.0</v>
      </c>
      <c r="D17" s="22" t="s">
        <v>1357</v>
      </c>
      <c r="E17" s="11"/>
      <c r="F17" s="11"/>
      <c r="G17" s="11"/>
      <c r="H17" s="11"/>
      <c r="I17" s="11"/>
      <c r="J17" s="11"/>
      <c r="K17" s="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9" t="s">
        <v>1358</v>
      </c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4" t="s">
        <v>201</v>
      </c>
      <c r="B20" s="4" t="s">
        <v>17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33</v>
      </c>
      <c r="K20" s="4" t="s">
        <v>1291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0" t="s">
        <v>1360</v>
      </c>
      <c r="B21" s="15" t="s">
        <v>112</v>
      </c>
      <c r="C21" s="19">
        <f>'Geometria Acero'!$C$33</f>
        <v>76.2</v>
      </c>
      <c r="D21" s="19">
        <f>'Geometria Acero'!$D$33</f>
        <v>124</v>
      </c>
      <c r="E21" s="19">
        <f>'Geometria Acero'!$E$33</f>
        <v>153</v>
      </c>
      <c r="F21" s="19">
        <f>'Geometria Acero'!$F$33</f>
        <v>181.5</v>
      </c>
      <c r="G21" s="19">
        <f>'Geometria Acero'!$G$33</f>
        <v>276.5</v>
      </c>
      <c r="H21" s="19">
        <f>'Geometria Acero'!$H$33</f>
        <v>320</v>
      </c>
      <c r="I21" s="19">
        <f>'Geometria Acero'!$I$33</f>
        <v>390</v>
      </c>
      <c r="J21" s="19">
        <f>'Geometria Acero'!$J$33</f>
        <v>390</v>
      </c>
      <c r="K21" s="21" t="s">
        <v>23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0" t="s">
        <v>1371</v>
      </c>
      <c r="B22" s="15" t="s">
        <v>112</v>
      </c>
      <c r="C22" s="19">
        <f>'Geometria Acero'!$C$53</f>
        <v>297.5</v>
      </c>
      <c r="D22" s="19">
        <f>'Geometria Acero'!$D$53</f>
        <v>333</v>
      </c>
      <c r="E22" s="19">
        <f>'Geometria Acero'!$E$53</f>
        <v>414</v>
      </c>
      <c r="F22" s="19">
        <f>'Geometria Acero'!$F$53</f>
        <v>582</v>
      </c>
      <c r="G22" s="19">
        <f>'Geometria Acero'!$G$53</f>
        <v>672</v>
      </c>
      <c r="H22" s="19">
        <f>'Geometria Acero'!$H$53</f>
        <v>858</v>
      </c>
      <c r="I22" s="19">
        <f>'Geometria Acero'!$I$53</f>
        <v>908</v>
      </c>
      <c r="J22" s="19">
        <f>'Geometria Acero'!$J$53</f>
        <v>1128</v>
      </c>
      <c r="K22" s="21" t="s">
        <v>1372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0" t="s">
        <v>1373</v>
      </c>
      <c r="B23" s="15" t="s">
        <v>155</v>
      </c>
      <c r="C23" s="27">
        <f>'Geometria Acero'!$C$58</f>
        <v>0.76</v>
      </c>
      <c r="D23" s="27">
        <f>'Geometria Acero'!$D$58</f>
        <v>1.48</v>
      </c>
      <c r="E23" s="27">
        <f>'Geometria Acero'!$E$58</f>
        <v>2.78</v>
      </c>
      <c r="F23" s="27">
        <f>'Geometria Acero'!$F$58</f>
        <v>5.48</v>
      </c>
      <c r="G23" s="27">
        <f>'Geometria Acero'!$G$58</f>
        <v>15.92</v>
      </c>
      <c r="H23" s="27">
        <f>'Geometria Acero'!$H$58</f>
        <v>23.3</v>
      </c>
      <c r="I23" s="27">
        <f>'Geometria Acero'!$I$58</f>
        <v>46.86176284</v>
      </c>
      <c r="J23" s="27">
        <f>'Geometria Acero'!$J$58</f>
        <v>56.84631739</v>
      </c>
      <c r="K23" s="21" t="s">
        <v>23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0" t="s">
        <v>1375</v>
      </c>
      <c r="B24" s="15" t="s">
        <v>224</v>
      </c>
      <c r="C24" s="19">
        <f t="shared" ref="C24:J24" si="1">FLOOR($C$6/C21,1)*FLOOR($C$7/C21,1)</f>
        <v>195</v>
      </c>
      <c r="D24" s="19">
        <f t="shared" si="1"/>
        <v>72</v>
      </c>
      <c r="E24" s="19">
        <f t="shared" si="1"/>
        <v>42</v>
      </c>
      <c r="F24" s="19">
        <f t="shared" si="1"/>
        <v>30</v>
      </c>
      <c r="G24" s="19">
        <f t="shared" si="1"/>
        <v>12</v>
      </c>
      <c r="H24" s="19">
        <f t="shared" si="1"/>
        <v>9</v>
      </c>
      <c r="I24" s="19">
        <f t="shared" si="1"/>
        <v>6</v>
      </c>
      <c r="J24" s="19">
        <f t="shared" si="1"/>
        <v>6</v>
      </c>
      <c r="K24" s="21" t="s">
        <v>1376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0" t="s">
        <v>1377</v>
      </c>
      <c r="B25" s="15" t="s">
        <v>224</v>
      </c>
      <c r="C25" s="19">
        <f t="shared" ref="C25:J25" si="2">FLOOR($C$6/C21,1)*(1+FLOOR(($C$7-C21)/(0.866*C21),1))-IF($C$6-FLOOR($C$6/C21,1)*C21&gt;=C21/2,0,FLOOR((1+FLOOR(($C$7-C21)/(0.866*C21),1))/2,1))</f>
        <v>210</v>
      </c>
      <c r="D25" s="19">
        <f t="shared" si="2"/>
        <v>81</v>
      </c>
      <c r="E25" s="19">
        <f t="shared" si="2"/>
        <v>49</v>
      </c>
      <c r="F25" s="19">
        <f t="shared" si="2"/>
        <v>36</v>
      </c>
      <c r="G25" s="19">
        <f t="shared" si="2"/>
        <v>14</v>
      </c>
      <c r="H25" s="19">
        <f t="shared" si="2"/>
        <v>9</v>
      </c>
      <c r="I25" s="19">
        <f t="shared" si="2"/>
        <v>5</v>
      </c>
      <c r="J25" s="19">
        <f t="shared" si="2"/>
        <v>5</v>
      </c>
      <c r="K25" s="21" t="s">
        <v>1379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0" t="s">
        <v>1380</v>
      </c>
      <c r="B26" s="15" t="s">
        <v>224</v>
      </c>
      <c r="C26" s="19">
        <f t="shared" ref="C26:J26" si="3">FLOOR(($C$10-$C$8-$C$12)/(C22+$C$12),1)</f>
        <v>4</v>
      </c>
      <c r="D26" s="19">
        <f t="shared" si="3"/>
        <v>4</v>
      </c>
      <c r="E26" s="19">
        <f t="shared" si="3"/>
        <v>3</v>
      </c>
      <c r="F26" s="19">
        <f t="shared" si="3"/>
        <v>2</v>
      </c>
      <c r="G26" s="19">
        <f t="shared" si="3"/>
        <v>2</v>
      </c>
      <c r="H26" s="19">
        <f t="shared" si="3"/>
        <v>1</v>
      </c>
      <c r="I26" s="19">
        <f t="shared" si="3"/>
        <v>1</v>
      </c>
      <c r="J26" s="19">
        <f t="shared" si="3"/>
        <v>1</v>
      </c>
      <c r="K26" s="2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0" t="s">
        <v>1382</v>
      </c>
      <c r="B27" s="15" t="s">
        <v>224</v>
      </c>
      <c r="C27" s="19">
        <f t="shared" ref="C27:J27" si="4">FLOOR($C$11/(C24*C23),1)</f>
        <v>7</v>
      </c>
      <c r="D27" s="19">
        <f t="shared" si="4"/>
        <v>10</v>
      </c>
      <c r="E27" s="19">
        <f t="shared" si="4"/>
        <v>9</v>
      </c>
      <c r="F27" s="19">
        <f t="shared" si="4"/>
        <v>6</v>
      </c>
      <c r="G27" s="19">
        <f t="shared" si="4"/>
        <v>5</v>
      </c>
      <c r="H27" s="19">
        <f t="shared" si="4"/>
        <v>5</v>
      </c>
      <c r="I27" s="19">
        <f t="shared" si="4"/>
        <v>3</v>
      </c>
      <c r="J27" s="19">
        <f t="shared" si="4"/>
        <v>3</v>
      </c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0" t="s">
        <v>1384</v>
      </c>
      <c r="B28" s="15" t="s">
        <v>224</v>
      </c>
      <c r="C28" s="19">
        <f t="shared" ref="C28:J28" si="5">MAX(1,MIN(C26,C27))</f>
        <v>4</v>
      </c>
      <c r="D28" s="19">
        <f t="shared" si="5"/>
        <v>4</v>
      </c>
      <c r="E28" s="19">
        <f t="shared" si="5"/>
        <v>3</v>
      </c>
      <c r="F28" s="19">
        <f t="shared" si="5"/>
        <v>2</v>
      </c>
      <c r="G28" s="19">
        <f t="shared" si="5"/>
        <v>2</v>
      </c>
      <c r="H28" s="19">
        <f t="shared" si="5"/>
        <v>1</v>
      </c>
      <c r="I28" s="19">
        <f t="shared" si="5"/>
        <v>1</v>
      </c>
      <c r="J28" s="19">
        <f t="shared" si="5"/>
        <v>1</v>
      </c>
      <c r="K28" s="2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50" t="s">
        <v>1385</v>
      </c>
      <c r="B29" s="64" t="s">
        <v>224</v>
      </c>
      <c r="C29" s="51">
        <f t="shared" ref="C29:J29" si="6">C24*C28</f>
        <v>780</v>
      </c>
      <c r="D29" s="51">
        <f t="shared" si="6"/>
        <v>288</v>
      </c>
      <c r="E29" s="51">
        <f t="shared" si="6"/>
        <v>126</v>
      </c>
      <c r="F29" s="51">
        <f t="shared" si="6"/>
        <v>60</v>
      </c>
      <c r="G29" s="51">
        <f t="shared" si="6"/>
        <v>24</v>
      </c>
      <c r="H29" s="51">
        <f t="shared" si="6"/>
        <v>9</v>
      </c>
      <c r="I29" s="51">
        <f t="shared" si="6"/>
        <v>6</v>
      </c>
      <c r="J29" s="51">
        <f t="shared" si="6"/>
        <v>6</v>
      </c>
      <c r="K29" s="65" t="s">
        <v>1387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0" t="s">
        <v>1388</v>
      </c>
      <c r="B30" s="15" t="s">
        <v>224</v>
      </c>
      <c r="C30" s="19">
        <f t="shared" ref="C30:J30" si="7">C28+1</f>
        <v>5</v>
      </c>
      <c r="D30" s="19">
        <f t="shared" si="7"/>
        <v>5</v>
      </c>
      <c r="E30" s="19">
        <f t="shared" si="7"/>
        <v>4</v>
      </c>
      <c r="F30" s="19">
        <f t="shared" si="7"/>
        <v>3</v>
      </c>
      <c r="G30" s="19">
        <f t="shared" si="7"/>
        <v>3</v>
      </c>
      <c r="H30" s="19">
        <f t="shared" si="7"/>
        <v>2</v>
      </c>
      <c r="I30" s="19">
        <f t="shared" si="7"/>
        <v>2</v>
      </c>
      <c r="J30" s="19">
        <f t="shared" si="7"/>
        <v>2</v>
      </c>
      <c r="K30" s="2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0" t="s">
        <v>1390</v>
      </c>
      <c r="B31" s="15" t="s">
        <v>155</v>
      </c>
      <c r="C31" s="27">
        <f>C29*C23+$C$9+C30*$C$13+'Coef Fabricacion'!$C$15</f>
        <v>631.15</v>
      </c>
      <c r="D31" s="27">
        <f>D29*D23+$C$9+D30*$C$13+'Coef Fabricacion'!$C$15</f>
        <v>464.59</v>
      </c>
      <c r="E31" s="27">
        <f>E29*E23+$C$9+E30*$C$13+'Coef Fabricacion'!$C$15</f>
        <v>388.03</v>
      </c>
      <c r="F31" s="27">
        <f>F29*F23+$C$9+F30*$C$13+'Coef Fabricacion'!$C$15</f>
        <v>365.95</v>
      </c>
      <c r="G31" s="27">
        <f>G29*G23+$C$9+G30*$C$13+'Coef Fabricacion'!$C$15</f>
        <v>419.23</v>
      </c>
      <c r="H31" s="27">
        <f>H29*H23+$C$9+H30*$C$13+'Coef Fabricacion'!$C$15</f>
        <v>246.25</v>
      </c>
      <c r="I31" s="27">
        <f>I29*I23+$C$9+I30*$C$13+'Coef Fabricacion'!$C$15</f>
        <v>317.720577</v>
      </c>
      <c r="J31" s="27">
        <f>J29*J23+$C$9+J30*$C$13+'Coef Fabricacion'!$C$15</f>
        <v>377.6279044</v>
      </c>
      <c r="K31" s="2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0" t="s">
        <v>1391</v>
      </c>
      <c r="B32" s="15" t="s">
        <v>112</v>
      </c>
      <c r="C32" s="19">
        <f t="shared" ref="C32:J32" si="8">$C$8+C28*(C22+$C$12)+$C$12</f>
        <v>1350</v>
      </c>
      <c r="D32" s="19">
        <f t="shared" si="8"/>
        <v>1492</v>
      </c>
      <c r="E32" s="19">
        <f t="shared" si="8"/>
        <v>1399</v>
      </c>
      <c r="F32" s="19">
        <f t="shared" si="8"/>
        <v>1318</v>
      </c>
      <c r="G32" s="19">
        <f t="shared" si="8"/>
        <v>1498</v>
      </c>
      <c r="H32" s="19">
        <f t="shared" si="8"/>
        <v>1009</v>
      </c>
      <c r="I32" s="19">
        <f t="shared" si="8"/>
        <v>1059</v>
      </c>
      <c r="J32" s="19">
        <f t="shared" si="8"/>
        <v>1279</v>
      </c>
      <c r="K32" s="2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0" t="s">
        <v>1392</v>
      </c>
      <c r="B33" s="15" t="s">
        <v>224</v>
      </c>
      <c r="C33" s="19">
        <f>IF(C29=0,0,Volumenes!B$28/C29)</f>
        <v>218.6512821</v>
      </c>
      <c r="D33" s="19">
        <f>IF(D29=0,0,Volumenes!C$28/D29)</f>
        <v>23.15625</v>
      </c>
      <c r="E33" s="19">
        <f>IF(E29=0,0,Volumenes!D$28/E29)</f>
        <v>261.2301587</v>
      </c>
      <c r="F33" s="19">
        <f>IF(F29=0,0,Volumenes!E$28/F29)</f>
        <v>33.51666667</v>
      </c>
      <c r="G33" s="19">
        <f>IF(G29=0,0,Volumenes!F$28/G29)</f>
        <v>13.41666667</v>
      </c>
      <c r="H33" s="19">
        <f>IF(H29=0,0,Volumenes!G$28/H29)</f>
        <v>78.66666667</v>
      </c>
      <c r="I33" s="19">
        <f>IF(I29=0,0,Volumenes!H$28/I29)</f>
        <v>25.83333333</v>
      </c>
      <c r="J33" s="19">
        <f>IF(J29=0,0,Volumenes!I$28/J29)</f>
        <v>17</v>
      </c>
      <c r="K33" s="2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9" t="s">
        <v>1394</v>
      </c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4" t="s">
        <v>201</v>
      </c>
      <c r="B36" s="4" t="s">
        <v>17</v>
      </c>
      <c r="C36" s="4" t="s">
        <v>24</v>
      </c>
      <c r="D36" s="4" t="s">
        <v>25</v>
      </c>
      <c r="E36" s="4" t="s">
        <v>26</v>
      </c>
      <c r="F36" s="4" t="s">
        <v>27</v>
      </c>
      <c r="G36" s="4" t="s">
        <v>28</v>
      </c>
      <c r="H36" s="4" t="s">
        <v>29</v>
      </c>
      <c r="I36" s="4" t="s">
        <v>30</v>
      </c>
      <c r="J36" s="4" t="s">
        <v>33</v>
      </c>
      <c r="K36" s="4" t="s">
        <v>1291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0" t="s">
        <v>1396</v>
      </c>
      <c r="B37" s="15" t="s">
        <v>224</v>
      </c>
      <c r="C37" s="18">
        <v>6.0</v>
      </c>
      <c r="D37" s="18">
        <v>1.0</v>
      </c>
      <c r="E37" s="18">
        <v>1.0</v>
      </c>
      <c r="F37" s="18">
        <v>1.0</v>
      </c>
      <c r="G37" s="18">
        <v>0.0</v>
      </c>
      <c r="H37" s="18">
        <v>0.0</v>
      </c>
      <c r="I37" s="18">
        <v>0.0</v>
      </c>
      <c r="J37" s="18">
        <v>0.0</v>
      </c>
      <c r="K37" s="21" t="s">
        <v>1397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0" t="s">
        <v>1398</v>
      </c>
      <c r="B38" s="15" t="s">
        <v>112</v>
      </c>
      <c r="C38" s="18">
        <v>265.0</v>
      </c>
      <c r="D38" s="18">
        <v>135.0</v>
      </c>
      <c r="E38" s="18">
        <v>165.0</v>
      </c>
      <c r="F38" s="18">
        <v>195.0</v>
      </c>
      <c r="G38" s="18">
        <v>0.0</v>
      </c>
      <c r="H38" s="18">
        <v>0.0</v>
      </c>
      <c r="I38" s="18">
        <v>0.0</v>
      </c>
      <c r="J38" s="18">
        <v>0.0</v>
      </c>
      <c r="K38" s="21" t="s">
        <v>1399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0" t="s">
        <v>1400</v>
      </c>
      <c r="B39" s="15" t="s">
        <v>112</v>
      </c>
      <c r="C39" s="18">
        <v>190.0</v>
      </c>
      <c r="D39" s="18">
        <v>135.0</v>
      </c>
      <c r="E39" s="18">
        <v>165.0</v>
      </c>
      <c r="F39" s="18">
        <v>195.0</v>
      </c>
      <c r="G39" s="18">
        <v>0.0</v>
      </c>
      <c r="H39" s="18">
        <v>0.0</v>
      </c>
      <c r="I39" s="18">
        <v>0.0</v>
      </c>
      <c r="J39" s="18">
        <v>0.0</v>
      </c>
      <c r="K39" s="21" t="s">
        <v>104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0" t="s">
        <v>1401</v>
      </c>
      <c r="B40" s="15" t="s">
        <v>112</v>
      </c>
      <c r="C40" s="18">
        <v>410.0</v>
      </c>
      <c r="D40" s="18">
        <v>435.0</v>
      </c>
      <c r="E40" s="18">
        <v>515.0</v>
      </c>
      <c r="F40" s="18">
        <v>685.0</v>
      </c>
      <c r="G40" s="18">
        <v>0.0</v>
      </c>
      <c r="H40" s="18">
        <v>0.0</v>
      </c>
      <c r="I40" s="18">
        <v>0.0</v>
      </c>
      <c r="J40" s="18">
        <v>0.0</v>
      </c>
      <c r="K40" s="21" t="s">
        <v>1402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0" t="s">
        <v>1403</v>
      </c>
      <c r="B41" s="15" t="s">
        <v>155</v>
      </c>
      <c r="C41" s="34">
        <v>0.35</v>
      </c>
      <c r="D41" s="34">
        <v>0.25</v>
      </c>
      <c r="E41" s="34">
        <v>0.35</v>
      </c>
      <c r="F41" s="34">
        <v>0.5</v>
      </c>
      <c r="G41" s="34">
        <v>0.0</v>
      </c>
      <c r="H41" s="34">
        <v>0.0</v>
      </c>
      <c r="I41" s="34">
        <v>0.0</v>
      </c>
      <c r="J41" s="34">
        <v>0.0</v>
      </c>
      <c r="K41" s="21" t="s">
        <v>104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0" t="s">
        <v>1404</v>
      </c>
      <c r="B42" s="15" t="s">
        <v>155</v>
      </c>
      <c r="C42" s="34">
        <v>0.12</v>
      </c>
      <c r="D42" s="34">
        <v>0.3</v>
      </c>
      <c r="E42" s="34">
        <v>0.35</v>
      </c>
      <c r="F42" s="34">
        <v>0.4</v>
      </c>
      <c r="G42" s="34">
        <v>0.0</v>
      </c>
      <c r="H42" s="34">
        <v>0.0</v>
      </c>
      <c r="I42" s="34">
        <v>0.0</v>
      </c>
      <c r="J42" s="34">
        <v>0.0</v>
      </c>
      <c r="K42" s="21" t="s">
        <v>104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0" t="s">
        <v>1405</v>
      </c>
      <c r="B43" s="15" t="s">
        <v>155</v>
      </c>
      <c r="C43" s="27">
        <f>IF(C37=0,0,'Geometria Acero'!$C$58+'Coef Fabricacion'!L$20+'Coef Fabricacion'!$C$17+C42)</f>
        <v>2.08</v>
      </c>
      <c r="D43" s="27">
        <f>IF(D37=0,0,'Geometria Acero'!$D$58+'Coef Fabricacion'!M$20+'Coef Fabricacion'!$C$18+D42)</f>
        <v>4.63</v>
      </c>
      <c r="E43" s="27">
        <f>IF(E37=0,0,'Geometria Acero'!$E$58+'Coef Fabricacion'!N$20+'Coef Fabricacion'!$C$18+E42)</f>
        <v>8.48</v>
      </c>
      <c r="F43" s="27">
        <f>IF(F37=0,0,'Geometria Acero'!$F$58+'Coef Fabricacion'!O$20+'Coef Fabricacion'!$C$18+F42)</f>
        <v>16.23</v>
      </c>
      <c r="G43" s="27">
        <f>IF(G37=0,0,'Geometria Acero'!$G$58+'Coef Fabricacion'!P$20+'Coef Fabricacion'!$C$18+G42)</f>
        <v>0</v>
      </c>
      <c r="H43" s="27">
        <f>IF(H37=0,0,'Geometria Acero'!$H$58+'Coef Fabricacion'!Q$20+'Coef Fabricacion'!$C$18+H42)</f>
        <v>0</v>
      </c>
      <c r="I43" s="27">
        <f>IF(I37=0,0,'Geometria Acero'!$I$58+'Coef Fabricacion'!R$20+'Coef Fabricacion'!$C$18+I42)</f>
        <v>0</v>
      </c>
      <c r="J43" s="27">
        <f>IF(J37=0,0,'Geometria Acero'!$J$58+'Coef Fabricacion'!S$20+'Coef Fabricacion'!$C$18+J42)</f>
        <v>0</v>
      </c>
      <c r="K43" s="21" t="s">
        <v>1407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0" t="s">
        <v>1409</v>
      </c>
      <c r="B44" s="15" t="s">
        <v>155</v>
      </c>
      <c r="C44" s="27">
        <f t="shared" ref="C44:J44" si="9">C37*C43+C41</f>
        <v>12.83</v>
      </c>
      <c r="D44" s="27">
        <f t="shared" si="9"/>
        <v>4.88</v>
      </c>
      <c r="E44" s="27">
        <f t="shared" si="9"/>
        <v>8.83</v>
      </c>
      <c r="F44" s="27">
        <f t="shared" si="9"/>
        <v>16.73</v>
      </c>
      <c r="G44" s="27">
        <f t="shared" si="9"/>
        <v>0</v>
      </c>
      <c r="H44" s="27">
        <f t="shared" si="9"/>
        <v>0</v>
      </c>
      <c r="I44" s="27">
        <f t="shared" si="9"/>
        <v>0</v>
      </c>
      <c r="J44" s="27">
        <f t="shared" si="9"/>
        <v>0</v>
      </c>
      <c r="K44" s="2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0" t="s">
        <v>1410</v>
      </c>
      <c r="B45" s="15" t="s">
        <v>224</v>
      </c>
      <c r="C45" s="19">
        <f t="shared" ref="C45:J45" si="10">IF(C37=0,0,MAX(FLOOR($C$6/C38,1)*FLOOR($C$7/C39,1),FLOOR($C$6/C39,1)*FLOOR($C$7/C38,1)))</f>
        <v>20</v>
      </c>
      <c r="D45" s="19">
        <f t="shared" si="10"/>
        <v>56</v>
      </c>
      <c r="E45" s="19">
        <f t="shared" si="10"/>
        <v>42</v>
      </c>
      <c r="F45" s="19">
        <f t="shared" si="10"/>
        <v>30</v>
      </c>
      <c r="G45" s="19">
        <f t="shared" si="10"/>
        <v>0</v>
      </c>
      <c r="H45" s="19">
        <f t="shared" si="10"/>
        <v>0</v>
      </c>
      <c r="I45" s="19">
        <f t="shared" si="10"/>
        <v>0</v>
      </c>
      <c r="J45" s="19">
        <f t="shared" si="10"/>
        <v>0</v>
      </c>
      <c r="K45" s="2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0" t="s">
        <v>1380</v>
      </c>
      <c r="B46" s="15" t="s">
        <v>224</v>
      </c>
      <c r="C46" s="19">
        <f t="shared" ref="C46:J46" si="11">IF(C37=0,0,FLOOR(($C$10-$C$8)/C40,1))</f>
        <v>3</v>
      </c>
      <c r="D46" s="19">
        <f t="shared" si="11"/>
        <v>3</v>
      </c>
      <c r="E46" s="19">
        <f t="shared" si="11"/>
        <v>2</v>
      </c>
      <c r="F46" s="19">
        <f t="shared" si="11"/>
        <v>2</v>
      </c>
      <c r="G46" s="19">
        <f t="shared" si="11"/>
        <v>0</v>
      </c>
      <c r="H46" s="19">
        <f t="shared" si="11"/>
        <v>0</v>
      </c>
      <c r="I46" s="19">
        <f t="shared" si="11"/>
        <v>0</v>
      </c>
      <c r="J46" s="19">
        <f t="shared" si="11"/>
        <v>0</v>
      </c>
      <c r="K46" s="2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0" t="s">
        <v>1382</v>
      </c>
      <c r="B47" s="15" t="s">
        <v>224</v>
      </c>
      <c r="C47" s="19">
        <f t="shared" ref="C47:J47" si="12">IF(C37=0,0,FLOOR($C$11/(C45*C44),1))</f>
        <v>4</v>
      </c>
      <c r="D47" s="19">
        <f t="shared" si="12"/>
        <v>4</v>
      </c>
      <c r="E47" s="19">
        <f t="shared" si="12"/>
        <v>2</v>
      </c>
      <c r="F47" s="19">
        <f t="shared" si="12"/>
        <v>2</v>
      </c>
      <c r="G47" s="19">
        <f t="shared" si="12"/>
        <v>0</v>
      </c>
      <c r="H47" s="19">
        <f t="shared" si="12"/>
        <v>0</v>
      </c>
      <c r="I47" s="19">
        <f t="shared" si="12"/>
        <v>0</v>
      </c>
      <c r="J47" s="19">
        <f t="shared" si="12"/>
        <v>0</v>
      </c>
      <c r="K47" s="2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0" t="s">
        <v>1384</v>
      </c>
      <c r="B48" s="15" t="s">
        <v>224</v>
      </c>
      <c r="C48" s="19">
        <f t="shared" ref="C48:J48" si="13">IF(C37=0,0,MAX(1,MIN(C46,C47)))</f>
        <v>3</v>
      </c>
      <c r="D48" s="19">
        <f t="shared" si="13"/>
        <v>3</v>
      </c>
      <c r="E48" s="19">
        <f t="shared" si="13"/>
        <v>2</v>
      </c>
      <c r="F48" s="19">
        <f t="shared" si="13"/>
        <v>2</v>
      </c>
      <c r="G48" s="19">
        <f t="shared" si="13"/>
        <v>0</v>
      </c>
      <c r="H48" s="19">
        <f t="shared" si="13"/>
        <v>0</v>
      </c>
      <c r="I48" s="19">
        <f t="shared" si="13"/>
        <v>0</v>
      </c>
      <c r="J48" s="19">
        <f t="shared" si="13"/>
        <v>0</v>
      </c>
      <c r="K48" s="2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0" t="s">
        <v>1385</v>
      </c>
      <c r="B49" s="64" t="s">
        <v>224</v>
      </c>
      <c r="C49" s="51">
        <f t="shared" ref="C49:J49" si="14">C45*C48*C37</f>
        <v>360</v>
      </c>
      <c r="D49" s="51">
        <f t="shared" si="14"/>
        <v>168</v>
      </c>
      <c r="E49" s="51">
        <f t="shared" si="14"/>
        <v>84</v>
      </c>
      <c r="F49" s="51">
        <f t="shared" si="14"/>
        <v>60</v>
      </c>
      <c r="G49" s="51">
        <f t="shared" si="14"/>
        <v>0</v>
      </c>
      <c r="H49" s="51">
        <f t="shared" si="14"/>
        <v>0</v>
      </c>
      <c r="I49" s="51">
        <f t="shared" si="14"/>
        <v>0</v>
      </c>
      <c r="J49" s="51">
        <f t="shared" si="14"/>
        <v>0</v>
      </c>
      <c r="K49" s="65" t="s">
        <v>1387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0" t="s">
        <v>1390</v>
      </c>
      <c r="B50" s="15" t="s">
        <v>155</v>
      </c>
      <c r="C50" s="27">
        <f>IF(C37=0,0,C45*C48*C44+$C$9+'Coef Fabricacion'!$C$15)</f>
        <v>805.15</v>
      </c>
      <c r="D50" s="27">
        <f>IF(D37=0,0,D45*D48*D44+$C$9+'Coef Fabricacion'!$C$15)</f>
        <v>855.19</v>
      </c>
      <c r="E50" s="27">
        <f>IF(E37=0,0,E45*E48*E44+$C$9+'Coef Fabricacion'!$C$15)</f>
        <v>777.07</v>
      </c>
      <c r="F50" s="27">
        <f>IF(F37=0,0,F45*F48*F44+$C$9+'Coef Fabricacion'!$C$15)</f>
        <v>1039.15</v>
      </c>
      <c r="G50" s="27">
        <f>IF(G37=0,0,G45*G48*G44+$C$9+'Coef Fabricacion'!$C$15)</f>
        <v>0</v>
      </c>
      <c r="H50" s="27">
        <f>IF(H37=0,0,H45*H48*H44+$C$9+'Coef Fabricacion'!$C$15)</f>
        <v>0</v>
      </c>
      <c r="I50" s="27">
        <f>IF(I37=0,0,I45*I48*I44+$C$9+'Coef Fabricacion'!$C$15)</f>
        <v>0</v>
      </c>
      <c r="J50" s="27">
        <f>IF(J37=0,0,J45*J48*J44+$C$9+'Coef Fabricacion'!$C$15)</f>
        <v>0</v>
      </c>
      <c r="K50" s="2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0" t="s">
        <v>1391</v>
      </c>
      <c r="B51" s="15" t="s">
        <v>112</v>
      </c>
      <c r="C51" s="19">
        <f t="shared" ref="C51:J51" si="15">IF(C37=0,0,$C$8+C48*C40)</f>
        <v>1375</v>
      </c>
      <c r="D51" s="19">
        <f t="shared" si="15"/>
        <v>1450</v>
      </c>
      <c r="E51" s="19">
        <f t="shared" si="15"/>
        <v>1175</v>
      </c>
      <c r="F51" s="19">
        <f t="shared" si="15"/>
        <v>1515</v>
      </c>
      <c r="G51" s="19">
        <f t="shared" si="15"/>
        <v>0</v>
      </c>
      <c r="H51" s="19">
        <f t="shared" si="15"/>
        <v>0</v>
      </c>
      <c r="I51" s="19">
        <f t="shared" si="15"/>
        <v>0</v>
      </c>
      <c r="J51" s="19">
        <f t="shared" si="15"/>
        <v>0</v>
      </c>
      <c r="K51" s="2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0" t="s">
        <v>1392</v>
      </c>
      <c r="B52" s="15" t="s">
        <v>224</v>
      </c>
      <c r="C52" s="19">
        <f>IF(C49=0,0,Volumenes!B$15/C49)</f>
        <v>89.09166667</v>
      </c>
      <c r="D52" s="19">
        <f>IF(D49=0,0,Volumenes!C$15/D49)</f>
        <v>44.19642857</v>
      </c>
      <c r="E52" s="19">
        <f>IF(E49=0,0,Volumenes!D$15/E49)</f>
        <v>366.0833333</v>
      </c>
      <c r="F52" s="19">
        <f>IF(F49=0,0,Volumenes!E$15/F49)</f>
        <v>30.68333333</v>
      </c>
      <c r="G52" s="19">
        <f>IF(G49=0,0,Volumenes!F$15/G49)</f>
        <v>0</v>
      </c>
      <c r="H52" s="19">
        <f>IF(H49=0,0,Volumenes!G$15/H49)</f>
        <v>0</v>
      </c>
      <c r="I52" s="19">
        <f>IF(I49=0,0,Volumenes!H$15/I49)</f>
        <v>0</v>
      </c>
      <c r="J52" s="19">
        <f>IF(J49=0,0,Volumenes!I$15/J49)</f>
        <v>0</v>
      </c>
      <c r="K52" s="2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9" t="s">
        <v>1428</v>
      </c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4" t="s">
        <v>201</v>
      </c>
      <c r="B55" s="4" t="s">
        <v>17</v>
      </c>
      <c r="C55" s="4" t="s">
        <v>24</v>
      </c>
      <c r="D55" s="4" t="s">
        <v>25</v>
      </c>
      <c r="E55" s="4" t="s">
        <v>26</v>
      </c>
      <c r="F55" s="4" t="s">
        <v>27</v>
      </c>
      <c r="G55" s="4" t="s">
        <v>28</v>
      </c>
      <c r="H55" s="4" t="s">
        <v>29</v>
      </c>
      <c r="I55" s="4" t="s">
        <v>30</v>
      </c>
      <c r="J55" s="4" t="s">
        <v>33</v>
      </c>
      <c r="K55" s="4" t="s">
        <v>1291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0" t="s">
        <v>1429</v>
      </c>
      <c r="B56" s="15" t="s">
        <v>112</v>
      </c>
      <c r="C56" s="18">
        <v>0.0</v>
      </c>
      <c r="D56" s="18">
        <v>0.0</v>
      </c>
      <c r="E56" s="18">
        <v>0.0</v>
      </c>
      <c r="F56" s="18">
        <v>0.0</v>
      </c>
      <c r="G56" s="18">
        <v>600.0</v>
      </c>
      <c r="H56" s="18">
        <v>700.0</v>
      </c>
      <c r="I56" s="18">
        <v>800.0</v>
      </c>
      <c r="J56" s="18">
        <v>800.0</v>
      </c>
      <c r="K56" s="21" t="s">
        <v>104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0" t="s">
        <v>1430</v>
      </c>
      <c r="B57" s="15" t="s">
        <v>112</v>
      </c>
      <c r="C57" s="18">
        <v>0.0</v>
      </c>
      <c r="D57" s="18">
        <v>0.0</v>
      </c>
      <c r="E57" s="18">
        <v>0.0</v>
      </c>
      <c r="F57" s="18">
        <v>0.0</v>
      </c>
      <c r="G57" s="18">
        <v>550.0</v>
      </c>
      <c r="H57" s="18">
        <v>600.0</v>
      </c>
      <c r="I57" s="18">
        <v>700.0</v>
      </c>
      <c r="J57" s="18">
        <v>750.0</v>
      </c>
      <c r="K57" s="21" t="s">
        <v>104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0" t="s">
        <v>1431</v>
      </c>
      <c r="B58" s="15" t="s">
        <v>112</v>
      </c>
      <c r="C58" s="18">
        <v>0.0</v>
      </c>
      <c r="D58" s="18">
        <v>0.0</v>
      </c>
      <c r="E58" s="18">
        <v>0.0</v>
      </c>
      <c r="F58" s="18">
        <v>0.0</v>
      </c>
      <c r="G58" s="18">
        <v>962.0</v>
      </c>
      <c r="H58" s="18">
        <v>1145.0</v>
      </c>
      <c r="I58" s="18">
        <v>1200.0</v>
      </c>
      <c r="J58" s="18">
        <v>1597.0</v>
      </c>
      <c r="K58" s="21" t="s">
        <v>1432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0" t="s">
        <v>1433</v>
      </c>
      <c r="B59" s="15" t="s">
        <v>97</v>
      </c>
      <c r="C59" s="39">
        <f t="shared" ref="C59:J59" si="16">C56*C57/1000000*1.3</f>
        <v>0</v>
      </c>
      <c r="D59" s="39">
        <f t="shared" si="16"/>
        <v>0</v>
      </c>
      <c r="E59" s="39">
        <f t="shared" si="16"/>
        <v>0</v>
      </c>
      <c r="F59" s="39">
        <f t="shared" si="16"/>
        <v>0</v>
      </c>
      <c r="G59" s="39">
        <f t="shared" si="16"/>
        <v>0.429</v>
      </c>
      <c r="H59" s="39">
        <f t="shared" si="16"/>
        <v>0.546</v>
      </c>
      <c r="I59" s="39">
        <f t="shared" si="16"/>
        <v>0.728</v>
      </c>
      <c r="J59" s="39">
        <f t="shared" si="16"/>
        <v>0.78</v>
      </c>
      <c r="K59" s="2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" t="s">
        <v>1434</v>
      </c>
      <c r="B60" s="15" t="s">
        <v>224</v>
      </c>
      <c r="C60" s="18">
        <v>0.0</v>
      </c>
      <c r="D60" s="18">
        <v>0.0</v>
      </c>
      <c r="E60" s="18">
        <v>0.0</v>
      </c>
      <c r="F60" s="18">
        <v>0.0</v>
      </c>
      <c r="G60" s="19">
        <f>CEILING(Volumenes!F$15*Volumenes!$B$57/Volumenes!$B$58*$C$14,1)</f>
        <v>14</v>
      </c>
      <c r="H60" s="19">
        <f>CEILING(Volumenes!G$15*Volumenes!$B$57/Volumenes!$B$58*$C$14,1)</f>
        <v>30</v>
      </c>
      <c r="I60" s="19">
        <f>CEILING(Volumenes!H$15*Volumenes!$B$57/Volumenes!$B$58*$C$14,1)</f>
        <v>7</v>
      </c>
      <c r="J60" s="19">
        <f>CEILING(Volumenes!I$15*Volumenes!$B$57/Volumenes!$B$58*$C$14,1)</f>
        <v>5</v>
      </c>
      <c r="K60" s="2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0" t="s">
        <v>1435</v>
      </c>
      <c r="B61" s="15" t="s">
        <v>97</v>
      </c>
      <c r="C61" s="39">
        <f t="shared" ref="C61:J61" si="17">C59*C60</f>
        <v>0</v>
      </c>
      <c r="D61" s="39">
        <f t="shared" si="17"/>
        <v>0</v>
      </c>
      <c r="E61" s="39">
        <f t="shared" si="17"/>
        <v>0</v>
      </c>
      <c r="F61" s="39">
        <f t="shared" si="17"/>
        <v>0</v>
      </c>
      <c r="G61" s="39">
        <f t="shared" si="17"/>
        <v>6.006</v>
      </c>
      <c r="H61" s="39">
        <f t="shared" si="17"/>
        <v>16.38</v>
      </c>
      <c r="I61" s="39">
        <f t="shared" si="17"/>
        <v>5.096</v>
      </c>
      <c r="J61" s="39">
        <f t="shared" si="17"/>
        <v>3.9</v>
      </c>
      <c r="K61" s="2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9" t="s">
        <v>1436</v>
      </c>
      <c r="B63" s="11"/>
      <c r="C63" s="11"/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75" customHeight="1">
      <c r="A64" s="4" t="s">
        <v>44</v>
      </c>
      <c r="B64" s="4" t="s">
        <v>17</v>
      </c>
      <c r="C64" s="4" t="s">
        <v>18</v>
      </c>
      <c r="D64" s="4" t="s">
        <v>1291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0" t="s">
        <v>1438</v>
      </c>
      <c r="B65" s="15" t="s">
        <v>1439</v>
      </c>
      <c r="C65" s="19">
        <f>SUM(C33:J33)</f>
        <v>671.4710241</v>
      </c>
      <c r="D65" s="7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0" t="s">
        <v>1440</v>
      </c>
      <c r="B66" s="15" t="s">
        <v>1439</v>
      </c>
      <c r="C66" s="19">
        <f>SUM(C52:J52)</f>
        <v>530.0547619</v>
      </c>
      <c r="D66" s="7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0" t="s">
        <v>1441</v>
      </c>
      <c r="B67" s="15" t="s">
        <v>1439</v>
      </c>
      <c r="C67" s="19">
        <f>C65+C66</f>
        <v>1201.525786</v>
      </c>
      <c r="D67" s="7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0" t="s">
        <v>1442</v>
      </c>
      <c r="B68" s="15" t="s">
        <v>1443</v>
      </c>
      <c r="C68" s="19">
        <f>C67*Volumenes!$B$57</f>
        <v>144.1830943</v>
      </c>
      <c r="D68" s="73" t="s">
        <v>1444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0" t="s">
        <v>1445</v>
      </c>
      <c r="B69" s="15" t="s">
        <v>1446</v>
      </c>
      <c r="C69" s="27">
        <f>C68/Volumenes!$B$58</f>
        <v>7.209154716</v>
      </c>
      <c r="D69" s="7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0" t="s">
        <v>1447</v>
      </c>
      <c r="B70" s="15" t="s">
        <v>1448</v>
      </c>
      <c r="C70" s="27">
        <f>C69*5/$C$15</f>
        <v>1.386375907</v>
      </c>
      <c r="D70" s="73" t="s">
        <v>1449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0" t="s">
        <v>1450</v>
      </c>
      <c r="B71" s="15" t="s">
        <v>224</v>
      </c>
      <c r="C71" s="19">
        <f>SUM(Volumenes!B28:I28)+SUM(Volumenes!B15:E15)</f>
        <v>285520</v>
      </c>
      <c r="D71" s="7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0" t="s">
        <v>1451</v>
      </c>
      <c r="B72" s="15" t="s">
        <v>131</v>
      </c>
      <c r="C72" s="27">
        <f>C71/C67</f>
        <v>237.631188</v>
      </c>
      <c r="D72" s="7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0" t="s">
        <v>1452</v>
      </c>
      <c r="B73" s="15" t="s">
        <v>1356</v>
      </c>
      <c r="C73" s="19">
        <f>CEILING($C$16/C72,1)</f>
        <v>51</v>
      </c>
      <c r="D73" s="73" t="s">
        <v>1453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0" t="s">
        <v>1454</v>
      </c>
      <c r="B74" s="15" t="s">
        <v>1356</v>
      </c>
      <c r="C74" s="19">
        <f>CEILING(C69*$C$14,1)</f>
        <v>37</v>
      </c>
      <c r="D74" s="7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50" t="s">
        <v>1455</v>
      </c>
      <c r="B75" s="64" t="s">
        <v>1356</v>
      </c>
      <c r="C75" s="51">
        <f>C73+C74</f>
        <v>88</v>
      </c>
      <c r="D75" s="74" t="s">
        <v>1387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0" t="s">
        <v>1456</v>
      </c>
      <c r="B76" s="15" t="s">
        <v>1356</v>
      </c>
      <c r="C76" s="19">
        <f>$C$17</f>
        <v>122</v>
      </c>
      <c r="D76" s="7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0" t="s">
        <v>1458</v>
      </c>
      <c r="B77" s="15" t="s">
        <v>1356</v>
      </c>
      <c r="C77" s="19">
        <f>C76-C75</f>
        <v>34</v>
      </c>
      <c r="D77" s="7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0" t="s">
        <v>1464</v>
      </c>
      <c r="B78" s="15" t="s">
        <v>97</v>
      </c>
      <c r="C78" s="27">
        <f>SUM(C61:J61)</f>
        <v>31.382</v>
      </c>
      <c r="D78" s="73" t="s">
        <v>1470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">
    <mergeCell ref="A1:K1"/>
    <mergeCell ref="A2:K2"/>
    <mergeCell ref="A4:K4"/>
    <mergeCell ref="D5:K5"/>
    <mergeCell ref="D6:K6"/>
    <mergeCell ref="D7:K7"/>
    <mergeCell ref="D8:K8"/>
    <mergeCell ref="D16:K16"/>
    <mergeCell ref="D17:K17"/>
    <mergeCell ref="A19:K19"/>
    <mergeCell ref="A35:K35"/>
    <mergeCell ref="A54:K54"/>
    <mergeCell ref="A63:D63"/>
    <mergeCell ref="D9:K9"/>
    <mergeCell ref="D10:K10"/>
    <mergeCell ref="D11:K11"/>
    <mergeCell ref="D12:K12"/>
    <mergeCell ref="D13:K13"/>
    <mergeCell ref="D14:K14"/>
    <mergeCell ref="D15:K15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4.0"/>
    <col customWidth="1" min="2" max="2" width="46.0"/>
    <col customWidth="1" min="3" max="3" width="26.0"/>
    <col customWidth="1" min="4" max="4" width="14.0"/>
    <col customWidth="1" min="5" max="5" width="12.0"/>
    <col customWidth="1" min="6" max="9" width="13.0"/>
    <col customWidth="1" min="10" max="10" width="40.0"/>
    <col customWidth="1" min="11" max="11" width="13.0"/>
    <col customWidth="1" min="12" max="14" width="12.0"/>
    <col customWidth="1" min="15" max="26" width="8.63"/>
  </cols>
  <sheetData>
    <row r="1" ht="15.0" customHeight="1">
      <c r="A1" s="56" t="s">
        <v>1359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ht="39.75" customHeight="1">
      <c r="A2" s="57" t="s">
        <v>1361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0" customHeight="1">
      <c r="A4" s="58" t="s">
        <v>1362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ht="30.0" customHeight="1">
      <c r="A5" s="4" t="s">
        <v>388</v>
      </c>
      <c r="B5" s="4" t="s">
        <v>1363</v>
      </c>
      <c r="C5" s="4" t="s">
        <v>1364</v>
      </c>
      <c r="D5" s="4" t="s">
        <v>1365</v>
      </c>
      <c r="E5" s="4" t="s">
        <v>17</v>
      </c>
      <c r="F5" s="4" t="s">
        <v>1366</v>
      </c>
      <c r="G5" s="4" t="s">
        <v>1367</v>
      </c>
      <c r="H5" s="4" t="s">
        <v>1368</v>
      </c>
      <c r="I5" s="4" t="s">
        <v>1369</v>
      </c>
      <c r="J5" s="4" t="s">
        <v>1370</v>
      </c>
      <c r="K5" s="2"/>
      <c r="L5" s="2"/>
      <c r="M5" s="2"/>
      <c r="N5" s="2"/>
    </row>
    <row r="6" ht="23.25" customHeight="1">
      <c r="A6" s="2" t="str">
        <f>'Consumo Anual'!A6</f>
        <v>MP-01</v>
      </c>
      <c r="B6" s="59" t="str">
        <f>'Consumo Anual'!B6</f>
        <v>Caño SAE 1010 c/costura Ø76,2 × 1,25 mm × 6 m (cuerpo 1 kg)</v>
      </c>
      <c r="C6" s="2" t="str">
        <f>'MP Abastecimiento'!AK5</f>
        <v>Metalprisa (caño)</v>
      </c>
      <c r="D6" s="60">
        <f>'Consumo Anual'!M6</f>
        <v>8809.608696</v>
      </c>
      <c r="E6" s="2" t="str">
        <f>'Consumo Anual'!C6</f>
        <v>barra</v>
      </c>
      <c r="F6" s="61">
        <f>D6*'Geometria Acero'!$C$12/1000</f>
        <v>122.1262575</v>
      </c>
      <c r="G6" s="62">
        <f>$D$25/$D$24/'Geometria Acero'!$C$12</f>
        <v>1.881815759</v>
      </c>
      <c r="H6" s="60">
        <f t="shared" ref="H6:H21" si="1">IF(ISNUMBER(G6),F6*1000*G6,0)</f>
        <v>229819.1159</v>
      </c>
      <c r="I6" s="61">
        <f>'MP Abastecimiento'!X5</f>
        <v>8.456336669</v>
      </c>
      <c r="J6" s="59" t="s">
        <v>1374</v>
      </c>
      <c r="K6" s="2"/>
      <c r="L6" s="2"/>
      <c r="M6" s="2"/>
      <c r="N6" s="2"/>
    </row>
    <row r="7" ht="23.25" customHeight="1">
      <c r="A7" s="2" t="str">
        <f>'Consumo Anual'!A7</f>
        <v>MP-02</v>
      </c>
      <c r="B7" s="59" t="str">
        <f>'Consumo Anual'!B7</f>
        <v>Hoja LAF 1,25 × 1220 × 2440 mm (cuerpos 2,5 kg; 27 por hoja)</v>
      </c>
      <c r="C7" s="2" t="str">
        <f>'MP Abastecimiento'!AK6</f>
        <v>Pradecon (hojas + fleje 0,9)</v>
      </c>
      <c r="D7" s="60">
        <f>'Consumo Anual'!M7</f>
        <v>522</v>
      </c>
      <c r="E7" s="2" t="str">
        <f>'Consumo Anual'!C7</f>
        <v>hoja</v>
      </c>
      <c r="F7" s="61">
        <f>D7*'Geometria Acero'!$D$84/1000</f>
        <v>15.2475417</v>
      </c>
      <c r="G7" s="63">
        <v>1.290297735</v>
      </c>
      <c r="H7" s="60">
        <f t="shared" si="1"/>
        <v>19673.86852</v>
      </c>
      <c r="I7" s="61">
        <f>'MP Abastecimiento'!X6</f>
        <v>3.9725396</v>
      </c>
      <c r="J7" s="59" t="s">
        <v>1378</v>
      </c>
      <c r="K7" s="2"/>
      <c r="L7" s="2"/>
      <c r="M7" s="2"/>
      <c r="N7" s="2"/>
    </row>
    <row r="8" ht="23.25" customHeight="1">
      <c r="A8" s="2" t="str">
        <f>'Consumo Anual'!A8</f>
        <v>MP-03</v>
      </c>
      <c r="B8" s="59" t="str">
        <f>'Consumo Anual'!B8</f>
        <v>Hoja LAF 1,6 × 1000 × 2000 mm (cuerpos 5 kg; 12 por hoja)</v>
      </c>
      <c r="C8" s="2" t="str">
        <f>'MP Abastecimiento'!AK7</f>
        <v>Pradecon (hojas + fleje 0,9)</v>
      </c>
      <c r="D8" s="60">
        <f>'Consumo Anual'!M8</f>
        <v>5305.5</v>
      </c>
      <c r="E8" s="2" t="str">
        <f>'Consumo Anual'!C8</f>
        <v>hoja</v>
      </c>
      <c r="F8" s="61">
        <f>D8*'Geometria Acero'!$E$84/1000</f>
        <v>133.27416</v>
      </c>
      <c r="G8" s="63">
        <v>1.327521036</v>
      </c>
      <c r="H8" s="60">
        <f t="shared" si="1"/>
        <v>176924.251</v>
      </c>
      <c r="I8" s="61">
        <f>'MP Abastecimiento'!X7</f>
        <v>27.78272</v>
      </c>
      <c r="J8" s="59" t="s">
        <v>1381</v>
      </c>
      <c r="K8" s="2"/>
      <c r="L8" s="2"/>
      <c r="M8" s="2"/>
      <c r="N8" s="2"/>
    </row>
    <row r="9" ht="23.25" customHeight="1">
      <c r="A9" s="2" t="str">
        <f>'Consumo Anual'!A9</f>
        <v>MP-04</v>
      </c>
      <c r="B9" s="59" t="str">
        <f>'Consumo Anual'!B9</f>
        <v>Hoja LAF 2,0 × 1500 × 3000 mm (cuerpos 10 kg; 15 por hoja)</v>
      </c>
      <c r="C9" s="2" t="str">
        <f>'MP Abastecimiento'!AK8</f>
        <v>Pradecon (hojas + fleje 0,9)</v>
      </c>
      <c r="D9" s="60">
        <f>'Consumo Anual'!M9</f>
        <v>256.8</v>
      </c>
      <c r="E9" s="2" t="str">
        <f>'Consumo Anual'!C9</f>
        <v>hoja</v>
      </c>
      <c r="F9" s="61">
        <f>D9*'Geometria Acero'!$F$84/1000</f>
        <v>18.14292</v>
      </c>
      <c r="G9" s="63">
        <v>1.280401294</v>
      </c>
      <c r="H9" s="60">
        <f t="shared" si="1"/>
        <v>23230.21824</v>
      </c>
      <c r="I9" s="61">
        <f>'MP Abastecimiento'!X8</f>
        <v>5.9346</v>
      </c>
      <c r="J9" s="59" t="s">
        <v>1383</v>
      </c>
      <c r="K9" s="2"/>
      <c r="L9" s="2"/>
      <c r="M9" s="2"/>
      <c r="N9" s="2"/>
    </row>
    <row r="10" ht="15.0" customHeight="1">
      <c r="A10" s="2" t="str">
        <f>'Consumo Anual'!A10</f>
        <v>MP-05</v>
      </c>
      <c r="B10" s="59" t="str">
        <f>'Consumo Anual'!B10</f>
        <v>Fleje LAF 0,9 × 114 mm (cúpula 1 kg)</v>
      </c>
      <c r="C10" s="2" t="str">
        <f>'MP Abastecimiento'!AK9</f>
        <v>Pradecon (hojas + fleje 0,9)</v>
      </c>
      <c r="D10" s="60">
        <f>'Consumo Anual'!M10</f>
        <v>18114.42074</v>
      </c>
      <c r="E10" s="2" t="str">
        <f>'Consumo Anual'!C10</f>
        <v>kg</v>
      </c>
      <c r="F10" s="61">
        <f t="shared" ref="F10:F15" si="2">D10/1000</f>
        <v>18.11442074</v>
      </c>
      <c r="G10" s="63">
        <v>1.26285</v>
      </c>
      <c r="H10" s="60">
        <f t="shared" si="1"/>
        <v>22875.79623</v>
      </c>
      <c r="I10" s="61">
        <f>'MP Abastecimiento'!X9</f>
        <v>3</v>
      </c>
      <c r="J10" s="59" t="s">
        <v>1386</v>
      </c>
      <c r="K10" s="2"/>
      <c r="L10" s="2"/>
      <c r="M10" s="2"/>
      <c r="N10" s="2"/>
    </row>
    <row r="11" ht="23.25" customHeight="1">
      <c r="A11" s="2" t="str">
        <f>'Consumo Anual'!A11</f>
        <v>MP-06</v>
      </c>
      <c r="B11" s="59" t="str">
        <f>'Consumo Anual'!B11</f>
        <v>Fleje LAF 1,25 × 200 mm (cúpula Ø179 + fondo Ø148, 2,5 kg)</v>
      </c>
      <c r="C11" s="2" t="str">
        <f>'MP Abastecimiento'!AK10</f>
        <v>Pacheco (flejes)</v>
      </c>
      <c r="D11" s="60">
        <f>'Consumo Anual'!M11</f>
        <v>9210.605175</v>
      </c>
      <c r="E11" s="2" t="str">
        <f>'Consumo Anual'!C11</f>
        <v>kg</v>
      </c>
      <c r="F11" s="61">
        <f t="shared" si="2"/>
        <v>9.210605175</v>
      </c>
      <c r="G11" s="63">
        <v>1.186</v>
      </c>
      <c r="H11" s="60">
        <f t="shared" si="1"/>
        <v>10923.77774</v>
      </c>
      <c r="I11" s="61">
        <f>'MP Abastecimiento'!X10</f>
        <v>1.968</v>
      </c>
      <c r="J11" s="59" t="s">
        <v>1389</v>
      </c>
      <c r="K11" s="2"/>
      <c r="L11" s="2"/>
      <c r="M11" s="2"/>
      <c r="N11" s="2"/>
    </row>
    <row r="12" ht="15.0" customHeight="1">
      <c r="A12" s="2" t="str">
        <f>'Consumo Anual'!A12</f>
        <v>MP-07</v>
      </c>
      <c r="B12" s="59" t="str">
        <f>'Consumo Anual'!B12</f>
        <v>Fleje LAF 1,6 × 250 mm (cúpula Ø221, 5 kg)</v>
      </c>
      <c r="C12" s="2" t="str">
        <f>'MP Abastecimiento'!AK11</f>
        <v>Pacheco (flejes)</v>
      </c>
      <c r="D12" s="60">
        <f>'Consumo Anual'!M12</f>
        <v>44780.11776</v>
      </c>
      <c r="E12" s="2" t="str">
        <f>'Consumo Anual'!C12</f>
        <v>kg</v>
      </c>
      <c r="F12" s="61">
        <f t="shared" si="2"/>
        <v>44.78011776</v>
      </c>
      <c r="G12" s="63">
        <v>1.186</v>
      </c>
      <c r="H12" s="60">
        <f t="shared" si="1"/>
        <v>53109.21966</v>
      </c>
      <c r="I12" s="61">
        <f>'MP Abastecimiento'!X11</f>
        <v>4.92</v>
      </c>
      <c r="J12" s="59" t="s">
        <v>1389</v>
      </c>
      <c r="K12" s="2"/>
      <c r="L12" s="2"/>
      <c r="M12" s="2"/>
      <c r="N12" s="2"/>
    </row>
    <row r="13" ht="15.0" customHeight="1">
      <c r="A13" s="2" t="str">
        <f>'Consumo Anual'!A13</f>
        <v>MP-08</v>
      </c>
      <c r="B13" s="59" t="str">
        <f>'Consumo Anual'!B13</f>
        <v>Fleje LAF 1,6 × 200 mm (fondo Ø177, 5 kg)</v>
      </c>
      <c r="C13" s="2" t="str">
        <f>'MP Abastecimiento'!AK12</f>
        <v>Pacheco (flejes)</v>
      </c>
      <c r="D13" s="60">
        <f>'Consumo Anual'!M13</f>
        <v>28787.21856</v>
      </c>
      <c r="E13" s="2" t="str">
        <f>'Consumo Anual'!C13</f>
        <v>kg</v>
      </c>
      <c r="F13" s="61">
        <f t="shared" si="2"/>
        <v>28.78721856</v>
      </c>
      <c r="G13" s="63">
        <v>1.186</v>
      </c>
      <c r="H13" s="60">
        <f t="shared" si="1"/>
        <v>34141.64121</v>
      </c>
      <c r="I13" s="61">
        <f>'MP Abastecimiento'!X12</f>
        <v>2.952</v>
      </c>
      <c r="J13" s="59" t="s">
        <v>1389</v>
      </c>
      <c r="K13" s="2"/>
      <c r="L13" s="2"/>
      <c r="M13" s="2"/>
      <c r="N13" s="2"/>
    </row>
    <row r="14" ht="15.0" customHeight="1">
      <c r="A14" s="2" t="str">
        <f>'Consumo Anual'!A14</f>
        <v>MP-09</v>
      </c>
      <c r="B14" s="59" t="str">
        <f>'Consumo Anual'!B14</f>
        <v>Fleje LAF 2,0 × 300 mm (cúpula Ø258, 10 kg)</v>
      </c>
      <c r="C14" s="2" t="str">
        <f>'MP Abastecimiento'!AK13</f>
        <v>Pacheco (flejes)</v>
      </c>
      <c r="D14" s="60">
        <f>'Consumo Anual'!M14</f>
        <v>4735.30212</v>
      </c>
      <c r="E14" s="2" t="str">
        <f>'Consumo Anual'!C14</f>
        <v>kg</v>
      </c>
      <c r="F14" s="61">
        <f t="shared" si="2"/>
        <v>4.73530212</v>
      </c>
      <c r="G14" s="63">
        <v>1.198</v>
      </c>
      <c r="H14" s="60">
        <f t="shared" si="1"/>
        <v>5672.89194</v>
      </c>
      <c r="I14" s="61">
        <f>'MP Abastecimiento'!X13</f>
        <v>1.476</v>
      </c>
      <c r="J14" s="59" t="s">
        <v>1389</v>
      </c>
      <c r="K14" s="2"/>
      <c r="L14" s="2"/>
      <c r="M14" s="2"/>
      <c r="N14" s="2"/>
    </row>
    <row r="15" ht="15.0" customHeight="1">
      <c r="A15" s="2" t="str">
        <f>'Consumo Anual'!A15</f>
        <v>MP-10</v>
      </c>
      <c r="B15" s="59" t="str">
        <f>'Consumo Anual'!B15</f>
        <v>Fleje LAF 2,0 × 249 mm (fondo Ø205, 10 kg)</v>
      </c>
      <c r="C15" s="2" t="str">
        <f>'MP Abastecimiento'!AK14</f>
        <v>Pacheco (flejes)</v>
      </c>
      <c r="D15" s="60">
        <f>'Consumo Anual'!M15</f>
        <v>3132.193709</v>
      </c>
      <c r="E15" s="2" t="str">
        <f>'Consumo Anual'!C15</f>
        <v>kg</v>
      </c>
      <c r="F15" s="61">
        <f t="shared" si="2"/>
        <v>3.132193709</v>
      </c>
      <c r="G15" s="63">
        <v>1.198</v>
      </c>
      <c r="H15" s="60">
        <f t="shared" si="1"/>
        <v>3752.368063</v>
      </c>
      <c r="I15" s="61">
        <f>'MP Abastecimiento'!X14</f>
        <v>0.996</v>
      </c>
      <c r="J15" s="59" t="s">
        <v>1389</v>
      </c>
      <c r="K15" s="2"/>
      <c r="L15" s="2"/>
      <c r="M15" s="2"/>
      <c r="N15" s="2"/>
    </row>
    <row r="16" ht="23.25" customHeight="1">
      <c r="A16" s="2" t="str">
        <f>'Consumo Anual'!A16</f>
        <v>MP-11</v>
      </c>
      <c r="B16" s="59" t="str">
        <f>'Consumo Anual'!B16</f>
        <v>Hoja LAC 3,2 × 1500 × 3000 mm (cuerpos 25 kg: 9 por hoja; 50 kg: 6 por hoja)</v>
      </c>
      <c r="C16" s="2" t="str">
        <f>'MP Abastecimiento'!AK15</f>
        <v>Pradecon (hojas + fleje 0,9)</v>
      </c>
      <c r="D16" s="60">
        <f>'Consumo Anual'!M16</f>
        <v>370.2777778</v>
      </c>
      <c r="E16" s="2" t="str">
        <f>'Consumo Anual'!C16</f>
        <v>hoja</v>
      </c>
      <c r="F16" s="61">
        <f>D16*'Geometria Acero'!$G$84/1000</f>
        <v>41.8562</v>
      </c>
      <c r="G16" s="63">
        <v>1.101935275</v>
      </c>
      <c r="H16" s="60">
        <f t="shared" si="1"/>
        <v>46122.82326</v>
      </c>
      <c r="I16" s="61">
        <f>'MP Abastecimiento'!X15</f>
        <v>9.6084</v>
      </c>
      <c r="J16" s="59" t="s">
        <v>1393</v>
      </c>
      <c r="K16" s="2"/>
      <c r="L16" s="2"/>
      <c r="M16" s="2"/>
      <c r="N16" s="2"/>
    </row>
    <row r="17" ht="23.25" customHeight="1">
      <c r="A17" s="2" t="str">
        <f>'Consumo Anual'!A17</f>
        <v>MP-12</v>
      </c>
      <c r="B17" s="59" t="str">
        <f>'Consumo Anual'!B17</f>
        <v>Hoja LAC 4,75 × 1500 × 3000 mm (cuerpos 70 y 100 kg; hoja mixta 3 × 70 + 1 × 100)</v>
      </c>
      <c r="C17" s="2" t="str">
        <f>'MP Abastecimiento'!AK16</f>
        <v>Pradecon (hojas + fleje 0,9)</v>
      </c>
      <c r="D17" s="60">
        <f>'Consumo Anual'!M17</f>
        <v>165.2222222</v>
      </c>
      <c r="E17" s="2" t="str">
        <f>'Consumo Anual'!C17</f>
        <v>hoja</v>
      </c>
      <c r="F17" s="61">
        <f>D17*'Geometria Acero'!$I$84/1000</f>
        <v>27.72325625</v>
      </c>
      <c r="G17" s="63">
        <v>1.090977346</v>
      </c>
      <c r="H17" s="60">
        <f t="shared" si="1"/>
        <v>30245.44453</v>
      </c>
      <c r="I17" s="61">
        <f>'MP Abastecimiento'!X16</f>
        <v>5.53719375</v>
      </c>
      <c r="J17" s="59" t="s">
        <v>1395</v>
      </c>
      <c r="K17" s="2"/>
      <c r="L17" s="2"/>
      <c r="M17" s="2"/>
      <c r="N17" s="2"/>
    </row>
    <row r="18" ht="15.0" customHeight="1">
      <c r="A18" s="2" t="str">
        <f>'Consumo Anual'!A18</f>
        <v>MP-13</v>
      </c>
      <c r="B18" s="59" t="str">
        <f>'Consumo Anual'!B18</f>
        <v>Fleje LAF 0,9 × 106 mm (fondo 1 kg)</v>
      </c>
      <c r="C18" s="2" t="str">
        <f>'MP Abastecimiento'!AK17</f>
        <v>Pradecon (hojas + fleje 0,9)</v>
      </c>
      <c r="D18" s="60">
        <f>'Consumo Anual'!M18</f>
        <v>15629.30659</v>
      </c>
      <c r="E18" s="2" t="str">
        <f>'Consumo Anual'!C18</f>
        <v>kg</v>
      </c>
      <c r="F18" s="61">
        <f>D18/1000</f>
        <v>15.62930659</v>
      </c>
      <c r="G18" s="63">
        <v>1.26285</v>
      </c>
      <c r="H18" s="60">
        <f t="shared" si="1"/>
        <v>19737.46983</v>
      </c>
      <c r="I18" s="61">
        <f>'MP Abastecimiento'!X17</f>
        <v>2</v>
      </c>
      <c r="J18" s="59" t="s">
        <v>1386</v>
      </c>
      <c r="K18" s="2"/>
      <c r="L18" s="2"/>
      <c r="M18" s="2"/>
      <c r="N18" s="2"/>
    </row>
    <row r="19" ht="15.0" customHeight="1">
      <c r="A19" s="2" t="str">
        <f>'Consumo Anual'!A19</f>
        <v>MP-15</v>
      </c>
      <c r="B19" s="59" t="str">
        <f>'Consumo Anual'!B19</f>
        <v>Casquete embutido 10" × 3,2 mm (carro 25 kg)</v>
      </c>
      <c r="C19" s="2" t="str">
        <f>'MP Abastecimiento'!AK18</f>
        <v>Casquetes (tercerizado)</v>
      </c>
      <c r="D19" s="60">
        <f>'Consumo Anual'!M19</f>
        <v>1550</v>
      </c>
      <c r="E19" s="2" t="str">
        <f>'Consumo Anual'!C19</f>
        <v>u</v>
      </c>
      <c r="F19" s="61">
        <f>D19*'Geometria Acero'!$G$50/1000</f>
        <v>3.782</v>
      </c>
      <c r="G19" s="2" t="s">
        <v>359</v>
      </c>
      <c r="H19" s="60">
        <f t="shared" si="1"/>
        <v>0</v>
      </c>
      <c r="I19" s="61">
        <f>'MP Abastecimiento'!X18</f>
        <v>1.464</v>
      </c>
      <c r="J19" s="59" t="s">
        <v>1406</v>
      </c>
      <c r="K19" s="2"/>
      <c r="L19" s="2"/>
      <c r="M19" s="2"/>
      <c r="N19" s="2"/>
    </row>
    <row r="20" ht="15.0" customHeight="1">
      <c r="A20" s="2" t="str">
        <f>'Consumo Anual'!A20</f>
        <v>MP-16</v>
      </c>
      <c r="B20" s="59" t="str">
        <f>'Consumo Anual'!B20</f>
        <v>Casquete embutido 12" × 3,2 mm (carro 50 kg)</v>
      </c>
      <c r="C20" s="2" t="str">
        <f>'MP Abastecimiento'!AK19</f>
        <v>Casquetes (tercerizado)</v>
      </c>
      <c r="D20" s="60">
        <f>'Consumo Anual'!M20</f>
        <v>3410</v>
      </c>
      <c r="E20" s="2" t="str">
        <f>'Consumo Anual'!C20</f>
        <v>u</v>
      </c>
      <c r="F20" s="61">
        <f>D20*'Geometria Acero'!$H$50/1000</f>
        <v>11.4576</v>
      </c>
      <c r="G20" s="2" t="s">
        <v>359</v>
      </c>
      <c r="H20" s="60">
        <f t="shared" si="1"/>
        <v>0</v>
      </c>
      <c r="I20" s="61">
        <f>'MP Abastecimiento'!X19</f>
        <v>4.5696</v>
      </c>
      <c r="J20" s="59" t="s">
        <v>1406</v>
      </c>
      <c r="K20" s="2"/>
      <c r="L20" s="2"/>
      <c r="M20" s="2"/>
      <c r="N20" s="2"/>
    </row>
    <row r="21" ht="15.0" customHeight="1">
      <c r="A21" s="2" t="str">
        <f>'Consumo Anual'!A21</f>
        <v>MP-17</v>
      </c>
      <c r="B21" s="59" t="str">
        <f>'Consumo Anual'!B21</f>
        <v>Casquete embutido 15" × 4,75 mm (carros 70 y 100 kg)</v>
      </c>
      <c r="C21" s="2" t="str">
        <f>'MP Abastecimiento'!AK20</f>
        <v>Casquetes (tercerizado)</v>
      </c>
      <c r="D21" s="60">
        <f>'Consumo Anual'!M21</f>
        <v>1240</v>
      </c>
      <c r="E21" s="2" t="str">
        <f>'Consumo Anual'!C21</f>
        <v>u</v>
      </c>
      <c r="F21" s="61">
        <f>D21*'Geometria Acero'!$I$50/1000</f>
        <v>8.2336</v>
      </c>
      <c r="G21" s="2" t="s">
        <v>359</v>
      </c>
      <c r="H21" s="60">
        <f t="shared" si="1"/>
        <v>0</v>
      </c>
      <c r="I21" s="61">
        <f>'MP Abastecimiento'!X20</f>
        <v>3.1872</v>
      </c>
      <c r="J21" s="59" t="s">
        <v>1406</v>
      </c>
      <c r="K21" s="2"/>
      <c r="L21" s="2"/>
      <c r="M21" s="2"/>
      <c r="N21" s="2"/>
    </row>
    <row r="22" ht="15.0" customHeight="1">
      <c r="A22" s="50" t="s">
        <v>1408</v>
      </c>
      <c r="B22" s="50"/>
      <c r="C22" s="50"/>
      <c r="D22" s="50"/>
      <c r="E22" s="50"/>
      <c r="F22" s="66">
        <f>SUM(F6:F21)</f>
        <v>506.2327001</v>
      </c>
      <c r="G22" s="50"/>
      <c r="H22" s="67">
        <f t="shared" ref="H22:I22" si="3">SUM(H6:H21)</f>
        <v>676228.886</v>
      </c>
      <c r="I22" s="66">
        <f t="shared" si="3"/>
        <v>87.82459002</v>
      </c>
      <c r="J22" s="50"/>
      <c r="K22" s="2"/>
      <c r="L22" s="2"/>
      <c r="M22" s="2"/>
      <c r="N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23.25" customHeight="1">
      <c r="A24" s="68" t="s">
        <v>1411</v>
      </c>
      <c r="B24" s="2"/>
      <c r="C24" s="2"/>
      <c r="D24" s="69">
        <v>1420.0</v>
      </c>
      <c r="E24" s="2"/>
      <c r="F24" s="2"/>
      <c r="G24" s="2"/>
      <c r="H24" s="2"/>
      <c r="I24" s="2"/>
      <c r="J24" s="59" t="s">
        <v>1412</v>
      </c>
      <c r="K24" s="2"/>
      <c r="L24" s="2"/>
      <c r="M24" s="2"/>
      <c r="N24" s="2"/>
    </row>
    <row r="25" ht="15.0" customHeight="1">
      <c r="A25" s="68" t="s">
        <v>1413</v>
      </c>
      <c r="B25" s="2"/>
      <c r="C25" s="2"/>
      <c r="D25" s="69">
        <v>37044.0</v>
      </c>
      <c r="E25" s="2"/>
      <c r="F25" s="2"/>
      <c r="G25" s="2"/>
      <c r="H25" s="2"/>
      <c r="I25" s="2"/>
      <c r="J25" s="59" t="s">
        <v>1414</v>
      </c>
      <c r="K25" s="2"/>
      <c r="L25" s="2"/>
      <c r="M25" s="2"/>
      <c r="N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5.0" customHeight="1">
      <c r="A27" s="58" t="s">
        <v>1415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</row>
    <row r="28" ht="30.0" customHeight="1">
      <c r="A28" s="4" t="s">
        <v>1416</v>
      </c>
      <c r="B28" s="4" t="s">
        <v>1417</v>
      </c>
      <c r="C28" s="4" t="s">
        <v>1418</v>
      </c>
      <c r="D28" s="4" t="s">
        <v>1419</v>
      </c>
      <c r="E28" s="4" t="s">
        <v>335</v>
      </c>
      <c r="F28" s="4" t="s">
        <v>1420</v>
      </c>
      <c r="G28" s="4" t="s">
        <v>1421</v>
      </c>
      <c r="H28" s="4" t="s">
        <v>350</v>
      </c>
      <c r="I28" s="4" t="s">
        <v>1422</v>
      </c>
      <c r="J28" s="4" t="s">
        <v>1423</v>
      </c>
      <c r="K28" s="4" t="s">
        <v>1424</v>
      </c>
      <c r="L28" s="4" t="s">
        <v>1425</v>
      </c>
      <c r="M28" s="4" t="s">
        <v>1426</v>
      </c>
      <c r="N28" s="4" t="s">
        <v>1427</v>
      </c>
    </row>
    <row r="29" ht="15.0" customHeight="1">
      <c r="A29" s="70" t="s">
        <v>25</v>
      </c>
      <c r="B29" s="2" t="str">
        <f>TEXT('Geometria Acero'!D79,"0")&amp;" × "&amp;TEXT('Geometria Acero'!D80,"0")</f>
        <v>1220 × 2440</v>
      </c>
      <c r="C29" s="71">
        <f>'Geometria Acero'!D32</f>
        <v>1.25</v>
      </c>
      <c r="D29" s="61">
        <f>'Geometria Acero'!D84</f>
        <v>29.20985</v>
      </c>
      <c r="E29" s="60">
        <f>'Geometria Acero'!D85</f>
        <v>27</v>
      </c>
      <c r="F29" s="72">
        <f>'Geometria Acero'!D88</f>
        <v>0.9423175054</v>
      </c>
      <c r="G29" s="61">
        <f>'Geometria Acero'!D91</f>
        <v>385.5</v>
      </c>
      <c r="H29" s="60">
        <f>'Geometria Acero'!D92</f>
        <v>3</v>
      </c>
      <c r="I29" s="61">
        <f>'Geometria Acero'!D93</f>
        <v>269.5</v>
      </c>
      <c r="J29" s="60">
        <f>'Geometria Acero'!D94</f>
        <v>30</v>
      </c>
      <c r="K29" s="60">
        <f>'Geometria Acero'!D96</f>
        <v>385.5</v>
      </c>
      <c r="L29" s="2" t="str">
        <f>'Geometria Acero'!D97</f>
        <v>SÍ</v>
      </c>
      <c r="M29" s="60">
        <f>'Consumo Anual'!M7</f>
        <v>522</v>
      </c>
      <c r="N29" s="61">
        <f>M29/Volumenes!$B$59</f>
        <v>2.175</v>
      </c>
    </row>
    <row r="30" ht="15.0" customHeight="1">
      <c r="A30" s="70" t="s">
        <v>26</v>
      </c>
      <c r="B30" s="2" t="str">
        <f>TEXT('Geometria Acero'!E79,"0")&amp;" × "&amp;TEXT('Geometria Acero'!E80,"0")</f>
        <v>1000 × 2000</v>
      </c>
      <c r="C30" s="71">
        <f>'Geometria Acero'!E32</f>
        <v>1.6</v>
      </c>
      <c r="D30" s="61">
        <f>'Geometria Acero'!E84</f>
        <v>25.12</v>
      </c>
      <c r="E30" s="60">
        <f>'Geometria Acero'!E85</f>
        <v>12</v>
      </c>
      <c r="F30" s="72">
        <f>'Geometria Acero'!E88</f>
        <v>0.93951</v>
      </c>
      <c r="G30" s="61">
        <f>'Geometria Acero'!E91</f>
        <v>330</v>
      </c>
      <c r="H30" s="60">
        <f>'Geometria Acero'!E92</f>
        <v>3</v>
      </c>
      <c r="I30" s="61">
        <f>'Geometria Acero'!E93</f>
        <v>474.5</v>
      </c>
      <c r="J30" s="60">
        <f>'Geometria Acero'!E94</f>
        <v>15</v>
      </c>
      <c r="K30" s="60">
        <f>'Geometria Acero'!E96</f>
        <v>474.5</v>
      </c>
      <c r="L30" s="2" t="str">
        <f>'Geometria Acero'!E97</f>
        <v>SÍ</v>
      </c>
      <c r="M30" s="60">
        <f>'Consumo Anual'!M8</f>
        <v>5305.5</v>
      </c>
      <c r="N30" s="61">
        <f>M30/Volumenes!$B$59</f>
        <v>22.10625</v>
      </c>
    </row>
    <row r="31" ht="15.0" customHeight="1">
      <c r="A31" s="70" t="s">
        <v>27</v>
      </c>
      <c r="B31" s="2" t="str">
        <f>TEXT('Geometria Acero'!F79,"0")&amp;" × "&amp;TEXT('Geometria Acero'!F80,"0")</f>
        <v>1500 × 3000</v>
      </c>
      <c r="C31" s="71">
        <f>'Geometria Acero'!F32</f>
        <v>2</v>
      </c>
      <c r="D31" s="61">
        <f>'Geometria Acero'!F84</f>
        <v>70.65</v>
      </c>
      <c r="E31" s="60">
        <f>'Geometria Acero'!F85</f>
        <v>15</v>
      </c>
      <c r="F31" s="72">
        <f>'Geometria Acero'!F88</f>
        <v>0.92895</v>
      </c>
      <c r="G31" s="61">
        <f>'Geometria Acero'!F91</f>
        <v>495</v>
      </c>
      <c r="H31" s="60">
        <f>'Geometria Acero'!F92</f>
        <v>3</v>
      </c>
      <c r="I31" s="61">
        <f>'Geometria Acero'!F93</f>
        <v>563</v>
      </c>
      <c r="J31" s="60">
        <f>'Geometria Acero'!F94</f>
        <v>18</v>
      </c>
      <c r="K31" s="60">
        <f>'Geometria Acero'!F96</f>
        <v>563</v>
      </c>
      <c r="L31" s="2" t="str">
        <f>'Geometria Acero'!F97</f>
        <v>SÍ</v>
      </c>
      <c r="M31" s="60">
        <f>'Consumo Anual'!M9</f>
        <v>256.8</v>
      </c>
      <c r="N31" s="61">
        <f>M31/Volumenes!$B$59</f>
        <v>1.07</v>
      </c>
    </row>
    <row r="32" ht="15.0" customHeight="1">
      <c r="A32" s="70" t="s">
        <v>28</v>
      </c>
      <c r="B32" s="2" t="str">
        <f>TEXT('Geometria Acero'!G79,"0")&amp;" × "&amp;TEXT('Geometria Acero'!G80,"0")</f>
        <v>1500 × 3000</v>
      </c>
      <c r="C32" s="71">
        <f>'Geometria Acero'!G32</f>
        <v>3.2</v>
      </c>
      <c r="D32" s="61">
        <f>'Geometria Acero'!G84</f>
        <v>113.04</v>
      </c>
      <c r="E32" s="60">
        <f>'Geometria Acero'!G85</f>
        <v>9</v>
      </c>
      <c r="F32" s="72">
        <f>'Geometria Acero'!G88</f>
        <v>0.84084</v>
      </c>
      <c r="G32" s="61">
        <f>'Geometria Acero'!G91</f>
        <v>490</v>
      </c>
      <c r="H32" s="60">
        <f>'Geometria Acero'!G92</f>
        <v>3</v>
      </c>
      <c r="I32" s="61">
        <f>'Geometria Acero'!G93</f>
        <v>858</v>
      </c>
      <c r="J32" s="60">
        <f>'Geometria Acero'!G94</f>
        <v>12</v>
      </c>
      <c r="K32" s="60">
        <f>'Geometria Acero'!G96</f>
        <v>858</v>
      </c>
      <c r="L32" s="2" t="str">
        <f>'Geometria Acero'!G97</f>
        <v>SÍ</v>
      </c>
      <c r="M32" s="60">
        <f>Volumenes!$F$41*'Geometria Acero'!$G$87</f>
        <v>86.11111111</v>
      </c>
      <c r="N32" s="61">
        <f>M32/Volumenes!$B$59</f>
        <v>0.3587962963</v>
      </c>
    </row>
    <row r="33" ht="15.0" customHeight="1">
      <c r="A33" s="70" t="s">
        <v>29</v>
      </c>
      <c r="B33" s="2" t="str">
        <f>TEXT('Geometria Acero'!H79,"0")&amp;" × "&amp;TEXT('Geometria Acero'!H80,"0")</f>
        <v>1500 × 3000</v>
      </c>
      <c r="C33" s="71">
        <f>'Geometria Acero'!H32</f>
        <v>3.2</v>
      </c>
      <c r="D33" s="61">
        <f>'Geometria Acero'!H84</f>
        <v>113.04</v>
      </c>
      <c r="E33" s="60">
        <f>'Geometria Acero'!H85</f>
        <v>6</v>
      </c>
      <c r="F33" s="72">
        <f>'Geometria Acero'!H88</f>
        <v>0.8482133333</v>
      </c>
      <c r="G33" s="61">
        <f>'Geometria Acero'!H91</f>
        <v>640</v>
      </c>
      <c r="H33" s="60">
        <f>'Geometria Acero'!H92</f>
        <v>2</v>
      </c>
      <c r="I33" s="61">
        <f>'Geometria Acero'!H93</f>
        <v>994</v>
      </c>
      <c r="J33" s="60">
        <f>'Geometria Acero'!H94</f>
        <v>8</v>
      </c>
      <c r="K33" s="60">
        <f>'Geometria Acero'!H96</f>
        <v>994</v>
      </c>
      <c r="L33" s="2" t="str">
        <f>'Geometria Acero'!H97</f>
        <v>SÍ</v>
      </c>
      <c r="M33" s="60">
        <f>Volumenes!$G$41*'Geometria Acero'!$H$87</f>
        <v>284.1666667</v>
      </c>
      <c r="N33" s="61">
        <f>M33/Volumenes!$B$59</f>
        <v>1.184027778</v>
      </c>
    </row>
    <row r="34" ht="15.0" customHeight="1">
      <c r="A34" s="70" t="s">
        <v>1437</v>
      </c>
      <c r="B34" s="2" t="str">
        <f>TEXT('Geometria Acero'!I79,"0")&amp;" × "&amp;TEXT('Geometria Acero'!I80,"0")</f>
        <v>1500 × 3000</v>
      </c>
      <c r="C34" s="71">
        <f>'Geometria Acero'!I32</f>
        <v>4.75</v>
      </c>
      <c r="D34" s="61">
        <f>'Geometria Acero'!I84</f>
        <v>167.79375</v>
      </c>
      <c r="E34" s="60">
        <f>'Geometria Acero'!I85</f>
        <v>3</v>
      </c>
      <c r="F34" s="72">
        <f>'Geometria Acero'!I88</f>
        <v>0.79184</v>
      </c>
      <c r="G34" s="61">
        <f>'Geometria Acero'!I91</f>
        <v>1212</v>
      </c>
      <c r="H34" s="60">
        <f>'Geometria Acero'!I92</f>
        <v>1</v>
      </c>
      <c r="I34" s="61">
        <f>'Geometria Acero'!I93</f>
        <v>680</v>
      </c>
      <c r="J34" s="60">
        <f>'Geometria Acero'!I94</f>
        <v>5</v>
      </c>
      <c r="K34" s="60">
        <f>'Geometria Acero'!I96</f>
        <v>900</v>
      </c>
      <c r="L34" s="2" t="str">
        <f>'Geometria Acero'!I97</f>
        <v>SÍ</v>
      </c>
      <c r="M34" s="60">
        <f>Volumenes!$H$41*'Geometria Acero'!$I$87</f>
        <v>82.88888889</v>
      </c>
      <c r="N34" s="61">
        <f>M34/Volumenes!$B$59</f>
        <v>0.3453703704</v>
      </c>
    </row>
    <row r="35" ht="15.0" customHeight="1">
      <c r="A35" s="70" t="s">
        <v>33</v>
      </c>
      <c r="B35" s="2" t="str">
        <f>TEXT('Geometria Acero'!J79,"0")&amp;" × "&amp;TEXT('Geometria Acero'!J80,"0")</f>
        <v>1500 × 3000</v>
      </c>
      <c r="C35" s="71">
        <f>'Geometria Acero'!J32</f>
        <v>4.75</v>
      </c>
      <c r="D35" s="61">
        <f>'Geometria Acero'!J84</f>
        <v>167.79375</v>
      </c>
      <c r="E35" s="60">
        <f>'Geometria Acero'!J85</f>
        <v>3</v>
      </c>
      <c r="F35" s="72">
        <f>'Geometria Acero'!J88</f>
        <v>0.7272</v>
      </c>
      <c r="G35" s="61">
        <f>'Geometria Acero'!J91</f>
        <v>1212</v>
      </c>
      <c r="H35" s="60">
        <f>'Geometria Acero'!J92</f>
        <v>1</v>
      </c>
      <c r="I35" s="61">
        <f>'Geometria Acero'!J93</f>
        <v>900</v>
      </c>
      <c r="J35" s="60">
        <f>'Geometria Acero'!J94</f>
        <v>4</v>
      </c>
      <c r="K35" s="60">
        <f>'Geometria Acero'!J96</f>
        <v>900</v>
      </c>
      <c r="L35" s="2" t="str">
        <f>'Geometria Acero'!J97</f>
        <v>SÍ</v>
      </c>
      <c r="M35" s="60">
        <f>Volumenes!$I$41*'Geometria Acero'!$J$87</f>
        <v>82.33333333</v>
      </c>
      <c r="N35" s="61">
        <f>M35/Volumenes!$B$59</f>
        <v>0.3430555556</v>
      </c>
    </row>
    <row r="36" ht="15.0" customHeight="1">
      <c r="A36" s="50" t="s">
        <v>1182</v>
      </c>
      <c r="B36" s="50"/>
      <c r="C36" s="50"/>
      <c r="D36" s="50"/>
      <c r="E36" s="50"/>
      <c r="F36" s="50"/>
      <c r="G36" s="50"/>
      <c r="H36" s="50"/>
      <c r="I36" s="50"/>
      <c r="J36" s="50"/>
      <c r="K36" s="67">
        <f>MAX(K29:K35)</f>
        <v>994</v>
      </c>
      <c r="L36" s="50"/>
      <c r="M36" s="67">
        <f t="shared" ref="M36:N36" si="4">SUM(M29:M35)</f>
        <v>6619.8</v>
      </c>
      <c r="N36" s="66">
        <f t="shared" si="4"/>
        <v>27.5825</v>
      </c>
    </row>
    <row r="37" ht="27.75" customHeight="1">
      <c r="A37" s="57" t="s">
        <v>1457</v>
      </c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0" customHeight="1">
      <c r="A39" s="58" t="s">
        <v>1459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ht="30.0" customHeight="1">
      <c r="A40" s="4" t="s">
        <v>1460</v>
      </c>
      <c r="B40" s="4" t="s">
        <v>1461</v>
      </c>
      <c r="C40" s="4" t="s">
        <v>1462</v>
      </c>
      <c r="D40" s="14" t="s">
        <v>1463</v>
      </c>
      <c r="E40" s="11"/>
      <c r="F40" s="11"/>
      <c r="G40" s="11"/>
      <c r="H40" s="11"/>
      <c r="I40" s="11"/>
      <c r="J40" s="12"/>
      <c r="K40" s="2"/>
      <c r="L40" s="2"/>
      <c r="M40" s="2"/>
      <c r="N40" s="2"/>
    </row>
    <row r="41" ht="15.0" customHeight="1">
      <c r="A41" s="70" t="s">
        <v>1465</v>
      </c>
      <c r="B41" s="59" t="s">
        <v>1466</v>
      </c>
      <c r="C41" s="68" t="s">
        <v>1467</v>
      </c>
      <c r="D41" s="75"/>
      <c r="K41" s="2"/>
      <c r="L41" s="2"/>
      <c r="M41" s="2"/>
      <c r="N41" s="2"/>
    </row>
    <row r="42" ht="15.0" customHeight="1">
      <c r="A42" s="70" t="s">
        <v>1468</v>
      </c>
      <c r="B42" s="59" t="s">
        <v>1469</v>
      </c>
      <c r="C42" s="68" t="s">
        <v>1467</v>
      </c>
      <c r="D42" s="75" t="s">
        <v>1471</v>
      </c>
      <c r="K42" s="2"/>
      <c r="L42" s="2"/>
      <c r="M42" s="2"/>
      <c r="N42" s="2"/>
    </row>
    <row r="43" ht="23.25" customHeight="1">
      <c r="A43" s="70" t="s">
        <v>1472</v>
      </c>
      <c r="B43" s="59" t="s">
        <v>1473</v>
      </c>
      <c r="C43" s="68" t="s">
        <v>1467</v>
      </c>
      <c r="D43" s="75" t="str">
        <f>"Cota máxima que piden los cortes: "&amp;TEXT(K36,"#,##0")&amp;" mm (sección B)."</f>
        <v>Cota máxima que piden los cortes: 994 mm (sección B).</v>
      </c>
      <c r="K43" s="2"/>
      <c r="L43" s="2"/>
      <c r="M43" s="2"/>
      <c r="N43" s="2"/>
    </row>
    <row r="44" ht="15.0" customHeight="1">
      <c r="A44" s="70" t="s">
        <v>1474</v>
      </c>
      <c r="B44" s="59" t="s">
        <v>1475</v>
      </c>
      <c r="C44" s="68" t="s">
        <v>1476</v>
      </c>
      <c r="D44" s="75" t="s">
        <v>1477</v>
      </c>
      <c r="K44" s="2"/>
      <c r="L44" s="2"/>
      <c r="M44" s="2"/>
      <c r="N44" s="2"/>
    </row>
    <row r="45" ht="15.0" customHeight="1">
      <c r="A45" s="70" t="s">
        <v>1478</v>
      </c>
      <c r="B45" s="59" t="s">
        <v>1479</v>
      </c>
      <c r="C45" s="68" t="s">
        <v>1480</v>
      </c>
      <c r="D45" s="75" t="s">
        <v>1481</v>
      </c>
      <c r="K45" s="2"/>
      <c r="L45" s="2"/>
      <c r="M45" s="2"/>
      <c r="N45" s="2"/>
    </row>
    <row r="46" ht="15.0" customHeight="1">
      <c r="A46" s="70" t="s">
        <v>1482</v>
      </c>
      <c r="B46" s="59" t="s">
        <v>1483</v>
      </c>
      <c r="C46" s="68" t="s">
        <v>1467</v>
      </c>
      <c r="D46" s="75" t="s">
        <v>1484</v>
      </c>
      <c r="K46" s="2"/>
      <c r="L46" s="2"/>
      <c r="M46" s="2"/>
      <c r="N46" s="2"/>
    </row>
    <row r="47" ht="15.0" customHeight="1">
      <c r="A47" s="70" t="s">
        <v>1485</v>
      </c>
      <c r="B47" s="59" t="s">
        <v>1486</v>
      </c>
      <c r="C47" s="68" t="s">
        <v>359</v>
      </c>
      <c r="D47" s="75" t="s">
        <v>1487</v>
      </c>
      <c r="K47" s="2"/>
      <c r="L47" s="2"/>
      <c r="M47" s="2"/>
      <c r="N47" s="2"/>
    </row>
    <row r="48" ht="15.0" customHeight="1">
      <c r="A48" s="68" t="s">
        <v>1488</v>
      </c>
      <c r="B48" s="69">
        <v>36800.0</v>
      </c>
      <c r="C48" s="2"/>
      <c r="D48" s="75" t="s">
        <v>1489</v>
      </c>
      <c r="K48" s="2"/>
      <c r="L48" s="2"/>
      <c r="M48" s="2"/>
      <c r="N48" s="2"/>
    </row>
    <row r="49" ht="15.0" customHeight="1">
      <c r="A49" s="68" t="s">
        <v>1490</v>
      </c>
      <c r="B49" s="76">
        <v>0.105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0" customHeight="1">
      <c r="A50" s="68" t="s">
        <v>1491</v>
      </c>
      <c r="B50" s="60">
        <f>B48*(1+B49)</f>
        <v>40664</v>
      </c>
      <c r="C50" s="2"/>
      <c r="D50" s="57" t="s">
        <v>1492</v>
      </c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0" customHeight="1">
      <c r="A52" s="58" t="s">
        <v>1493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ht="30.0" customHeight="1">
      <c r="A53" s="4" t="s">
        <v>1282</v>
      </c>
      <c r="B53" s="4" t="s">
        <v>1494</v>
      </c>
      <c r="C53" s="4" t="s">
        <v>1495</v>
      </c>
      <c r="D53" s="4" t="s">
        <v>1496</v>
      </c>
      <c r="E53" s="14" t="s">
        <v>643</v>
      </c>
      <c r="F53" s="11"/>
      <c r="G53" s="11"/>
      <c r="H53" s="11"/>
      <c r="I53" s="11"/>
      <c r="J53" s="12"/>
      <c r="K53" s="2"/>
      <c r="L53" s="2"/>
      <c r="M53" s="2"/>
      <c r="N53" s="2"/>
    </row>
    <row r="54" ht="23.25" customHeight="1">
      <c r="A54" s="59" t="s">
        <v>1497</v>
      </c>
      <c r="B54" s="69">
        <v>1.0</v>
      </c>
      <c r="C54" s="60">
        <f>B48</f>
        <v>36800</v>
      </c>
      <c r="D54" s="60">
        <f t="shared" ref="D54:D60" si="5">B54*C54</f>
        <v>36800</v>
      </c>
      <c r="E54" s="75" t="s">
        <v>1498</v>
      </c>
      <c r="K54" s="2"/>
      <c r="L54" s="2"/>
      <c r="M54" s="2"/>
      <c r="N54" s="2"/>
    </row>
    <row r="55" ht="23.25" customHeight="1">
      <c r="A55" s="59" t="s">
        <v>1499</v>
      </c>
      <c r="B55" s="69">
        <v>1.0</v>
      </c>
      <c r="C55" s="69">
        <v>20000.0</v>
      </c>
      <c r="D55" s="60">
        <f t="shared" si="5"/>
        <v>20000</v>
      </c>
      <c r="E55" s="75" t="s">
        <v>1500</v>
      </c>
      <c r="K55" s="2"/>
      <c r="L55" s="2"/>
      <c r="M55" s="2"/>
      <c r="N55" s="2"/>
    </row>
    <row r="56" ht="23.25" customHeight="1">
      <c r="A56" s="59" t="s">
        <v>1501</v>
      </c>
      <c r="B56" s="69">
        <v>1.0</v>
      </c>
      <c r="C56" s="69">
        <v>7000.0</v>
      </c>
      <c r="D56" s="60">
        <f t="shared" si="5"/>
        <v>7000</v>
      </c>
      <c r="E56" s="75" t="s">
        <v>1502</v>
      </c>
      <c r="K56" s="2"/>
      <c r="L56" s="2"/>
      <c r="M56" s="2"/>
      <c r="N56" s="2"/>
    </row>
    <row r="57" ht="23.25" customHeight="1">
      <c r="A57" s="59" t="s">
        <v>1503</v>
      </c>
      <c r="B57" s="69">
        <v>1.0</v>
      </c>
      <c r="C57" s="69">
        <v>1500.0</v>
      </c>
      <c r="D57" s="60">
        <f t="shared" si="5"/>
        <v>1500</v>
      </c>
      <c r="E57" s="75" t="s">
        <v>1504</v>
      </c>
      <c r="K57" s="2"/>
      <c r="L57" s="2"/>
      <c r="M57" s="2"/>
      <c r="N57" s="2"/>
    </row>
    <row r="58" ht="23.25" customHeight="1">
      <c r="A58" s="59" t="s">
        <v>1505</v>
      </c>
      <c r="B58" s="69">
        <v>1.0</v>
      </c>
      <c r="C58" s="69">
        <v>2000.0</v>
      </c>
      <c r="D58" s="60">
        <f t="shared" si="5"/>
        <v>2000</v>
      </c>
      <c r="E58" s="75" t="s">
        <v>104</v>
      </c>
      <c r="K58" s="2"/>
      <c r="L58" s="2"/>
      <c r="M58" s="2"/>
      <c r="N58" s="2"/>
    </row>
    <row r="59" ht="15.0" customHeight="1">
      <c r="A59" s="59" t="s">
        <v>1330</v>
      </c>
      <c r="B59" s="69">
        <v>1.0</v>
      </c>
      <c r="C59" s="69">
        <v>3000.0</v>
      </c>
      <c r="D59" s="60">
        <f t="shared" si="5"/>
        <v>3000</v>
      </c>
      <c r="E59" s="75" t="s">
        <v>104</v>
      </c>
      <c r="K59" s="2"/>
      <c r="L59" s="2"/>
      <c r="M59" s="2"/>
      <c r="N59" s="2"/>
    </row>
    <row r="60" ht="34.5" customHeight="1">
      <c r="A60" s="59" t="s">
        <v>1506</v>
      </c>
      <c r="B60" s="69">
        <v>1.0</v>
      </c>
      <c r="C60" s="69">
        <v>12000.0</v>
      </c>
      <c r="D60" s="60">
        <f t="shared" si="5"/>
        <v>12000</v>
      </c>
      <c r="E60" s="75" t="s">
        <v>1507</v>
      </c>
      <c r="K60" s="2"/>
      <c r="L60" s="2"/>
      <c r="M60" s="2"/>
      <c r="N60" s="2"/>
    </row>
    <row r="61" ht="15.0" customHeight="1">
      <c r="A61" s="50" t="s">
        <v>1508</v>
      </c>
      <c r="B61" s="50"/>
      <c r="C61" s="50"/>
      <c r="D61" s="67">
        <f>SUM(D54:D60)</f>
        <v>82300</v>
      </c>
      <c r="E61" s="50"/>
      <c r="F61" s="50"/>
      <c r="G61" s="50"/>
      <c r="H61" s="50"/>
      <c r="I61" s="50"/>
      <c r="J61" s="50"/>
      <c r="K61" s="2"/>
      <c r="L61" s="2"/>
      <c r="M61" s="2"/>
      <c r="N61" s="2"/>
    </row>
    <row r="62" ht="15.0" customHeight="1">
      <c r="A62" s="57" t="s">
        <v>1509</v>
      </c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0" customHeight="1">
      <c r="A64" s="58" t="s">
        <v>1510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</row>
    <row r="65" ht="15.0" customHeight="1">
      <c r="A65" s="68" t="s">
        <v>1511</v>
      </c>
      <c r="B65" s="2"/>
      <c r="C65" s="69">
        <v>25.0</v>
      </c>
      <c r="D65" s="57" t="s">
        <v>1512</v>
      </c>
      <c r="K65" s="2"/>
      <c r="L65" s="2"/>
      <c r="M65" s="2"/>
      <c r="N65" s="2"/>
    </row>
    <row r="66" ht="30.0" customHeight="1">
      <c r="A66" s="4" t="s">
        <v>1416</v>
      </c>
      <c r="B66" s="4" t="s">
        <v>1513</v>
      </c>
      <c r="C66" s="4" t="s">
        <v>1514</v>
      </c>
      <c r="D66" s="4" t="s">
        <v>1515</v>
      </c>
      <c r="E66" s="4" t="s">
        <v>1516</v>
      </c>
      <c r="F66" s="14" t="s">
        <v>1517</v>
      </c>
      <c r="G66" s="11"/>
      <c r="H66" s="11"/>
      <c r="I66" s="11"/>
      <c r="J66" s="12"/>
      <c r="K66" s="2"/>
      <c r="L66" s="2"/>
      <c r="M66" s="2"/>
      <c r="N66" s="2"/>
    </row>
    <row r="67" ht="15.0" customHeight="1">
      <c r="A67" s="70" t="s">
        <v>25</v>
      </c>
      <c r="B67" s="59" t="str">
        <f t="shared" ref="B67:B73" si="6">IF(C67&lt;=$C$65,"1 operario, deslizando desde la mesa elevadora",IF(C67&lt;=2*$C$65,"2 operarios, deslizando sobre la mesa de bolas","Solo deslizar sobre la mesa de bolas, entre dos; nunca levantar"))</f>
        <v>2 operarios, deslizando sobre la mesa de bolas</v>
      </c>
      <c r="C67" s="61">
        <f>'Geometria Acero'!D84</f>
        <v>29.20985</v>
      </c>
      <c r="D67" s="61">
        <f>'Geometria Acero'!D95</f>
        <v>9.22983375</v>
      </c>
      <c r="E67" s="61">
        <f>'Geometria Acero'!D36</f>
        <v>1.019442703</v>
      </c>
      <c r="F67" s="59" t="str">
        <f t="shared" ref="F67:F73" si="7">IF(E67&lt;=$C$65,"1 operario → carro porta-desarrollos",IF(E67&lt;=2*$C$65,"2 operarios o manipulador → carro a la altura de la roladora","Manipulador o ventosa → carro"))</f>
        <v>1 operario → carro porta-desarrollos</v>
      </c>
      <c r="K67" s="2"/>
      <c r="L67" s="2"/>
      <c r="M67" s="2"/>
      <c r="N67" s="2"/>
    </row>
    <row r="68" ht="15.0" customHeight="1">
      <c r="A68" s="70" t="s">
        <v>26</v>
      </c>
      <c r="B68" s="59" t="str">
        <f t="shared" si="6"/>
        <v>2 operarios, deslizando sobre la mesa de bolas</v>
      </c>
      <c r="C68" s="61">
        <f>'Geometria Acero'!E84</f>
        <v>25.12</v>
      </c>
      <c r="D68" s="61">
        <f>'Geometria Acero'!E95</f>
        <v>8.2896</v>
      </c>
      <c r="E68" s="61">
        <f>'Geometria Acero'!E36</f>
        <v>1.9667076</v>
      </c>
      <c r="F68" s="59" t="str">
        <f t="shared" si="7"/>
        <v>1 operario → carro porta-desarrollos</v>
      </c>
      <c r="K68" s="2"/>
      <c r="L68" s="2"/>
      <c r="M68" s="2"/>
      <c r="N68" s="2"/>
    </row>
    <row r="69" ht="23.25" customHeight="1">
      <c r="A69" s="70" t="s">
        <v>27</v>
      </c>
      <c r="B69" s="59" t="str">
        <f t="shared" si="6"/>
        <v>Solo deslizar sobre la mesa de bolas, entre dos; nunca levantar</v>
      </c>
      <c r="C69" s="61">
        <f>'Geometria Acero'!F84</f>
        <v>70.65</v>
      </c>
      <c r="D69" s="61">
        <f>'Geometria Acero'!F95</f>
        <v>23.3145</v>
      </c>
      <c r="E69" s="61">
        <f>'Geometria Acero'!F36</f>
        <v>4.3753545</v>
      </c>
      <c r="F69" s="59" t="str">
        <f t="shared" si="7"/>
        <v>1 operario → carro porta-desarrollos</v>
      </c>
      <c r="K69" s="2"/>
      <c r="L69" s="2"/>
      <c r="M69" s="2"/>
      <c r="N69" s="2"/>
    </row>
    <row r="70" ht="23.25" customHeight="1">
      <c r="A70" s="70" t="s">
        <v>28</v>
      </c>
      <c r="B70" s="59" t="str">
        <f t="shared" si="6"/>
        <v>Solo deslizar sobre la mesa de bolas, entre dos; nunca levantar</v>
      </c>
      <c r="C70" s="61">
        <f>'Geometria Acero'!G84</f>
        <v>113.04</v>
      </c>
      <c r="D70" s="61">
        <f>'Geometria Acero'!G95</f>
        <v>36.9264</v>
      </c>
      <c r="E70" s="61">
        <f>'Geometria Acero'!G36</f>
        <v>10.5609504</v>
      </c>
      <c r="F70" s="59" t="str">
        <f t="shared" si="7"/>
        <v>1 operario → carro porta-desarrollos</v>
      </c>
      <c r="K70" s="2"/>
      <c r="L70" s="2"/>
      <c r="M70" s="2"/>
      <c r="N70" s="2"/>
    </row>
    <row r="71" ht="23.25" customHeight="1">
      <c r="A71" s="70" t="s">
        <v>29</v>
      </c>
      <c r="B71" s="59" t="str">
        <f t="shared" si="6"/>
        <v>Solo deslizar sobre la mesa de bolas, entre dos; nunca levantar</v>
      </c>
      <c r="C71" s="61">
        <f>'Geometria Acero'!H84</f>
        <v>113.04</v>
      </c>
      <c r="D71" s="61">
        <f>'Geometria Acero'!H95</f>
        <v>48.2304</v>
      </c>
      <c r="E71" s="61">
        <f>'Geometria Acero'!H36</f>
        <v>15.9803392</v>
      </c>
      <c r="F71" s="59" t="str">
        <f t="shared" si="7"/>
        <v>1 operario → carro porta-desarrollos</v>
      </c>
      <c r="K71" s="2"/>
      <c r="L71" s="2"/>
      <c r="M71" s="2"/>
      <c r="N71" s="2"/>
    </row>
    <row r="72" ht="23.25" customHeight="1">
      <c r="A72" s="70" t="s">
        <v>1437</v>
      </c>
      <c r="B72" s="59" t="str">
        <f t="shared" si="6"/>
        <v>Solo deslizar sobre la mesa de bolas, entre dos; nunca levantar</v>
      </c>
      <c r="C72" s="61">
        <f>'Geometria Acero'!I84</f>
        <v>167.79375</v>
      </c>
      <c r="D72" s="61">
        <f>'Geometria Acero'!I95</f>
        <v>135.57735</v>
      </c>
      <c r="E72" s="61">
        <f>'Geometria Acero'!I36</f>
        <v>30.730866</v>
      </c>
      <c r="F72" s="59" t="str">
        <f t="shared" si="7"/>
        <v>2 operarios o manipulador → carro a la altura de la roladora</v>
      </c>
      <c r="K72" s="2"/>
      <c r="L72" s="2"/>
      <c r="M72" s="2"/>
      <c r="N72" s="2"/>
    </row>
    <row r="73" ht="23.25" customHeight="1">
      <c r="A73" s="70" t="s">
        <v>33</v>
      </c>
      <c r="B73" s="59" t="str">
        <f t="shared" si="6"/>
        <v>Solo deslizar sobre la mesa de bolas, entre dos; nunca levantar</v>
      </c>
      <c r="C73" s="61">
        <f>'Geometria Acero'!J84</f>
        <v>167.79375</v>
      </c>
      <c r="D73" s="61">
        <f>'Geometria Acero'!J95</f>
        <v>135.57735</v>
      </c>
      <c r="E73" s="61">
        <f>'Geometria Acero'!J36</f>
        <v>40.673205</v>
      </c>
      <c r="F73" s="59" t="str">
        <f t="shared" si="7"/>
        <v>2 operarios o manipulador → carro a la altura de la roladora</v>
      </c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0" customHeight="1">
      <c r="A75" s="58" t="s">
        <v>1518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</row>
    <row r="76" ht="15.0" customHeight="1">
      <c r="A76" s="4" t="s">
        <v>1519</v>
      </c>
      <c r="B76" s="14" t="s">
        <v>1520</v>
      </c>
      <c r="C76" s="11"/>
      <c r="D76" s="11"/>
      <c r="E76" s="11"/>
      <c r="F76" s="11"/>
      <c r="G76" s="11"/>
      <c r="H76" s="11"/>
      <c r="I76" s="11"/>
      <c r="J76" s="12"/>
      <c r="K76" s="2"/>
      <c r="L76" s="2"/>
      <c r="M76" s="2"/>
      <c r="N76" s="2"/>
    </row>
    <row r="77" ht="27.75" customHeight="1">
      <c r="A77" s="77">
        <v>1.0</v>
      </c>
      <c r="B77" s="75" t="s">
        <v>1521</v>
      </c>
      <c r="K77" s="2"/>
      <c r="L77" s="2"/>
      <c r="M77" s="2"/>
      <c r="N77" s="2"/>
    </row>
    <row r="78" ht="27.75" customHeight="1">
      <c r="A78" s="77">
        <v>2.0</v>
      </c>
      <c r="B78" s="75" t="s">
        <v>1522</v>
      </c>
      <c r="K78" s="2"/>
      <c r="L78" s="2"/>
      <c r="M78" s="2"/>
      <c r="N78" s="2"/>
    </row>
    <row r="79" ht="27.75" customHeight="1">
      <c r="A79" s="77">
        <v>3.0</v>
      </c>
      <c r="B79" s="75" t="s">
        <v>1523</v>
      </c>
      <c r="K79" s="2"/>
      <c r="L79" s="2"/>
      <c r="M79" s="2"/>
      <c r="N79" s="2"/>
    </row>
    <row r="80" ht="27.75" customHeight="1">
      <c r="A80" s="77">
        <v>4.0</v>
      </c>
      <c r="B80" s="75" t="s">
        <v>1524</v>
      </c>
      <c r="K80" s="2"/>
      <c r="L80" s="2"/>
      <c r="M80" s="2"/>
      <c r="N80" s="2"/>
    </row>
    <row r="81" ht="27.75" customHeight="1">
      <c r="A81" s="77">
        <v>5.0</v>
      </c>
      <c r="B81" s="75" t="s">
        <v>1525</v>
      </c>
      <c r="K81" s="2"/>
      <c r="L81" s="2"/>
      <c r="M81" s="2"/>
      <c r="N81" s="2"/>
    </row>
    <row r="82" ht="27.75" customHeight="1">
      <c r="A82" s="77">
        <v>6.0</v>
      </c>
      <c r="B82" s="75" t="s">
        <v>1526</v>
      </c>
      <c r="K82" s="2"/>
      <c r="L82" s="2"/>
      <c r="M82" s="2"/>
      <c r="N82" s="2"/>
    </row>
    <row r="83" ht="27.75" customHeight="1">
      <c r="A83" s="77">
        <v>7.0</v>
      </c>
      <c r="B83" s="75" t="s">
        <v>1527</v>
      </c>
      <c r="K83" s="2"/>
      <c r="L83" s="2"/>
      <c r="M83" s="2"/>
      <c r="N83" s="2"/>
    </row>
    <row r="84" ht="27.75" customHeight="1">
      <c r="A84" s="77">
        <v>8.0</v>
      </c>
      <c r="B84" s="75" t="s">
        <v>1528</v>
      </c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39">
    <mergeCell ref="A2:N2"/>
    <mergeCell ref="A37:N37"/>
    <mergeCell ref="D40:J40"/>
    <mergeCell ref="D41:J41"/>
    <mergeCell ref="D42:J42"/>
    <mergeCell ref="D43:J43"/>
    <mergeCell ref="D44:J44"/>
    <mergeCell ref="D45:J45"/>
    <mergeCell ref="D46:J46"/>
    <mergeCell ref="D47:J47"/>
    <mergeCell ref="D48:J48"/>
    <mergeCell ref="D50:J50"/>
    <mergeCell ref="E53:J53"/>
    <mergeCell ref="E54:J54"/>
    <mergeCell ref="E55:J55"/>
    <mergeCell ref="E56:J56"/>
    <mergeCell ref="E57:J57"/>
    <mergeCell ref="E58:J58"/>
    <mergeCell ref="E59:J59"/>
    <mergeCell ref="E60:J60"/>
    <mergeCell ref="A62:J62"/>
    <mergeCell ref="D65:J65"/>
    <mergeCell ref="F66:J66"/>
    <mergeCell ref="F67:J67"/>
    <mergeCell ref="F68:J68"/>
    <mergeCell ref="F69:J69"/>
    <mergeCell ref="F70:J70"/>
    <mergeCell ref="F71:J71"/>
    <mergeCell ref="B81:J81"/>
    <mergeCell ref="B82:J82"/>
    <mergeCell ref="B83:J83"/>
    <mergeCell ref="B84:J84"/>
    <mergeCell ref="F72:J72"/>
    <mergeCell ref="F73:J73"/>
    <mergeCell ref="B76:J76"/>
    <mergeCell ref="B77:J77"/>
    <mergeCell ref="B78:J78"/>
    <mergeCell ref="B79:J79"/>
    <mergeCell ref="B80:J80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5.0"/>
    <col customWidth="1" min="2" max="2" width="24.0"/>
    <col customWidth="1" min="3" max="3" width="60.0"/>
    <col customWidth="1" min="4" max="5" width="26.0"/>
    <col customWidth="1" min="6" max="6" width="34.0"/>
    <col customWidth="1" min="7" max="7" width="9.0"/>
  </cols>
  <sheetData>
    <row r="1" ht="19.5" customHeight="1">
      <c r="A1" s="3" t="s">
        <v>1529</v>
      </c>
      <c r="B1" s="5"/>
      <c r="C1" s="5"/>
      <c r="D1" s="5"/>
      <c r="E1" s="5"/>
      <c r="F1" s="5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7" t="s">
        <v>1530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4" t="s">
        <v>1531</v>
      </c>
      <c r="B4" s="4" t="s">
        <v>1532</v>
      </c>
      <c r="C4" s="4" t="s">
        <v>1533</v>
      </c>
      <c r="D4" s="4" t="s">
        <v>1534</v>
      </c>
      <c r="E4" s="4" t="s">
        <v>1535</v>
      </c>
      <c r="F4" s="4" t="s">
        <v>1536</v>
      </c>
      <c r="G4" s="4" t="s">
        <v>1537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1.5" customHeight="1">
      <c r="A5" s="19">
        <v>1.0</v>
      </c>
      <c r="B5" s="44" t="s">
        <v>1538</v>
      </c>
      <c r="C5" s="44" t="s">
        <v>1539</v>
      </c>
      <c r="D5" s="44" t="s">
        <v>1540</v>
      </c>
      <c r="E5" s="44" t="s">
        <v>1541</v>
      </c>
      <c r="F5" s="44" t="s">
        <v>1542</v>
      </c>
      <c r="G5" s="28" t="s">
        <v>85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1.5" customHeight="1">
      <c r="A6" s="19">
        <v>2.0</v>
      </c>
      <c r="B6" s="44" t="s">
        <v>1543</v>
      </c>
      <c r="C6" s="44" t="s">
        <v>1544</v>
      </c>
      <c r="D6" s="44" t="s">
        <v>1545</v>
      </c>
      <c r="E6" s="44" t="s">
        <v>1546</v>
      </c>
      <c r="F6" s="44" t="s">
        <v>1547</v>
      </c>
      <c r="G6" s="28" t="s">
        <v>85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1.5" customHeight="1">
      <c r="A7" s="19">
        <v>3.0</v>
      </c>
      <c r="B7" s="44" t="s">
        <v>1548</v>
      </c>
      <c r="C7" s="44" t="s">
        <v>1549</v>
      </c>
      <c r="D7" s="44" t="s">
        <v>1550</v>
      </c>
      <c r="E7" s="44" t="s">
        <v>249</v>
      </c>
      <c r="F7" s="44" t="s">
        <v>1551</v>
      </c>
      <c r="G7" s="24" t="s">
        <v>1552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1.5" customHeight="1">
      <c r="A8" s="19">
        <v>4.0</v>
      </c>
      <c r="B8" s="44" t="s">
        <v>1553</v>
      </c>
      <c r="C8" s="44" t="s">
        <v>1554</v>
      </c>
      <c r="D8" s="44" t="s">
        <v>1555</v>
      </c>
      <c r="E8" s="44" t="s">
        <v>1556</v>
      </c>
      <c r="F8" s="44" t="s">
        <v>1557</v>
      </c>
      <c r="G8" s="24" t="s">
        <v>1552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1.5" customHeight="1">
      <c r="A9" s="19">
        <v>5.0</v>
      </c>
      <c r="B9" s="44" t="s">
        <v>1558</v>
      </c>
      <c r="C9" s="44" t="s">
        <v>1559</v>
      </c>
      <c r="D9" s="44" t="s">
        <v>1560</v>
      </c>
      <c r="E9" s="44" t="s">
        <v>1561</v>
      </c>
      <c r="F9" s="44" t="s">
        <v>1562</v>
      </c>
      <c r="G9" s="24" t="s">
        <v>1552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1.5" customHeight="1">
      <c r="A10" s="19">
        <v>6.0</v>
      </c>
      <c r="B10" s="44" t="s">
        <v>1563</v>
      </c>
      <c r="C10" s="44" t="s">
        <v>1564</v>
      </c>
      <c r="D10" s="44" t="s">
        <v>1389</v>
      </c>
      <c r="E10" s="44" t="s">
        <v>1565</v>
      </c>
      <c r="F10" s="44" t="s">
        <v>1566</v>
      </c>
      <c r="G10" s="24" t="s">
        <v>1552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1.5" customHeight="1">
      <c r="A11" s="19">
        <v>7.0</v>
      </c>
      <c r="B11" s="44" t="s">
        <v>1567</v>
      </c>
      <c r="C11" s="44" t="s">
        <v>1568</v>
      </c>
      <c r="D11" s="44" t="s">
        <v>1569</v>
      </c>
      <c r="E11" s="44" t="s">
        <v>1570</v>
      </c>
      <c r="F11" s="44" t="s">
        <v>1571</v>
      </c>
      <c r="G11" s="24" t="s">
        <v>1552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1.5" customHeight="1">
      <c r="A12" s="19">
        <v>8.0</v>
      </c>
      <c r="B12" s="44" t="s">
        <v>1572</v>
      </c>
      <c r="C12" s="44" t="s">
        <v>1573</v>
      </c>
      <c r="D12" s="44" t="s">
        <v>1574</v>
      </c>
      <c r="E12" s="44" t="s">
        <v>1575</v>
      </c>
      <c r="F12" s="44" t="s">
        <v>1576</v>
      </c>
      <c r="G12" s="28" t="s">
        <v>85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1.5" customHeight="1">
      <c r="A13" s="19">
        <v>9.0</v>
      </c>
      <c r="B13" s="44" t="s">
        <v>1577</v>
      </c>
      <c r="C13" s="44" t="s">
        <v>1578</v>
      </c>
      <c r="D13" s="44" t="s">
        <v>1579</v>
      </c>
      <c r="E13" s="44" t="s">
        <v>1580</v>
      </c>
      <c r="F13" s="44" t="s">
        <v>1581</v>
      </c>
      <c r="G13" s="24" t="s">
        <v>1552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1.5" customHeight="1">
      <c r="A14" s="19">
        <v>10.0</v>
      </c>
      <c r="B14" s="44" t="s">
        <v>1582</v>
      </c>
      <c r="C14" s="44" t="s">
        <v>1583</v>
      </c>
      <c r="D14" s="44" t="s">
        <v>1584</v>
      </c>
      <c r="E14" s="44" t="s">
        <v>1585</v>
      </c>
      <c r="F14" s="44" t="s">
        <v>1586</v>
      </c>
      <c r="G14" s="24" t="s">
        <v>1587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1.5" customHeight="1">
      <c r="A15" s="19">
        <v>11.0</v>
      </c>
      <c r="B15" s="44" t="s">
        <v>1588</v>
      </c>
      <c r="C15" s="44" t="s">
        <v>1589</v>
      </c>
      <c r="D15" s="44" t="s">
        <v>1590</v>
      </c>
      <c r="E15" s="44" t="s">
        <v>1591</v>
      </c>
      <c r="F15" s="44" t="s">
        <v>1592</v>
      </c>
      <c r="G15" s="24" t="s">
        <v>1552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1.5" customHeight="1">
      <c r="A16" s="19">
        <v>12.0</v>
      </c>
      <c r="B16" s="44" t="s">
        <v>77</v>
      </c>
      <c r="C16" s="44" t="s">
        <v>1593</v>
      </c>
      <c r="D16" s="44" t="s">
        <v>1594</v>
      </c>
      <c r="E16" s="44" t="s">
        <v>1595</v>
      </c>
      <c r="F16" s="44" t="s">
        <v>1596</v>
      </c>
      <c r="G16" s="24" t="s">
        <v>1552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1.5" customHeight="1">
      <c r="A17" s="19">
        <v>13.0</v>
      </c>
      <c r="B17" s="44" t="s">
        <v>1597</v>
      </c>
      <c r="C17" s="44" t="s">
        <v>1598</v>
      </c>
      <c r="D17" s="44" t="s">
        <v>1599</v>
      </c>
      <c r="E17" s="44" t="s">
        <v>1600</v>
      </c>
      <c r="F17" s="44" t="s">
        <v>1601</v>
      </c>
      <c r="G17" s="24" t="s">
        <v>1552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1.5" customHeight="1">
      <c r="A18" s="19">
        <v>14.0</v>
      </c>
      <c r="B18" s="44" t="s">
        <v>1602</v>
      </c>
      <c r="C18" s="44" t="s">
        <v>1603</v>
      </c>
      <c r="D18" s="44" t="s">
        <v>1604</v>
      </c>
      <c r="E18" s="44" t="s">
        <v>359</v>
      </c>
      <c r="F18" s="44" t="s">
        <v>1605</v>
      </c>
      <c r="G18" s="24" t="s">
        <v>1587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1.5" customHeight="1">
      <c r="A19" s="19">
        <v>15.0</v>
      </c>
      <c r="B19" s="44" t="s">
        <v>1606</v>
      </c>
      <c r="C19" s="44" t="s">
        <v>1607</v>
      </c>
      <c r="D19" s="44" t="s">
        <v>1608</v>
      </c>
      <c r="E19" s="44" t="s">
        <v>1609</v>
      </c>
      <c r="F19" s="44" t="s">
        <v>1610</v>
      </c>
      <c r="G19" s="28" t="s">
        <v>85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1.5" customHeight="1">
      <c r="A20" s="19">
        <v>16.0</v>
      </c>
      <c r="B20" s="44" t="s">
        <v>1611</v>
      </c>
      <c r="C20" s="44" t="s">
        <v>1612</v>
      </c>
      <c r="D20" s="44" t="s">
        <v>1613</v>
      </c>
      <c r="E20" s="44" t="s">
        <v>1614</v>
      </c>
      <c r="F20" s="44" t="s">
        <v>1615</v>
      </c>
      <c r="G20" s="28" t="s">
        <v>85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1.5" customHeight="1">
      <c r="A21" s="19">
        <v>17.0</v>
      </c>
      <c r="B21" s="44" t="s">
        <v>1616</v>
      </c>
      <c r="C21" s="44" t="s">
        <v>1617</v>
      </c>
      <c r="D21" s="44" t="s">
        <v>1613</v>
      </c>
      <c r="E21" s="44" t="s">
        <v>1618</v>
      </c>
      <c r="F21" s="44" t="s">
        <v>1619</v>
      </c>
      <c r="G21" s="24" t="s">
        <v>1587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1.5" customHeight="1">
      <c r="A22" s="19">
        <v>18.0</v>
      </c>
      <c r="B22" s="44" t="s">
        <v>1620</v>
      </c>
      <c r="C22" s="44" t="s">
        <v>1621</v>
      </c>
      <c r="D22" s="44" t="s">
        <v>1622</v>
      </c>
      <c r="E22" s="44" t="s">
        <v>1623</v>
      </c>
      <c r="F22" s="44" t="s">
        <v>1624</v>
      </c>
      <c r="G22" s="28" t="s">
        <v>85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1.5" customHeight="1">
      <c r="A23" s="19">
        <v>19.0</v>
      </c>
      <c r="B23" s="44" t="s">
        <v>1625</v>
      </c>
      <c r="C23" s="44" t="s">
        <v>1626</v>
      </c>
      <c r="D23" s="44" t="s">
        <v>1627</v>
      </c>
      <c r="E23" s="44" t="s">
        <v>1628</v>
      </c>
      <c r="F23" s="44" t="s">
        <v>1629</v>
      </c>
      <c r="G23" s="24" t="s">
        <v>1552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1.5" customHeight="1">
      <c r="A24" s="19">
        <v>20.0</v>
      </c>
      <c r="B24" s="44" t="s">
        <v>1630</v>
      </c>
      <c r="C24" s="44" t="s">
        <v>1631</v>
      </c>
      <c r="D24" s="44" t="s">
        <v>1632</v>
      </c>
      <c r="E24" s="44" t="s">
        <v>1633</v>
      </c>
      <c r="F24" s="44" t="s">
        <v>1634</v>
      </c>
      <c r="G24" s="24" t="s">
        <v>1552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1.5" customHeight="1">
      <c r="A25" s="19">
        <v>21.0</v>
      </c>
      <c r="B25" s="44" t="s">
        <v>1635</v>
      </c>
      <c r="C25" s="44" t="s">
        <v>1636</v>
      </c>
      <c r="D25" s="44" t="s">
        <v>1590</v>
      </c>
      <c r="E25" s="44" t="s">
        <v>1637</v>
      </c>
      <c r="F25" s="44" t="s">
        <v>1638</v>
      </c>
      <c r="G25" s="24" t="s">
        <v>1587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1.5" customHeight="1">
      <c r="A26" s="19">
        <v>22.0</v>
      </c>
      <c r="B26" s="44" t="s">
        <v>1639</v>
      </c>
      <c r="C26" s="44" t="s">
        <v>1640</v>
      </c>
      <c r="D26" s="44" t="s">
        <v>1641</v>
      </c>
      <c r="E26" s="44" t="s">
        <v>1642</v>
      </c>
      <c r="F26" s="44" t="s">
        <v>1643</v>
      </c>
      <c r="G26" s="24" t="s">
        <v>1552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1.5" customHeight="1">
      <c r="A27" s="19">
        <v>23.0</v>
      </c>
      <c r="B27" s="44" t="s">
        <v>1644</v>
      </c>
      <c r="C27" s="44" t="s">
        <v>1645</v>
      </c>
      <c r="D27" s="44" t="s">
        <v>1646</v>
      </c>
      <c r="E27" s="44" t="s">
        <v>1647</v>
      </c>
      <c r="F27" s="44" t="s">
        <v>1648</v>
      </c>
      <c r="G27" s="24" t="s">
        <v>1552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1.5" customHeight="1">
      <c r="A28" s="19">
        <v>24.0</v>
      </c>
      <c r="B28" s="44" t="s">
        <v>1649</v>
      </c>
      <c r="C28" s="44" t="s">
        <v>1650</v>
      </c>
      <c r="D28" s="44" t="s">
        <v>1651</v>
      </c>
      <c r="E28" s="44" t="s">
        <v>1652</v>
      </c>
      <c r="F28" s="44" t="s">
        <v>1653</v>
      </c>
      <c r="G28" s="24" t="s">
        <v>1587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1.5" customHeight="1">
      <c r="A29" s="19">
        <v>25.0</v>
      </c>
      <c r="B29" s="44" t="s">
        <v>1654</v>
      </c>
      <c r="C29" s="44" t="s">
        <v>1655</v>
      </c>
      <c r="D29" s="44" t="s">
        <v>1651</v>
      </c>
      <c r="E29" s="44" t="s">
        <v>1656</v>
      </c>
      <c r="F29" s="44" t="s">
        <v>1657</v>
      </c>
      <c r="G29" s="24" t="s">
        <v>1552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1.5" customHeight="1">
      <c r="A30" s="19">
        <v>26.0</v>
      </c>
      <c r="B30" s="44" t="s">
        <v>1658</v>
      </c>
      <c r="C30" s="44" t="s">
        <v>1659</v>
      </c>
      <c r="D30" s="44" t="s">
        <v>1660</v>
      </c>
      <c r="E30" s="44" t="s">
        <v>1661</v>
      </c>
      <c r="F30" s="44" t="s">
        <v>1662</v>
      </c>
      <c r="G30" s="28" t="s">
        <v>85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1.5" customHeight="1">
      <c r="A31" s="19">
        <v>27.0</v>
      </c>
      <c r="B31" s="44" t="s">
        <v>1663</v>
      </c>
      <c r="C31" s="44" t="s">
        <v>1664</v>
      </c>
      <c r="D31" s="44" t="s">
        <v>1665</v>
      </c>
      <c r="E31" s="44" t="s">
        <v>1666</v>
      </c>
      <c r="F31" s="44" t="s">
        <v>1667</v>
      </c>
      <c r="G31" s="24" t="s">
        <v>1587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1.5" customHeight="1">
      <c r="A32" s="19">
        <v>28.0</v>
      </c>
      <c r="B32" s="44" t="s">
        <v>1668</v>
      </c>
      <c r="C32" s="44" t="s">
        <v>1669</v>
      </c>
      <c r="D32" s="44" t="s">
        <v>1670</v>
      </c>
      <c r="E32" s="44" t="s">
        <v>1671</v>
      </c>
      <c r="F32" s="44" t="s">
        <v>1672</v>
      </c>
      <c r="G32" s="24" t="s">
        <v>85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1.5" customHeight="1">
      <c r="A33" s="19">
        <v>29.0</v>
      </c>
      <c r="B33" s="44" t="s">
        <v>1673</v>
      </c>
      <c r="C33" s="44" t="s">
        <v>1674</v>
      </c>
      <c r="D33" s="44" t="s">
        <v>1675</v>
      </c>
      <c r="E33" s="44" t="s">
        <v>1676</v>
      </c>
      <c r="F33" s="44" t="s">
        <v>1677</v>
      </c>
      <c r="G33" s="24" t="s">
        <v>1552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1.5" customHeight="1">
      <c r="A34" s="19">
        <v>30.0</v>
      </c>
      <c r="B34" s="44" t="s">
        <v>1678</v>
      </c>
      <c r="C34" s="44" t="s">
        <v>1679</v>
      </c>
      <c r="D34" s="44" t="s">
        <v>1680</v>
      </c>
      <c r="E34" s="44" t="s">
        <v>1681</v>
      </c>
      <c r="F34" s="44" t="s">
        <v>1682</v>
      </c>
      <c r="G34" s="28" t="s">
        <v>85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1.5" customHeight="1">
      <c r="A35" s="19">
        <v>31.0</v>
      </c>
      <c r="B35" s="44" t="s">
        <v>1683</v>
      </c>
      <c r="C35" s="44" t="s">
        <v>1684</v>
      </c>
      <c r="D35" s="44" t="s">
        <v>1680</v>
      </c>
      <c r="E35" s="44" t="s">
        <v>1685</v>
      </c>
      <c r="F35" s="44" t="s">
        <v>1686</v>
      </c>
      <c r="G35" s="28" t="s">
        <v>85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1.5" customHeight="1">
      <c r="A36" s="19">
        <v>32.0</v>
      </c>
      <c r="B36" s="44" t="s">
        <v>1687</v>
      </c>
      <c r="C36" s="44" t="s">
        <v>1688</v>
      </c>
      <c r="D36" s="44" t="s">
        <v>359</v>
      </c>
      <c r="E36" s="44" t="s">
        <v>1689</v>
      </c>
      <c r="F36" s="44" t="s">
        <v>1690</v>
      </c>
      <c r="G36" s="24" t="s">
        <v>1587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1.5" customHeight="1">
      <c r="A37" s="19">
        <v>33.0</v>
      </c>
      <c r="B37" s="44" t="s">
        <v>1691</v>
      </c>
      <c r="C37" s="44" t="s">
        <v>1692</v>
      </c>
      <c r="D37" s="44" t="s">
        <v>1693</v>
      </c>
      <c r="E37" s="44" t="s">
        <v>1694</v>
      </c>
      <c r="F37" s="44" t="s">
        <v>1695</v>
      </c>
      <c r="G37" s="24" t="s">
        <v>1587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1.5" customHeight="1">
      <c r="A38" s="19">
        <v>34.0</v>
      </c>
      <c r="B38" s="44" t="s">
        <v>1696</v>
      </c>
      <c r="C38" s="44" t="s">
        <v>1697</v>
      </c>
      <c r="D38" s="44" t="s">
        <v>359</v>
      </c>
      <c r="E38" s="44" t="s">
        <v>1698</v>
      </c>
      <c r="F38" s="44" t="s">
        <v>1699</v>
      </c>
      <c r="G38" s="24" t="s">
        <v>1587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9">
        <v>35.0</v>
      </c>
      <c r="B39" s="44" t="s">
        <v>1700</v>
      </c>
      <c r="C39" s="44" t="s">
        <v>1701</v>
      </c>
      <c r="D39" s="44" t="s">
        <v>1702</v>
      </c>
      <c r="E39" s="44" t="s">
        <v>1703</v>
      </c>
      <c r="F39" s="44" t="s">
        <v>1704</v>
      </c>
      <c r="G39" s="24" t="s">
        <v>1587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9">
        <v>36.0</v>
      </c>
      <c r="B40" s="44" t="s">
        <v>1705</v>
      </c>
      <c r="C40" s="44" t="s">
        <v>1706</v>
      </c>
      <c r="D40" s="44" t="s">
        <v>1707</v>
      </c>
      <c r="E40" s="44" t="s">
        <v>1708</v>
      </c>
      <c r="F40" s="44" t="s">
        <v>1709</v>
      </c>
      <c r="G40" s="24" t="s">
        <v>1552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2.0"/>
    <col customWidth="1" min="3" max="3" width="62.0"/>
    <col customWidth="1" min="4" max="4" width="70.0"/>
    <col customWidth="1" min="5" max="6" width="8.88"/>
  </cols>
  <sheetData>
    <row r="1" ht="19.5" customHeight="1">
      <c r="A1" s="3" t="s">
        <v>1710</v>
      </c>
      <c r="B1" s="5"/>
      <c r="C1" s="5"/>
      <c r="D1" s="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4" t="s">
        <v>1175</v>
      </c>
      <c r="B3" s="4" t="s">
        <v>1711</v>
      </c>
      <c r="C3" s="4" t="s">
        <v>1712</v>
      </c>
      <c r="D3" s="4" t="s">
        <v>1713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44" t="s">
        <v>1714</v>
      </c>
      <c r="B4" s="44" t="s">
        <v>1715</v>
      </c>
      <c r="C4" s="44" t="s">
        <v>1716</v>
      </c>
      <c r="D4" s="78" t="s">
        <v>1717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44" t="s">
        <v>1714</v>
      </c>
      <c r="B5" s="44" t="s">
        <v>1718</v>
      </c>
      <c r="C5" s="44" t="s">
        <v>1719</v>
      </c>
      <c r="D5" s="78" t="s">
        <v>1720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44" t="s">
        <v>1714</v>
      </c>
      <c r="B6" s="44" t="s">
        <v>1721</v>
      </c>
      <c r="C6" s="44" t="s">
        <v>1722</v>
      </c>
      <c r="D6" s="78" t="s">
        <v>1723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44" t="s">
        <v>1714</v>
      </c>
      <c r="B7" s="44" t="s">
        <v>1724</v>
      </c>
      <c r="C7" s="44" t="s">
        <v>1725</v>
      </c>
      <c r="D7" s="78" t="s">
        <v>1726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44" t="s">
        <v>1714</v>
      </c>
      <c r="B8" s="44" t="s">
        <v>1727</v>
      </c>
      <c r="C8" s="44" t="s">
        <v>1728</v>
      </c>
      <c r="D8" s="78" t="s">
        <v>1729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44" t="s">
        <v>1714</v>
      </c>
      <c r="B9" s="44" t="s">
        <v>1730</v>
      </c>
      <c r="C9" s="44" t="s">
        <v>1731</v>
      </c>
      <c r="D9" s="78" t="s">
        <v>1732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44" t="s">
        <v>1714</v>
      </c>
      <c r="B10" s="44" t="s">
        <v>1733</v>
      </c>
      <c r="C10" s="44" t="s">
        <v>1734</v>
      </c>
      <c r="D10" s="78" t="s">
        <v>1735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44" t="s">
        <v>1714</v>
      </c>
      <c r="B11" s="44" t="s">
        <v>1736</v>
      </c>
      <c r="C11" s="44" t="s">
        <v>1737</v>
      </c>
      <c r="D11" s="78" t="s">
        <v>1738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44" t="s">
        <v>1714</v>
      </c>
      <c r="B12" s="44" t="s">
        <v>1739</v>
      </c>
      <c r="C12" s="44" t="s">
        <v>1740</v>
      </c>
      <c r="D12" s="78" t="s">
        <v>1741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44" t="s">
        <v>1714</v>
      </c>
      <c r="B13" s="44" t="s">
        <v>1742</v>
      </c>
      <c r="C13" s="44" t="s">
        <v>1743</v>
      </c>
      <c r="D13" s="78" t="s">
        <v>1744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44" t="s">
        <v>1714</v>
      </c>
      <c r="B14" s="44" t="s">
        <v>1745</v>
      </c>
      <c r="C14" s="44" t="s">
        <v>1746</v>
      </c>
      <c r="D14" s="78" t="s">
        <v>1747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44" t="s">
        <v>1714</v>
      </c>
      <c r="B15" s="44" t="s">
        <v>1748</v>
      </c>
      <c r="C15" s="44" t="s">
        <v>1749</v>
      </c>
      <c r="D15" s="78" t="s">
        <v>1750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44" t="s">
        <v>1714</v>
      </c>
      <c r="B16" s="44" t="s">
        <v>1751</v>
      </c>
      <c r="C16" s="44" t="s">
        <v>1752</v>
      </c>
      <c r="D16" s="78" t="s">
        <v>1753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44" t="s">
        <v>1714</v>
      </c>
      <c r="B17" s="44" t="s">
        <v>1622</v>
      </c>
      <c r="C17" s="44" t="s">
        <v>1754</v>
      </c>
      <c r="D17" s="78" t="s">
        <v>1755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44" t="s">
        <v>1714</v>
      </c>
      <c r="B18" s="44" t="s">
        <v>1756</v>
      </c>
      <c r="C18" s="44" t="s">
        <v>1757</v>
      </c>
      <c r="D18" s="78" t="s">
        <v>1758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44" t="s">
        <v>1714</v>
      </c>
      <c r="B19" s="44" t="s">
        <v>1759</v>
      </c>
      <c r="C19" s="44" t="s">
        <v>1760</v>
      </c>
      <c r="D19" s="78" t="s">
        <v>1761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44" t="s">
        <v>1714</v>
      </c>
      <c r="B20" s="44" t="s">
        <v>1762</v>
      </c>
      <c r="C20" s="44" t="s">
        <v>1763</v>
      </c>
      <c r="D20" s="78" t="s">
        <v>1764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44" t="s">
        <v>1714</v>
      </c>
      <c r="B21" s="44" t="s">
        <v>1765</v>
      </c>
      <c r="C21" s="44" t="s">
        <v>1766</v>
      </c>
      <c r="D21" s="78" t="s">
        <v>1767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44" t="s">
        <v>1714</v>
      </c>
      <c r="B22" s="44" t="s">
        <v>1768</v>
      </c>
      <c r="C22" s="44" t="s">
        <v>1769</v>
      </c>
      <c r="D22" s="78" t="s">
        <v>1770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44" t="s">
        <v>1714</v>
      </c>
      <c r="B23" s="44" t="s">
        <v>1771</v>
      </c>
      <c r="C23" s="44" t="s">
        <v>1772</v>
      </c>
      <c r="D23" s="78" t="s">
        <v>1773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44" t="s">
        <v>1774</v>
      </c>
      <c r="B24" s="44" t="s">
        <v>1775</v>
      </c>
      <c r="C24" s="44" t="s">
        <v>1776</v>
      </c>
      <c r="D24" s="78" t="s">
        <v>1777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44" t="s">
        <v>1774</v>
      </c>
      <c r="B25" s="44" t="s">
        <v>1778</v>
      </c>
      <c r="C25" s="44" t="s">
        <v>1779</v>
      </c>
      <c r="D25" s="78" t="s">
        <v>1780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44" t="s">
        <v>1774</v>
      </c>
      <c r="B26" s="44" t="s">
        <v>1781</v>
      </c>
      <c r="C26" s="44" t="s">
        <v>1782</v>
      </c>
      <c r="D26" s="78" t="s">
        <v>1783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44" t="s">
        <v>1774</v>
      </c>
      <c r="B27" s="44" t="s">
        <v>1784</v>
      </c>
      <c r="C27" s="44" t="s">
        <v>1785</v>
      </c>
      <c r="D27" s="78" t="s">
        <v>1786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44" t="s">
        <v>1774</v>
      </c>
      <c r="B28" s="44" t="s">
        <v>1787</v>
      </c>
      <c r="C28" s="44" t="s">
        <v>1788</v>
      </c>
      <c r="D28" s="78" t="s">
        <v>1789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44" t="s">
        <v>1774</v>
      </c>
      <c r="B29" s="44" t="s">
        <v>1790</v>
      </c>
      <c r="C29" s="44" t="s">
        <v>1791</v>
      </c>
      <c r="D29" s="78" t="s">
        <v>1792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44" t="s">
        <v>1774</v>
      </c>
      <c r="B30" s="44" t="s">
        <v>1793</v>
      </c>
      <c r="C30" s="44" t="s">
        <v>1794</v>
      </c>
      <c r="D30" s="78" t="s">
        <v>1795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44" t="s">
        <v>1774</v>
      </c>
      <c r="B31" s="44" t="s">
        <v>1796</v>
      </c>
      <c r="C31" s="44" t="s">
        <v>1797</v>
      </c>
      <c r="D31" s="78" t="s">
        <v>1798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44" t="s">
        <v>1774</v>
      </c>
      <c r="B32" s="44" t="s">
        <v>1799</v>
      </c>
      <c r="C32" s="44" t="s">
        <v>1800</v>
      </c>
      <c r="D32" s="78" t="s">
        <v>1801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44" t="s">
        <v>1774</v>
      </c>
      <c r="B33" s="44" t="s">
        <v>1802</v>
      </c>
      <c r="C33" s="44" t="s">
        <v>1803</v>
      </c>
      <c r="D33" s="78" t="s">
        <v>1804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44" t="s">
        <v>1774</v>
      </c>
      <c r="B34" s="44" t="s">
        <v>1805</v>
      </c>
      <c r="C34" s="44" t="s">
        <v>1806</v>
      </c>
      <c r="D34" s="78" t="s">
        <v>1807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44" t="s">
        <v>1774</v>
      </c>
      <c r="B35" s="44" t="s">
        <v>1808</v>
      </c>
      <c r="C35" s="44" t="s">
        <v>1809</v>
      </c>
      <c r="D35" s="78" t="s">
        <v>1810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44" t="s">
        <v>1774</v>
      </c>
      <c r="B36" s="44" t="s">
        <v>1811</v>
      </c>
      <c r="C36" s="44" t="s">
        <v>1812</v>
      </c>
      <c r="D36" s="78" t="s">
        <v>1813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44" t="s">
        <v>1774</v>
      </c>
      <c r="B37" s="44" t="s">
        <v>1814</v>
      </c>
      <c r="C37" s="44" t="s">
        <v>1815</v>
      </c>
      <c r="D37" s="78" t="s">
        <v>1816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0" customHeight="1">
      <c r="A38" s="44" t="s">
        <v>1774</v>
      </c>
      <c r="B38" s="44" t="s">
        <v>1817</v>
      </c>
      <c r="C38" s="44" t="s">
        <v>1818</v>
      </c>
      <c r="D38" s="78" t="s">
        <v>1819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44" t="s">
        <v>1774</v>
      </c>
      <c r="B39" s="44" t="s">
        <v>1820</v>
      </c>
      <c r="C39" s="44" t="s">
        <v>1821</v>
      </c>
      <c r="D39" s="78" t="s">
        <v>1822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0" customHeight="1">
      <c r="A40" s="44" t="s">
        <v>1714</v>
      </c>
      <c r="B40" s="44" t="s">
        <v>1823</v>
      </c>
      <c r="C40" s="44" t="s">
        <v>1824</v>
      </c>
      <c r="D40" s="78" t="s">
        <v>1825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0" customHeight="1">
      <c r="A41" s="44" t="s">
        <v>1826</v>
      </c>
      <c r="B41" s="44" t="s">
        <v>1827</v>
      </c>
      <c r="C41" s="44" t="s">
        <v>1828</v>
      </c>
      <c r="D41" s="78" t="s">
        <v>1829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44" t="s">
        <v>1714</v>
      </c>
      <c r="B42" s="44" t="s">
        <v>1830</v>
      </c>
      <c r="C42" s="44" t="s">
        <v>1831</v>
      </c>
      <c r="D42" s="78" t="s">
        <v>1832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44" t="s">
        <v>1714</v>
      </c>
      <c r="B43" s="44" t="s">
        <v>1833</v>
      </c>
      <c r="C43" s="44" t="s">
        <v>1834</v>
      </c>
      <c r="D43" s="78" t="s">
        <v>1835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44" t="s">
        <v>1836</v>
      </c>
      <c r="B44" s="44" t="s">
        <v>1837</v>
      </c>
      <c r="C44" s="44" t="s">
        <v>1838</v>
      </c>
      <c r="D44" s="44" t="s">
        <v>1839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44" t="s">
        <v>1714</v>
      </c>
      <c r="B45" s="44" t="s">
        <v>1840</v>
      </c>
      <c r="C45" s="44" t="s">
        <v>1841</v>
      </c>
      <c r="D45" s="78" t="s">
        <v>1738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44" t="s">
        <v>1714</v>
      </c>
      <c r="B46" s="44" t="s">
        <v>1842</v>
      </c>
      <c r="C46" s="44" t="s">
        <v>1843</v>
      </c>
      <c r="D46" s="78" t="s">
        <v>1738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</hyperlinks>
  <printOptions/>
  <pageMargins bottom="1.0" footer="0.0" header="0.0" left="0.75" right="0.75" top="1.0"/>
  <pageSetup orientation="landscape"/>
  <drawing r:id="rId4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2026-09-27T23:00:49Z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